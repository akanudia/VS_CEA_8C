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E5BD72EE-2750-41B3-90D4-110C1F4FE593}" xr6:coauthVersionLast="47" xr6:coauthVersionMax="47" xr10:uidLastSave="{00000000-0000-0000-0000-000000000000}"/>
  <bookViews>
    <workbookView xWindow="2205" yWindow="2205" windowWidth="21600" windowHeight="12773" firstSheet="21" activeTab="25" xr2:uid="{1EBCB1C3-7094-4C76-91F6-666A792165B6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NLD" sheetId="8" r:id="rId7"/>
    <sheet name="firmness_NLD" sheetId="9" r:id="rId8"/>
    <sheet name="load_demand_peak_hydro_NLD" sheetId="10" r:id="rId9"/>
    <sheet name="resource_profiles_BEL" sheetId="11" r:id="rId10"/>
    <sheet name="firmness_BEL" sheetId="12" r:id="rId11"/>
    <sheet name="load_demand_peak_hydro_BEL" sheetId="13" r:id="rId12"/>
    <sheet name="resource_profiles_DEU" sheetId="14" r:id="rId13"/>
    <sheet name="firmness_DEU" sheetId="15" r:id="rId14"/>
    <sheet name="load_demand_peak_hydro_DEU" sheetId="16" r:id="rId15"/>
    <sheet name="resource_profiles_CHE" sheetId="17" r:id="rId16"/>
    <sheet name="firmness_CHE" sheetId="18" r:id="rId17"/>
    <sheet name="load_demand_peak_hydro_CHE" sheetId="19" r:id="rId18"/>
    <sheet name="resource_profiles_ITA" sheetId="20" r:id="rId19"/>
    <sheet name="firmness_ITA" sheetId="21" r:id="rId20"/>
    <sheet name="load_demand_peak_hydro_ITA" sheetId="22" r:id="rId21"/>
    <sheet name="resource_profiles_ESP" sheetId="23" r:id="rId22"/>
    <sheet name="firmness_ESP" sheetId="24" r:id="rId23"/>
    <sheet name="load_demand_peak_hydro_ESP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CF9" i="24"/>
  <c r="BR9" i="24"/>
  <c r="BJ9" i="24"/>
  <c r="AU9" i="24"/>
  <c r="AF9" i="24"/>
  <c r="Q9" i="24"/>
  <c r="B9" i="24"/>
  <c r="L9" i="23"/>
  <c r="G9" i="23"/>
  <c r="B9" i="23"/>
  <c r="P9" i="22" l="1"/>
  <c r="L9" i="22"/>
  <c r="H9" i="22"/>
  <c r="C9" i="22"/>
  <c r="CF9" i="21"/>
  <c r="BR9" i="21"/>
  <c r="BJ9" i="21"/>
  <c r="AU9" i="21"/>
  <c r="AF9" i="21"/>
  <c r="Q9" i="21"/>
  <c r="B9" i="21"/>
  <c r="L9" i="20"/>
  <c r="G9" i="20"/>
  <c r="B9" i="20"/>
  <c r="P9" i="19" l="1"/>
  <c r="L9" i="19"/>
  <c r="H9" i="19"/>
  <c r="C9" i="19"/>
  <c r="CF9" i="18"/>
  <c r="BR9" i="18"/>
  <c r="BJ9" i="18"/>
  <c r="AU9" i="18"/>
  <c r="AF9" i="18"/>
  <c r="Q9" i="18"/>
  <c r="B9" i="18"/>
  <c r="G9" i="17"/>
  <c r="B9" i="17"/>
  <c r="P9" i="16" l="1"/>
  <c r="L9" i="16"/>
  <c r="H9" i="16"/>
  <c r="C9" i="16"/>
  <c r="CF9" i="15"/>
  <c r="BR9" i="15"/>
  <c r="BJ9" i="15"/>
  <c r="AU9" i="15"/>
  <c r="AF9" i="15"/>
  <c r="Q9" i="15"/>
  <c r="B9" i="15"/>
  <c r="L9" i="14"/>
  <c r="G9" i="14"/>
  <c r="B9" i="14"/>
  <c r="P9" i="13" l="1"/>
  <c r="L9" i="13"/>
  <c r="H9" i="13"/>
  <c r="C9" i="13"/>
  <c r="CF9" i="12"/>
  <c r="BR9" i="12"/>
  <c r="BJ9" i="12"/>
  <c r="AU9" i="12"/>
  <c r="AF9" i="12"/>
  <c r="Q9" i="12"/>
  <c r="B9" i="12"/>
  <c r="G9" i="11"/>
  <c r="B9" i="11"/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P9" i="7" l="1"/>
  <c r="L9" i="7"/>
  <c r="H9" i="7"/>
  <c r="C9" i="7"/>
  <c r="CF9" i="6"/>
  <c r="BR9" i="6"/>
  <c r="BJ9" i="6"/>
  <c r="AU9" i="6"/>
  <c r="AF9" i="6"/>
  <c r="Q9" i="6"/>
  <c r="B9" i="6"/>
  <c r="L9" i="5"/>
  <c r="G9" i="5"/>
  <c r="B9" i="5"/>
  <c r="P9" i="4" l="1"/>
  <c r="L9" i="4"/>
  <c r="H9" i="4"/>
  <c r="C9" i="4"/>
  <c r="CF9" i="3"/>
  <c r="BR9" i="3"/>
  <c r="BJ9" i="3"/>
  <c r="AU9" i="3"/>
  <c r="AF9" i="3"/>
  <c r="Q9" i="3"/>
  <c r="B9" i="3"/>
  <c r="L9" i="2"/>
  <c r="G9" i="2"/>
  <c r="B9" i="2"/>
</calcChain>
</file>

<file path=xl/sharedStrings.xml><?xml version="1.0" encoding="utf-8"?>
<sst xmlns="http://schemas.openxmlformats.org/spreadsheetml/2006/main" count="22571" uniqueCount="895">
  <si>
    <t>commodity</t>
  </si>
  <si>
    <t>timeslice</t>
  </si>
  <si>
    <t>com_fr</t>
  </si>
  <si>
    <t>process</t>
  </si>
  <si>
    <t>elc_spv_FRA_001</t>
  </si>
  <si>
    <t>S1aH1</t>
  </si>
  <si>
    <t>IMPNRGZ</t>
  </si>
  <si>
    <t>elc_won_FRA_001</t>
  </si>
  <si>
    <t>elc_wof_FRA_001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</si>
  <si>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</si>
  <si>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</si>
  <si>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</si>
  <si>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</si>
  <si>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</si>
  <si>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</si>
  <si>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</si>
  <si>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</si>
  <si>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</si>
  <si>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</si>
  <si>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</si>
  <si>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</si>
  <si>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</si>
  <si>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</si>
  <si>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</si>
  <si>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</si>
  <si>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</si>
  <si>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</si>
  <si>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</si>
  <si>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</si>
  <si>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</si>
  <si>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</si>
  <si>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</si>
  <si>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</si>
  <si>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</si>
  <si>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</si>
  <si>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</si>
  <si>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</si>
  <si>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</si>
  <si>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</si>
  <si>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</si>
  <si>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</si>
  <si>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</si>
  <si>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</si>
  <si>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</si>
  <si>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</si>
  <si>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</si>
  <si>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</si>
  <si>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</si>
  <si>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</si>
  <si>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</si>
  <si>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</si>
  <si>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</si>
  <si>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</si>
  <si>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</si>
  <si>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</si>
  <si>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</si>
  <si>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</si>
  <si>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</si>
  <si>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</si>
  <si>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</si>
  <si>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</si>
  <si>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</si>
  <si>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</si>
  <si>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</si>
  <si>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</si>
  <si>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</si>
  <si>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</si>
  <si>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</si>
  <si>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</si>
  <si>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</si>
  <si>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</si>
  <si>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</si>
  <si>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</si>
  <si>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</si>
  <si>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</si>
  <si>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</si>
  <si>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</si>
  <si>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</si>
  <si>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</si>
  <si>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</si>
  <si>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</si>
  <si>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</si>
  <si>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</si>
  <si>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</si>
  <si>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</si>
  <si>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</si>
  <si>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</si>
  <si>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</si>
  <si>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</si>
  <si>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</si>
  <si>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</si>
  <si>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</si>
  <si>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attribute</t>
  </si>
  <si>
    <t>year</t>
  </si>
  <si>
    <t>limtype</t>
  </si>
  <si>
    <t>value</t>
  </si>
  <si>
    <t>other_indexes</t>
  </si>
  <si>
    <t>ncap_com</t>
  </si>
  <si>
    <t>distr_solelc_spv_FRA_001</t>
  </si>
  <si>
    <t>DEF_E</t>
  </si>
  <si>
    <t>ELC4H</t>
  </si>
  <si>
    <t>ELC8H</t>
  </si>
  <si>
    <t>ELCnH</t>
  </si>
  <si>
    <t>FLO_SHAR</t>
  </si>
  <si>
    <t>distr[_]???*</t>
  </si>
  <si>
    <t>ELC4H,ELC8H,ELCnH</t>
  </si>
  <si>
    <t>FX</t>
  </si>
  <si>
    <t>S1aH1,S1aH2,S1aH3,S2aH1,S2aH2,S2aH3,S3aH1,S3aH2,S3aH3,S4aH1,S4aH2,S4aH3</t>
  </si>
  <si>
    <t>DEF_C</t>
  </si>
  <si>
    <t>OUT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</si>
  <si>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</si>
  <si>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</si>
  <si>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</si>
  <si>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</si>
  <si>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</si>
  <si>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</si>
  <si>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</si>
  <si>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</si>
  <si>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</si>
  <si>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</si>
  <si>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</si>
  <si>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</si>
  <si>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</si>
  <si>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</si>
  <si>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</si>
  <si>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</si>
  <si>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</si>
  <si>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</si>
  <si>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</si>
  <si>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</si>
  <si>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</si>
  <si>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</si>
  <si>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</si>
  <si>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</si>
  <si>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</si>
  <si>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</si>
  <si>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</si>
  <si>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</si>
  <si>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</si>
  <si>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</si>
  <si>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</si>
  <si>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</si>
  <si>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</si>
  <si>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</si>
  <si>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</si>
  <si>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</si>
  <si>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</si>
  <si>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</si>
  <si>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</si>
  <si>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</si>
  <si>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</si>
  <si>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</si>
  <si>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</si>
  <si>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</si>
  <si>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</si>
  <si>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</si>
  <si>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</si>
  <si>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</si>
  <si>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</si>
  <si>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</si>
  <si>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</si>
  <si>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</si>
  <si>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</si>
  <si>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</si>
  <si>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</si>
  <si>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</si>
  <si>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</si>
  <si>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</si>
  <si>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</si>
  <si>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</si>
  <si>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</si>
  <si>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</si>
  <si>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</si>
  <si>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</si>
  <si>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</si>
  <si>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</si>
  <si>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</si>
  <si>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</si>
  <si>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</si>
  <si>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</si>
  <si>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</si>
  <si>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</si>
  <si>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</si>
  <si>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</si>
  <si>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ts_12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</si>
  <si>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</si>
  <si>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</si>
  <si>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</si>
  <si>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</si>
  <si>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</si>
  <si>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</si>
  <si>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</si>
  <si>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</si>
  <si>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S1</t>
  </si>
  <si>
    <t>hydro</t>
  </si>
  <si>
    <t>S2</t>
  </si>
  <si>
    <t>S3</t>
  </si>
  <si>
    <t>S4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</si>
  <si>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</si>
  <si>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</si>
  <si>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</si>
  <si>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</si>
  <si>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</si>
  <si>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</si>
  <si>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</si>
  <si>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</si>
  <si>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</si>
  <si>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</si>
  <si>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</si>
  <si>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</si>
  <si>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</si>
  <si>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</si>
  <si>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</si>
  <si>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</si>
  <si>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</si>
  <si>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</si>
  <si>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</si>
  <si>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</si>
  <si>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</si>
  <si>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</si>
  <si>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</si>
  <si>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</si>
  <si>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</si>
  <si>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</si>
  <si>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</si>
  <si>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</si>
  <si>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</si>
  <si>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</si>
  <si>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</si>
  <si>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</si>
  <si>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</si>
  <si>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</si>
  <si>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</si>
  <si>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</si>
  <si>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</si>
  <si>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</si>
  <si>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</si>
  <si>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</si>
  <si>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</si>
  <si>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</si>
  <si>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</si>
  <si>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</si>
  <si>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</si>
  <si>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</si>
  <si>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</si>
  <si>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</si>
  <si>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</si>
  <si>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</si>
  <si>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</si>
  <si>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</si>
  <si>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</si>
  <si>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</si>
  <si>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</si>
  <si>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</si>
  <si>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</si>
  <si>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</si>
  <si>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</si>
  <si>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</si>
  <si>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</si>
  <si>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</si>
  <si>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</si>
  <si>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</si>
  <si>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</si>
  <si>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</si>
  <si>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</si>
  <si>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</si>
  <si>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</si>
  <si>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</si>
  <si>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</si>
  <si>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</si>
  <si>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</si>
  <si>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</si>
  <si>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</si>
  <si>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</si>
  <si>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</si>
  <si>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</si>
  <si>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</si>
  <si>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</si>
  <si>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</si>
  <si>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</si>
  <si>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</si>
  <si>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</si>
  <si>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</si>
  <si>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</si>
  <si>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</si>
  <si>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</si>
  <si>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</si>
  <si>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</si>
  <si>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</si>
  <si>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</si>
  <si>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</si>
  <si>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</si>
  <si>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</si>
  <si>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</si>
  <si>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</si>
  <si>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</si>
  <si>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</si>
  <si>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</si>
  <si>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</si>
  <si>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</si>
  <si>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</si>
  <si>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</si>
  <si>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</si>
  <si>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</si>
  <si>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</si>
  <si>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</si>
  <si>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</si>
  <si>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</si>
  <si>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</si>
  <si>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</si>
  <si>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</si>
  <si>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</si>
  <si>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</si>
  <si>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</si>
  <si>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</si>
  <si>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</si>
  <si>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</si>
  <si>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</si>
  <si>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</si>
  <si>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</si>
  <si>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</si>
  <si>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</si>
  <si>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</si>
  <si>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</si>
  <si>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</si>
  <si>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</si>
  <si>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</si>
  <si>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</si>
  <si>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</si>
  <si>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</si>
  <si>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</si>
  <si>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</si>
  <si>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</si>
  <si>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</si>
  <si>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</si>
  <si>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</si>
  <si>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</si>
  <si>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</si>
  <si>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</si>
  <si>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</si>
  <si>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</si>
  <si>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</si>
  <si>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</si>
  <si>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</si>
  <si>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</si>
  <si>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</si>
  <si>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</si>
  <si>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</si>
  <si>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</si>
  <si>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</si>
  <si>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</si>
  <si>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</si>
  <si>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</si>
  <si>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</si>
  <si>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</si>
  <si>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</si>
  <si>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</si>
  <si>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</si>
  <si>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</si>
  <si>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</si>
  <si>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</si>
  <si>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</si>
  <si>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</si>
  <si>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</si>
  <si>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</si>
  <si>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</si>
  <si>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</si>
  <si>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</si>
  <si>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</si>
  <si>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</si>
  <si>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</si>
  <si>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</si>
  <si>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</si>
  <si>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</si>
  <si>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</si>
  <si>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</si>
  <si>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</si>
  <si>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</si>
  <si>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</si>
  <si>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</si>
  <si>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</si>
  <si>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</si>
  <si>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</si>
  <si>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</si>
  <si>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</si>
  <si>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</si>
  <si>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</si>
  <si>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</si>
  <si>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</si>
  <si>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</si>
  <si>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</si>
  <si>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</si>
  <si>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</si>
  <si>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</si>
  <si>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</si>
  <si>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</si>
  <si>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</si>
  <si>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</si>
  <si>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</si>
  <si>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</si>
  <si>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</si>
  <si>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</si>
  <si>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</si>
  <si>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</si>
  <si>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</si>
  <si>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</si>
  <si>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</si>
  <si>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</si>
  <si>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</si>
  <si>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</si>
  <si>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</si>
  <si>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</si>
  <si>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</si>
  <si>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</si>
  <si>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</si>
  <si>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</si>
  <si>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</si>
  <si>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</si>
  <si>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</si>
  <si>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</si>
  <si>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</si>
  <si>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</si>
  <si>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</si>
  <si>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</si>
  <si>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</si>
  <si>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</si>
  <si>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</si>
  <si>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</si>
  <si>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</si>
  <si>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</si>
  <si>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</si>
  <si>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</si>
  <si>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</si>
  <si>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</si>
  <si>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</si>
  <si>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</si>
  <si>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</si>
  <si>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</si>
  <si>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</si>
  <si>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</si>
  <si>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</si>
  <si>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</si>
  <si>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</si>
  <si>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</si>
  <si>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</si>
  <si>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</si>
  <si>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</si>
  <si>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</si>
  <si>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</si>
  <si>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</si>
  <si>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</si>
  <si>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</si>
  <si>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</si>
  <si>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</si>
  <si>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</si>
  <si>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</si>
  <si>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</si>
  <si>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</si>
  <si>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</si>
  <si>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</si>
  <si>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</si>
  <si>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</si>
  <si>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</si>
  <si>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</si>
  <si>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</si>
  <si>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</si>
  <si>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</si>
  <si>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</si>
  <si>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</si>
  <si>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</si>
  <si>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</si>
  <si>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</si>
  <si>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</si>
  <si>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</si>
  <si>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</si>
  <si>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</si>
  <si>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</si>
  <si>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</si>
  <si>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</si>
  <si>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</si>
  <si>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</si>
  <si>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</si>
  <si>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</si>
  <si>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</si>
  <si>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</si>
  <si>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</si>
  <si>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</si>
  <si>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</si>
  <si>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</si>
  <si>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</si>
  <si>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</si>
  <si>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</si>
  <si>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</si>
  <si>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</si>
  <si>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</si>
  <si>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</si>
  <si>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</si>
  <si>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</si>
  <si>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</si>
  <si>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</si>
  <si>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</si>
  <si>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</si>
  <si>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</si>
  <si>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</si>
  <si>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</si>
  <si>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</si>
  <si>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</si>
  <si>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</si>
  <si>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</si>
  <si>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</si>
  <si>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</si>
  <si>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</si>
  <si>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</si>
  <si>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</si>
  <si>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</si>
  <si>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</si>
  <si>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</si>
  <si>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</si>
  <si>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</si>
  <si>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</si>
  <si>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</si>
  <si>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</si>
  <si>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</si>
  <si>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</si>
  <si>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</si>
  <si>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</si>
  <si>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</si>
  <si>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</si>
  <si>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</si>
  <si>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</si>
  <si>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</si>
  <si>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</si>
  <si>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</si>
  <si>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</si>
  <si>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</si>
  <si>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</si>
  <si>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</si>
  <si>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</si>
  <si>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</si>
  <si>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</si>
  <si>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</si>
  <si>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</si>
  <si>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</si>
  <si>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</si>
  <si>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</si>
  <si>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</si>
  <si>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</si>
  <si>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</si>
  <si>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</si>
  <si>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</si>
  <si>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</si>
  <si>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</si>
  <si>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</si>
  <si>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</si>
  <si>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</si>
  <si>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</si>
  <si>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</si>
  <si>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</si>
  <si>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</si>
  <si>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</si>
  <si>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</si>
  <si>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</si>
  <si>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</si>
  <si>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</si>
  <si>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</si>
  <si>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</si>
  <si>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</si>
  <si>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</si>
  <si>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</si>
  <si>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</si>
  <si>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</si>
  <si>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</si>
  <si>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</si>
  <si>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</si>
  <si>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</si>
  <si>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</si>
  <si>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</si>
  <si>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</si>
  <si>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</si>
  <si>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</si>
  <si>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</si>
  <si>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</si>
  <si>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</si>
  <si>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</si>
  <si>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</si>
  <si>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</si>
  <si>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</si>
  <si>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</si>
  <si>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</si>
  <si>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</si>
  <si>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</si>
  <si>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</si>
  <si>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</si>
  <si>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</si>
  <si>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</si>
  <si>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</si>
  <si>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</si>
  <si>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</si>
  <si>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</si>
  <si>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</si>
  <si>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</si>
  <si>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</si>
  <si>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</si>
  <si>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</si>
  <si>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</si>
  <si>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</si>
  <si>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</si>
  <si>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</si>
  <si>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</si>
  <si>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</si>
  <si>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</si>
  <si>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</si>
  <si>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</si>
  <si>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</si>
  <si>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</si>
  <si>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</si>
  <si>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</si>
  <si>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</si>
  <si>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</si>
  <si>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</si>
  <si>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</si>
  <si>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</si>
  <si>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</si>
  <si>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</si>
  <si>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</si>
  <si>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</si>
  <si>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</si>
  <si>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</si>
  <si>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</si>
  <si>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</si>
  <si>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</si>
  <si>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</si>
  <si>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</si>
  <si>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</si>
  <si>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</si>
  <si>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</si>
  <si>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</si>
  <si>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</si>
  <si>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</si>
  <si>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</si>
  <si>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</si>
  <si>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</si>
  <si>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</si>
  <si>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</si>
  <si>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</si>
  <si>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</si>
  <si>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</si>
  <si>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</si>
  <si>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</si>
  <si>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</si>
  <si>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</si>
  <si>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</si>
  <si>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</si>
  <si>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</si>
  <si>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</si>
  <si>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</si>
  <si>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</si>
  <si>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</si>
  <si>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</si>
  <si>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</si>
  <si>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</si>
  <si>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</si>
  <si>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</si>
  <si>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</si>
  <si>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</si>
  <si>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</si>
  <si>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</si>
  <si>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</si>
  <si>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</si>
  <si>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</si>
  <si>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</si>
  <si>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</si>
  <si>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</si>
  <si>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</si>
  <si>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</si>
  <si>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</si>
  <si>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</si>
  <si>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</si>
  <si>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</si>
  <si>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</si>
  <si>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</si>
  <si>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</si>
  <si>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</si>
  <si>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</si>
  <si>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</si>
  <si>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</si>
  <si>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</si>
  <si>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</si>
  <si>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</si>
  <si>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</si>
  <si>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</si>
  <si>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</si>
  <si>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</si>
  <si>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</si>
  <si>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</si>
  <si>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</si>
  <si>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</si>
  <si>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</si>
  <si>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</si>
  <si>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</si>
  <si>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</si>
  <si>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</si>
  <si>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</si>
  <si>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</si>
  <si>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</si>
  <si>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</si>
  <si>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</si>
  <si>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</si>
  <si>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</si>
  <si>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</si>
  <si>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</si>
  <si>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</si>
  <si>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</si>
  <si>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</si>
  <si>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</si>
  <si>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</si>
  <si>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</si>
  <si>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</si>
  <si>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</si>
  <si>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</si>
  <si>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</si>
  <si>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</si>
  <si>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</si>
  <si>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</si>
  <si>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</si>
  <si>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</si>
  <si>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</si>
  <si>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</si>
  <si>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</si>
  <si>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</si>
  <si>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</si>
  <si>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</si>
  <si>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</si>
  <si>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</si>
  <si>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</si>
  <si>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</si>
  <si>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</si>
  <si>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</si>
  <si>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</si>
  <si>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</si>
  <si>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</si>
  <si>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</si>
  <si>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</si>
  <si>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</si>
  <si>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</si>
  <si>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</si>
  <si>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</si>
  <si>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</si>
  <si>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</si>
  <si>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</si>
  <si>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</si>
  <si>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</si>
  <si>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</si>
  <si>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</si>
  <si>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</si>
  <si>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</si>
  <si>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</si>
  <si>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</si>
  <si>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</si>
  <si>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</si>
  <si>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</si>
  <si>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</si>
  <si>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</si>
  <si>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</si>
  <si>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</si>
  <si>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</si>
  <si>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</si>
  <si>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</si>
  <si>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</si>
  <si>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</si>
  <si>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</si>
  <si>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</si>
  <si>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</si>
  <si>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</si>
  <si>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</si>
  <si>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</si>
  <si>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</si>
  <si>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</si>
  <si>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</si>
  <si>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</si>
  <si>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</si>
  <si>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</si>
  <si>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</si>
  <si>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</si>
  <si>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</si>
  <si>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</si>
  <si>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</si>
  <si>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</si>
  <si>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</si>
  <si>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</si>
  <si>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</si>
  <si>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</si>
  <si>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</si>
  <si>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</si>
  <si>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</si>
  <si>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</si>
  <si>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</si>
  <si>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</si>
  <si>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</si>
  <si>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</si>
  <si>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</si>
  <si>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</si>
  <si>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</si>
  <si>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</si>
  <si>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</si>
  <si>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</si>
  <si>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</si>
  <si>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</si>
  <si>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</si>
  <si>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</si>
  <si>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</si>
  <si>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</si>
  <si>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</si>
  <si>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</si>
  <si>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</si>
  <si>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</si>
  <si>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</si>
  <si>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</si>
  <si>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</si>
  <si>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</si>
  <si>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</si>
  <si>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</si>
  <si>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</si>
  <si>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</si>
  <si>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</si>
  <si>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</si>
  <si>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</si>
  <si>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</si>
  <si>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</si>
  <si>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</si>
  <si>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</si>
  <si>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</si>
  <si>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</si>
  <si>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</si>
  <si>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</si>
  <si>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</si>
  <si>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</si>
  <si>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</si>
  <si>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</si>
  <si>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</si>
  <si>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</si>
  <si>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</si>
  <si>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</si>
  <si>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</si>
  <si>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</si>
  <si>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</si>
  <si>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</si>
  <si>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</si>
  <si>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</si>
  <si>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day_night</t>
  </si>
  <si>
    <t>D</t>
  </si>
  <si>
    <t>S4aH2,S1aH2,S2aH2,S3aH2</t>
  </si>
  <si>
    <t>N</t>
  </si>
  <si>
    <t>S2aH1,S1aH3,S3aH3,S4aH1,S2aH3,S3aH1,S1aH1,S4aH3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</si>
  <si>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</si>
  <si>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</si>
  <si>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</si>
  <si>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</si>
  <si>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</si>
  <si>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</si>
  <si>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</si>
  <si>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</si>
  <si>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</si>
  <si>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</si>
  <si>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</si>
  <si>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</si>
  <si>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</si>
  <si>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</si>
  <si>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</si>
  <si>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</si>
  <si>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</si>
  <si>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</si>
  <si>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</si>
  <si>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</si>
  <si>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</si>
  <si>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</si>
  <si>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</si>
  <si>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</si>
  <si>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</si>
  <si>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</si>
  <si>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</si>
  <si>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</si>
  <si>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</si>
  <si>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</si>
  <si>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AuxStoOUT</t>
  </si>
  <si>
    <t>season</t>
  </si>
  <si>
    <t>weekly</t>
  </si>
  <si>
    <t>daynite</t>
  </si>
  <si>
    <t>wparent</t>
  </si>
  <si>
    <t>dparent</t>
  </si>
  <si>
    <t>a</t>
  </si>
  <si>
    <t>H1</t>
  </si>
  <si>
    <t>S1,S2,S3,S4</t>
  </si>
  <si>
    <t>H2</t>
  </si>
  <si>
    <t>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</si>
</sst>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CE0BE280-91A7-484D-99F4-17F2D0B61CE0}"/>
    <cellStyle name="Heading 3 2" xfId="3" xr:uid="{3DEC94FD-5FBB-4171-ABD2-73283F2B1FDF}"/>
    <cellStyle name="Input 2" xfId="1" xr:uid="{0ED32CA9-FAB6-4F30-A58E-1BA334909D2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E0D15-1AB5-402F-8283-B2E381D8CECE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0.10741412935315871</v>
      </c>
      <c r="J11" t="s">
        <v>6</v>
      </c>
      <c r="L11" t="s">
        <v>8</v>
      </c>
      <c r="M11" t="s">
        <v>5</v>
      </c>
      <c r="N11">
        <v>9.3748994206303879E-2</v>
      </c>
      <c r="O11" t="s">
        <v>6</v>
      </c>
    </row>
    <row r="12" spans="2:15" x14ac:dyDescent="0.45">
      <c r="B12" t="s">
        <v>4</v>
      </c>
      <c r="C12" t="s">
        <v>9</v>
      </c>
      <c r="D12">
        <v>0.15041943497396223</v>
      </c>
      <c r="E12" t="s">
        <v>6</v>
      </c>
      <c r="G12" t="s">
        <v>7</v>
      </c>
      <c r="H12" t="s">
        <v>9</v>
      </c>
      <c r="I12">
        <v>0.12893310765217683</v>
      </c>
      <c r="J12" t="s">
        <v>6</v>
      </c>
      <c r="L12" t="s">
        <v>8</v>
      </c>
      <c r="M12" t="s">
        <v>9</v>
      </c>
      <c r="N12">
        <v>0.11025272457889979</v>
      </c>
      <c r="O12" t="s">
        <v>6</v>
      </c>
    </row>
    <row r="13" spans="2:15" x14ac:dyDescent="0.45">
      <c r="B13" t="s">
        <v>4</v>
      </c>
      <c r="C13" t="s">
        <v>10</v>
      </c>
      <c r="D13">
        <v>2.2965286223447933E-3</v>
      </c>
      <c r="E13" t="s">
        <v>6</v>
      </c>
      <c r="G13" t="s">
        <v>7</v>
      </c>
      <c r="H13" t="s">
        <v>10</v>
      </c>
      <c r="I13">
        <v>8.6459631037642676E-2</v>
      </c>
      <c r="J13" t="s">
        <v>6</v>
      </c>
      <c r="L13" t="s">
        <v>8</v>
      </c>
      <c r="M13" t="s">
        <v>10</v>
      </c>
      <c r="N13">
        <v>7.1419887049679276E-2</v>
      </c>
      <c r="O13" t="s">
        <v>6</v>
      </c>
    </row>
    <row r="14" spans="2:15" x14ac:dyDescent="0.45">
      <c r="B14" t="s">
        <v>4</v>
      </c>
      <c r="C14" t="s">
        <v>11</v>
      </c>
      <c r="D14">
        <v>8.6962477394345126E-4</v>
      </c>
      <c r="E14" t="s">
        <v>6</v>
      </c>
      <c r="G14" t="s">
        <v>7</v>
      </c>
      <c r="H14" t="s">
        <v>11</v>
      </c>
      <c r="I14">
        <v>8.0334813917243952E-2</v>
      </c>
      <c r="J14" t="s">
        <v>6</v>
      </c>
      <c r="L14" t="s">
        <v>8</v>
      </c>
      <c r="M14" t="s">
        <v>11</v>
      </c>
      <c r="N14">
        <v>8.5427697777564801E-2</v>
      </c>
      <c r="O14" t="s">
        <v>6</v>
      </c>
    </row>
    <row r="15" spans="2:15" x14ac:dyDescent="0.45">
      <c r="B15" t="s">
        <v>4</v>
      </c>
      <c r="C15" t="s">
        <v>12</v>
      </c>
      <c r="D15">
        <v>0.27178123966124407</v>
      </c>
      <c r="E15" t="s">
        <v>6</v>
      </c>
      <c r="G15" t="s">
        <v>7</v>
      </c>
      <c r="H15" t="s">
        <v>12</v>
      </c>
      <c r="I15">
        <v>9.0339073476637832E-2</v>
      </c>
      <c r="J15" t="s">
        <v>6</v>
      </c>
      <c r="L15" t="s">
        <v>8</v>
      </c>
      <c r="M15" t="s">
        <v>12</v>
      </c>
      <c r="N15">
        <v>0.10412690544994223</v>
      </c>
      <c r="O15" t="s">
        <v>6</v>
      </c>
    </row>
    <row r="16" spans="2:15" x14ac:dyDescent="0.45">
      <c r="B16" t="s">
        <v>4</v>
      </c>
      <c r="C16" t="s">
        <v>13</v>
      </c>
      <c r="D16">
        <v>1.6316340920333763E-2</v>
      </c>
      <c r="E16" t="s">
        <v>6</v>
      </c>
      <c r="G16" t="s">
        <v>7</v>
      </c>
      <c r="H16" t="s">
        <v>13</v>
      </c>
      <c r="I16">
        <v>5.899615667476743E-2</v>
      </c>
      <c r="J16" t="s">
        <v>6</v>
      </c>
      <c r="L16" t="s">
        <v>8</v>
      </c>
      <c r="M16" t="s">
        <v>13</v>
      </c>
      <c r="N16">
        <v>6.5194281391516951E-2</v>
      </c>
      <c r="O16" t="s">
        <v>6</v>
      </c>
    </row>
    <row r="17" spans="2:15" x14ac:dyDescent="0.45">
      <c r="B17" t="s">
        <v>4</v>
      </c>
      <c r="C17" t="s">
        <v>14</v>
      </c>
      <c r="D17">
        <v>2.1186199253214297E-3</v>
      </c>
      <c r="E17" t="s">
        <v>6</v>
      </c>
      <c r="G17" t="s">
        <v>7</v>
      </c>
      <c r="H17" t="s">
        <v>14</v>
      </c>
      <c r="I17">
        <v>4.8450177281840159E-2</v>
      </c>
      <c r="J17" t="s">
        <v>6</v>
      </c>
      <c r="L17" t="s">
        <v>8</v>
      </c>
      <c r="M17" t="s">
        <v>14</v>
      </c>
      <c r="N17">
        <v>6.502710091785574E-2</v>
      </c>
      <c r="O17" t="s">
        <v>6</v>
      </c>
    </row>
    <row r="18" spans="2:15" x14ac:dyDescent="0.45">
      <c r="B18" t="s">
        <v>4</v>
      </c>
      <c r="C18" t="s">
        <v>15</v>
      </c>
      <c r="D18">
        <v>0.33688831205644393</v>
      </c>
      <c r="E18" t="s">
        <v>6</v>
      </c>
      <c r="G18" t="s">
        <v>7</v>
      </c>
      <c r="H18" t="s">
        <v>15</v>
      </c>
      <c r="I18">
        <v>5.1867965486106865E-2</v>
      </c>
      <c r="J18" t="s">
        <v>6</v>
      </c>
      <c r="L18" t="s">
        <v>8</v>
      </c>
      <c r="M18" t="s">
        <v>15</v>
      </c>
      <c r="N18">
        <v>7.5707824400530907E-2</v>
      </c>
      <c r="O18" t="s">
        <v>6</v>
      </c>
    </row>
    <row r="19" spans="2:15" x14ac:dyDescent="0.45">
      <c r="B19" t="s">
        <v>4</v>
      </c>
      <c r="C19" t="s">
        <v>16</v>
      </c>
      <c r="D19">
        <v>2.6965287280013388E-2</v>
      </c>
      <c r="E19" t="s">
        <v>6</v>
      </c>
      <c r="G19" t="s">
        <v>7</v>
      </c>
      <c r="H19" t="s">
        <v>16</v>
      </c>
      <c r="I19">
        <v>4.3452143129024449E-2</v>
      </c>
      <c r="J19" t="s">
        <v>6</v>
      </c>
      <c r="L19" t="s">
        <v>8</v>
      </c>
      <c r="M19" t="s">
        <v>16</v>
      </c>
      <c r="N19">
        <v>5.2331248668230211E-2</v>
      </c>
      <c r="O19" t="s">
        <v>6</v>
      </c>
    </row>
    <row r="20" spans="2:15" x14ac:dyDescent="0.45">
      <c r="B20" t="s">
        <v>4</v>
      </c>
      <c r="C20" t="s">
        <v>17</v>
      </c>
      <c r="D20">
        <v>1.2301624989324291E-5</v>
      </c>
      <c r="E20" t="s">
        <v>6</v>
      </c>
      <c r="G20" t="s">
        <v>7</v>
      </c>
      <c r="H20" t="s">
        <v>17</v>
      </c>
      <c r="I20">
        <v>0.10703389661911587</v>
      </c>
      <c r="J20" t="s">
        <v>6</v>
      </c>
      <c r="L20" t="s">
        <v>8</v>
      </c>
      <c r="M20" t="s">
        <v>17</v>
      </c>
      <c r="N20">
        <v>9.5785549694721556E-2</v>
      </c>
      <c r="O20" t="s">
        <v>6</v>
      </c>
    </row>
    <row r="21" spans="2:15" x14ac:dyDescent="0.45">
      <c r="B21" t="s">
        <v>4</v>
      </c>
      <c r="C21" t="s">
        <v>18</v>
      </c>
      <c r="D21">
        <v>0.18792080362345151</v>
      </c>
      <c r="E21" t="s">
        <v>6</v>
      </c>
      <c r="G21" t="s">
        <v>7</v>
      </c>
      <c r="H21" t="s">
        <v>18</v>
      </c>
      <c r="I21">
        <v>0.11986870771776477</v>
      </c>
      <c r="J21" t="s">
        <v>6</v>
      </c>
      <c r="L21" t="s">
        <v>8</v>
      </c>
      <c r="M21" t="s">
        <v>18</v>
      </c>
      <c r="N21">
        <v>0.1093323414847413</v>
      </c>
      <c r="O21" t="s">
        <v>6</v>
      </c>
    </row>
    <row r="22" spans="2:15" x14ac:dyDescent="0.45">
      <c r="B22" t="s">
        <v>4</v>
      </c>
      <c r="C22" t="s">
        <v>19</v>
      </c>
      <c r="D22">
        <v>4.411506537956392E-3</v>
      </c>
      <c r="E22" t="s">
        <v>6</v>
      </c>
      <c r="G22" t="s">
        <v>7</v>
      </c>
      <c r="H22" t="s">
        <v>19</v>
      </c>
      <c r="I22">
        <v>7.685019765451713E-2</v>
      </c>
      <c r="J22" t="s">
        <v>6</v>
      </c>
      <c r="L22" t="s">
        <v>8</v>
      </c>
      <c r="M22" t="s">
        <v>19</v>
      </c>
      <c r="N22">
        <v>7.1645444380014633E-2</v>
      </c>
      <c r="O22" t="s">
        <v>6</v>
      </c>
    </row>
    <row r="23" spans="2:15" x14ac:dyDescent="0.45">
      <c r="B23" t="s">
        <v>20</v>
      </c>
      <c r="C23" t="s">
        <v>5</v>
      </c>
      <c r="D23">
        <v>0</v>
      </c>
      <c r="E23" t="s">
        <v>6</v>
      </c>
      <c r="G23" t="s">
        <v>21</v>
      </c>
      <c r="H23" t="s">
        <v>5</v>
      </c>
      <c r="I23">
        <v>0.10901967459185723</v>
      </c>
      <c r="J23" t="s">
        <v>6</v>
      </c>
      <c r="L23" t="s">
        <v>22</v>
      </c>
      <c r="M23" t="s">
        <v>5</v>
      </c>
      <c r="N23">
        <v>7.9069999573591163E-2</v>
      </c>
      <c r="O23" t="s">
        <v>6</v>
      </c>
    </row>
    <row r="24" spans="2:15" x14ac:dyDescent="0.45">
      <c r="B24" t="s">
        <v>20</v>
      </c>
      <c r="C24" t="s">
        <v>9</v>
      </c>
      <c r="D24">
        <v>0.1625048311763011</v>
      </c>
      <c r="E24" t="s">
        <v>6</v>
      </c>
      <c r="G24" t="s">
        <v>21</v>
      </c>
      <c r="H24" t="s">
        <v>9</v>
      </c>
      <c r="I24">
        <v>0.12050314837418126</v>
      </c>
      <c r="J24" t="s">
        <v>6</v>
      </c>
      <c r="L24" t="s">
        <v>22</v>
      </c>
      <c r="M24" t="s">
        <v>9</v>
      </c>
      <c r="N24">
        <v>9.5279698771562393E-2</v>
      </c>
      <c r="O24" t="s">
        <v>6</v>
      </c>
    </row>
    <row r="25" spans="2:15" x14ac:dyDescent="0.45">
      <c r="B25" t="s">
        <v>20</v>
      </c>
      <c r="C25" t="s">
        <v>10</v>
      </c>
      <c r="D25">
        <v>3.3460610519943125E-3</v>
      </c>
      <c r="E25" t="s">
        <v>6</v>
      </c>
      <c r="G25" t="s">
        <v>21</v>
      </c>
      <c r="H25" t="s">
        <v>10</v>
      </c>
      <c r="I25">
        <v>8.8032064683158787E-2</v>
      </c>
      <c r="J25" t="s">
        <v>6</v>
      </c>
      <c r="L25" t="s">
        <v>22</v>
      </c>
      <c r="M25" t="s">
        <v>10</v>
      </c>
      <c r="N25">
        <v>5.7907354568305258E-2</v>
      </c>
      <c r="O25" t="s">
        <v>6</v>
      </c>
    </row>
    <row r="26" spans="2:15" x14ac:dyDescent="0.45">
      <c r="B26" t="s">
        <v>20</v>
      </c>
      <c r="C26" t="s">
        <v>11</v>
      </c>
      <c r="D26">
        <v>5.5697900615458572E-4</v>
      </c>
      <c r="E26" t="s">
        <v>6</v>
      </c>
      <c r="G26" t="s">
        <v>21</v>
      </c>
      <c r="H26" t="s">
        <v>11</v>
      </c>
      <c r="I26">
        <v>7.4082473076198641E-2</v>
      </c>
      <c r="J26" t="s">
        <v>6</v>
      </c>
      <c r="L26" t="s">
        <v>22</v>
      </c>
      <c r="M26" t="s">
        <v>11</v>
      </c>
      <c r="N26">
        <v>0.11587277700815328</v>
      </c>
      <c r="O26" t="s">
        <v>6</v>
      </c>
    </row>
    <row r="27" spans="2:15" x14ac:dyDescent="0.45">
      <c r="B27" t="s">
        <v>20</v>
      </c>
      <c r="C27" t="s">
        <v>12</v>
      </c>
      <c r="D27">
        <v>0.27247210470754152</v>
      </c>
      <c r="E27" t="s">
        <v>6</v>
      </c>
      <c r="G27" t="s">
        <v>21</v>
      </c>
      <c r="H27" t="s">
        <v>12</v>
      </c>
      <c r="I27">
        <v>8.4289212033253028E-2</v>
      </c>
      <c r="J27" t="s">
        <v>6</v>
      </c>
      <c r="L27" t="s">
        <v>22</v>
      </c>
      <c r="M27" t="s">
        <v>12</v>
      </c>
      <c r="N27">
        <v>0.14291114141685765</v>
      </c>
      <c r="O27" t="s">
        <v>6</v>
      </c>
    </row>
    <row r="28" spans="2:15" x14ac:dyDescent="0.45">
      <c r="B28" t="s">
        <v>20</v>
      </c>
      <c r="C28" t="s">
        <v>13</v>
      </c>
      <c r="D28">
        <v>2.0057107910568712E-2</v>
      </c>
      <c r="E28" t="s">
        <v>6</v>
      </c>
      <c r="G28" t="s">
        <v>21</v>
      </c>
      <c r="H28" t="s">
        <v>13</v>
      </c>
      <c r="I28">
        <v>5.7235723543365889E-2</v>
      </c>
      <c r="J28" t="s">
        <v>6</v>
      </c>
      <c r="L28" t="s">
        <v>22</v>
      </c>
      <c r="M28" t="s">
        <v>13</v>
      </c>
      <c r="N28">
        <v>8.2539867381430612E-2</v>
      </c>
      <c r="O28" t="s">
        <v>6</v>
      </c>
    </row>
    <row r="29" spans="2:15" x14ac:dyDescent="0.45">
      <c r="B29" t="s">
        <v>20</v>
      </c>
      <c r="C29" t="s">
        <v>14</v>
      </c>
      <c r="D29">
        <v>1.3128676929975414E-3</v>
      </c>
      <c r="E29" t="s">
        <v>6</v>
      </c>
      <c r="G29" t="s">
        <v>21</v>
      </c>
      <c r="H29" t="s">
        <v>14</v>
      </c>
      <c r="I29">
        <v>5.0909828624277911E-2</v>
      </c>
      <c r="J29" t="s">
        <v>6</v>
      </c>
      <c r="L29" t="s">
        <v>22</v>
      </c>
      <c r="M29" t="s">
        <v>14</v>
      </c>
      <c r="N29">
        <v>3.2287563103108048E-2</v>
      </c>
      <c r="O29" t="s">
        <v>6</v>
      </c>
    </row>
    <row r="30" spans="2:15" x14ac:dyDescent="0.45">
      <c r="B30" t="s">
        <v>20</v>
      </c>
      <c r="C30" t="s">
        <v>15</v>
      </c>
      <c r="D30">
        <v>0.31128338891444468</v>
      </c>
      <c r="E30" t="s">
        <v>6</v>
      </c>
      <c r="G30" t="s">
        <v>21</v>
      </c>
      <c r="H30" t="s">
        <v>15</v>
      </c>
      <c r="I30">
        <v>5.2224662574642429E-2</v>
      </c>
      <c r="J30" t="s">
        <v>6</v>
      </c>
      <c r="L30" t="s">
        <v>22</v>
      </c>
      <c r="M30" t="s">
        <v>15</v>
      </c>
      <c r="N30">
        <v>4.1061081610513479E-2</v>
      </c>
      <c r="O30" t="s">
        <v>6</v>
      </c>
    </row>
    <row r="31" spans="2:15" x14ac:dyDescent="0.45">
      <c r="B31" t="s">
        <v>20</v>
      </c>
      <c r="C31" t="s">
        <v>16</v>
      </c>
      <c r="D31">
        <v>2.991361019883134E-2</v>
      </c>
      <c r="E31" t="s">
        <v>6</v>
      </c>
      <c r="G31" t="s">
        <v>21</v>
      </c>
      <c r="H31" t="s">
        <v>16</v>
      </c>
      <c r="I31">
        <v>4.087631186026728E-2</v>
      </c>
      <c r="J31" t="s">
        <v>6</v>
      </c>
      <c r="L31" t="s">
        <v>22</v>
      </c>
      <c r="M31" t="s">
        <v>16</v>
      </c>
      <c r="N31">
        <v>2.9103150715505711E-2</v>
      </c>
      <c r="O31" t="s">
        <v>6</v>
      </c>
    </row>
    <row r="32" spans="2:15" x14ac:dyDescent="0.45">
      <c r="B32" t="s">
        <v>20</v>
      </c>
      <c r="C32" t="s">
        <v>17</v>
      </c>
      <c r="D32">
        <v>0</v>
      </c>
      <c r="E32" t="s">
        <v>6</v>
      </c>
      <c r="G32" t="s">
        <v>21</v>
      </c>
      <c r="H32" t="s">
        <v>17</v>
      </c>
      <c r="I32">
        <v>0.11150381812027012</v>
      </c>
      <c r="J32" t="s">
        <v>6</v>
      </c>
      <c r="L32" t="s">
        <v>22</v>
      </c>
      <c r="M32" t="s">
        <v>17</v>
      </c>
      <c r="N32">
        <v>0.10877072762913163</v>
      </c>
      <c r="O32" t="s">
        <v>6</v>
      </c>
    </row>
    <row r="33" spans="2:15" x14ac:dyDescent="0.45">
      <c r="B33" t="s">
        <v>20</v>
      </c>
      <c r="C33" t="s">
        <v>18</v>
      </c>
      <c r="D33">
        <v>0.19219877615762748</v>
      </c>
      <c r="E33" t="s">
        <v>6</v>
      </c>
      <c r="G33" t="s">
        <v>21</v>
      </c>
      <c r="H33" t="s">
        <v>18</v>
      </c>
      <c r="I33">
        <v>0.13070251961008869</v>
      </c>
      <c r="J33" t="s">
        <v>6</v>
      </c>
      <c r="L33" t="s">
        <v>22</v>
      </c>
      <c r="M33" t="s">
        <v>18</v>
      </c>
      <c r="N33">
        <v>0.13033442683564145</v>
      </c>
      <c r="O33" t="s">
        <v>6</v>
      </c>
    </row>
    <row r="34" spans="2:15" x14ac:dyDescent="0.45">
      <c r="B34" t="s">
        <v>20</v>
      </c>
      <c r="C34" t="s">
        <v>19</v>
      </c>
      <c r="D34">
        <v>6.3542731835365624E-3</v>
      </c>
      <c r="E34" t="s">
        <v>6</v>
      </c>
      <c r="G34" t="s">
        <v>21</v>
      </c>
      <c r="H34" t="s">
        <v>19</v>
      </c>
      <c r="I34">
        <v>8.0620562908436388E-2</v>
      </c>
      <c r="J34" t="s">
        <v>6</v>
      </c>
      <c r="L34" t="s">
        <v>22</v>
      </c>
      <c r="M34" t="s">
        <v>19</v>
      </c>
      <c r="N34">
        <v>8.4862211386201453E-2</v>
      </c>
      <c r="O34" t="s">
        <v>6</v>
      </c>
    </row>
    <row r="35" spans="2:15" x14ac:dyDescent="0.45">
      <c r="B35" t="s">
        <v>23</v>
      </c>
      <c r="C35" t="s">
        <v>5</v>
      </c>
      <c r="D35">
        <v>0</v>
      </c>
      <c r="E35" t="s">
        <v>6</v>
      </c>
      <c r="G35" t="s">
        <v>24</v>
      </c>
      <c r="H35" t="s">
        <v>5</v>
      </c>
      <c r="I35">
        <v>0.10319932345382909</v>
      </c>
      <c r="J35" t="s">
        <v>6</v>
      </c>
      <c r="L35" t="s">
        <v>25</v>
      </c>
      <c r="M35" t="s">
        <v>5</v>
      </c>
      <c r="N35">
        <v>8.4309739233498451E-2</v>
      </c>
      <c r="O35" t="s">
        <v>6</v>
      </c>
    </row>
    <row r="36" spans="2:15" x14ac:dyDescent="0.45">
      <c r="B36" t="s">
        <v>23</v>
      </c>
      <c r="C36" t="s">
        <v>9</v>
      </c>
      <c r="D36">
        <v>0.15185377073871259</v>
      </c>
      <c r="E36" t="s">
        <v>6</v>
      </c>
      <c r="G36" t="s">
        <v>24</v>
      </c>
      <c r="H36" t="s">
        <v>9</v>
      </c>
      <c r="I36">
        <v>0.11560255225035</v>
      </c>
      <c r="J36" t="s">
        <v>6</v>
      </c>
      <c r="L36" t="s">
        <v>25</v>
      </c>
      <c r="M36" t="s">
        <v>9</v>
      </c>
      <c r="N36">
        <v>0.10743110744013401</v>
      </c>
      <c r="O36" t="s">
        <v>6</v>
      </c>
    </row>
    <row r="37" spans="2:15" x14ac:dyDescent="0.45">
      <c r="B37" t="s">
        <v>23</v>
      </c>
      <c r="C37" t="s">
        <v>10</v>
      </c>
      <c r="D37">
        <v>2.7840651105186247E-3</v>
      </c>
      <c r="E37" t="s">
        <v>6</v>
      </c>
      <c r="G37" t="s">
        <v>24</v>
      </c>
      <c r="H37" t="s">
        <v>10</v>
      </c>
      <c r="I37">
        <v>8.2079692403049617E-2</v>
      </c>
      <c r="J37" t="s">
        <v>6</v>
      </c>
      <c r="L37" t="s">
        <v>25</v>
      </c>
      <c r="M37" t="s">
        <v>10</v>
      </c>
      <c r="N37">
        <v>6.2319208779438383E-2</v>
      </c>
      <c r="O37" t="s">
        <v>6</v>
      </c>
    </row>
    <row r="38" spans="2:15" x14ac:dyDescent="0.45">
      <c r="B38" t="s">
        <v>23</v>
      </c>
      <c r="C38" t="s">
        <v>11</v>
      </c>
      <c r="D38">
        <v>7.4592401991750766E-4</v>
      </c>
      <c r="E38" t="s">
        <v>6</v>
      </c>
      <c r="G38" t="s">
        <v>24</v>
      </c>
      <c r="H38" t="s">
        <v>11</v>
      </c>
      <c r="I38">
        <v>8.2636938625851863E-2</v>
      </c>
      <c r="J38" t="s">
        <v>6</v>
      </c>
      <c r="L38" t="s">
        <v>25</v>
      </c>
      <c r="M38" t="s">
        <v>11</v>
      </c>
      <c r="N38">
        <v>0.10859811168025617</v>
      </c>
      <c r="O38" t="s">
        <v>6</v>
      </c>
    </row>
    <row r="39" spans="2:15" x14ac:dyDescent="0.45">
      <c r="B39" t="s">
        <v>23</v>
      </c>
      <c r="C39" t="s">
        <v>12</v>
      </c>
      <c r="D39">
        <v>0.27632604253028559</v>
      </c>
      <c r="E39" t="s">
        <v>6</v>
      </c>
      <c r="G39" t="s">
        <v>24</v>
      </c>
      <c r="H39" t="s">
        <v>12</v>
      </c>
      <c r="I39">
        <v>8.171682229244355E-2</v>
      </c>
      <c r="J39" t="s">
        <v>6</v>
      </c>
      <c r="L39" t="s">
        <v>25</v>
      </c>
      <c r="M39" t="s">
        <v>12</v>
      </c>
      <c r="N39">
        <v>0.13575322437568216</v>
      </c>
      <c r="O39" t="s">
        <v>6</v>
      </c>
    </row>
    <row r="40" spans="2:15" x14ac:dyDescent="0.45">
      <c r="B40" t="s">
        <v>23</v>
      </c>
      <c r="C40" t="s">
        <v>13</v>
      </c>
      <c r="D40">
        <v>1.8193948466297717E-2</v>
      </c>
      <c r="E40" t="s">
        <v>6</v>
      </c>
      <c r="G40" t="s">
        <v>24</v>
      </c>
      <c r="H40" t="s">
        <v>13</v>
      </c>
      <c r="I40">
        <v>6.1017553355163776E-2</v>
      </c>
      <c r="J40" t="s">
        <v>6</v>
      </c>
      <c r="L40" t="s">
        <v>25</v>
      </c>
      <c r="M40" t="s">
        <v>13</v>
      </c>
      <c r="N40">
        <v>8.1341999228852074E-2</v>
      </c>
      <c r="O40" t="s">
        <v>6</v>
      </c>
    </row>
    <row r="41" spans="2:15" x14ac:dyDescent="0.45">
      <c r="B41" t="s">
        <v>23</v>
      </c>
      <c r="C41" t="s">
        <v>14</v>
      </c>
      <c r="D41">
        <v>1.756396469665856E-3</v>
      </c>
      <c r="E41" t="s">
        <v>6</v>
      </c>
      <c r="G41" t="s">
        <v>24</v>
      </c>
      <c r="H41" t="s">
        <v>14</v>
      </c>
      <c r="I41">
        <v>5.8733516586208789E-2</v>
      </c>
      <c r="J41" t="s">
        <v>6</v>
      </c>
      <c r="L41" t="s">
        <v>25</v>
      </c>
      <c r="M41" t="s">
        <v>14</v>
      </c>
      <c r="N41">
        <v>3.7263015077003851E-2</v>
      </c>
      <c r="O41" t="s">
        <v>6</v>
      </c>
    </row>
    <row r="42" spans="2:15" x14ac:dyDescent="0.45">
      <c r="B42" t="s">
        <v>23</v>
      </c>
      <c r="C42" t="s">
        <v>15</v>
      </c>
      <c r="D42">
        <v>0.32525043665552794</v>
      </c>
      <c r="E42" t="s">
        <v>6</v>
      </c>
      <c r="G42" t="s">
        <v>24</v>
      </c>
      <c r="H42" t="s">
        <v>15</v>
      </c>
      <c r="I42">
        <v>5.4119046876985266E-2</v>
      </c>
      <c r="J42" t="s">
        <v>6</v>
      </c>
      <c r="L42" t="s">
        <v>25</v>
      </c>
      <c r="M42" t="s">
        <v>15</v>
      </c>
      <c r="N42">
        <v>4.4841838471591469E-2</v>
      </c>
      <c r="O42" t="s">
        <v>6</v>
      </c>
    </row>
    <row r="43" spans="2:15" x14ac:dyDescent="0.45">
      <c r="B43" t="s">
        <v>23</v>
      </c>
      <c r="C43" t="s">
        <v>16</v>
      </c>
      <c r="D43">
        <v>2.9194936193446677E-2</v>
      </c>
      <c r="E43" t="s">
        <v>6</v>
      </c>
      <c r="G43" t="s">
        <v>24</v>
      </c>
      <c r="H43" t="s">
        <v>16</v>
      </c>
      <c r="I43">
        <v>4.5869484563859662E-2</v>
      </c>
      <c r="J43" t="s">
        <v>6</v>
      </c>
      <c r="L43" t="s">
        <v>25</v>
      </c>
      <c r="M43" t="s">
        <v>16</v>
      </c>
      <c r="N43">
        <v>3.0939013336004774E-2</v>
      </c>
      <c r="O43" t="s">
        <v>6</v>
      </c>
    </row>
    <row r="44" spans="2:15" x14ac:dyDescent="0.45">
      <c r="B44" t="s">
        <v>23</v>
      </c>
      <c r="C44" t="s">
        <v>17</v>
      </c>
      <c r="D44">
        <v>1.7210456949186433E-6</v>
      </c>
      <c r="E44" t="s">
        <v>6</v>
      </c>
      <c r="G44" t="s">
        <v>24</v>
      </c>
      <c r="H44" t="s">
        <v>17</v>
      </c>
      <c r="I44">
        <v>0.11030024581004409</v>
      </c>
      <c r="J44" t="s">
        <v>6</v>
      </c>
      <c r="L44" t="s">
        <v>25</v>
      </c>
      <c r="M44" t="s">
        <v>17</v>
      </c>
      <c r="N44">
        <v>0.10517797593313216</v>
      </c>
      <c r="O44" t="s">
        <v>6</v>
      </c>
    </row>
    <row r="45" spans="2:15" x14ac:dyDescent="0.45">
      <c r="B45" t="s">
        <v>23</v>
      </c>
      <c r="C45" t="s">
        <v>18</v>
      </c>
      <c r="D45">
        <v>0.18860010852582279</v>
      </c>
      <c r="E45" t="s">
        <v>6</v>
      </c>
      <c r="G45" t="s">
        <v>24</v>
      </c>
      <c r="H45" t="s">
        <v>18</v>
      </c>
      <c r="I45">
        <v>0.12197073205295729</v>
      </c>
      <c r="J45" t="s">
        <v>6</v>
      </c>
      <c r="L45" t="s">
        <v>25</v>
      </c>
      <c r="M45" t="s">
        <v>18</v>
      </c>
      <c r="N45">
        <v>0.12022866132655378</v>
      </c>
      <c r="O45" t="s">
        <v>6</v>
      </c>
    </row>
    <row r="46" spans="2:15" x14ac:dyDescent="0.45">
      <c r="B46" t="s">
        <v>23</v>
      </c>
      <c r="C46" t="s">
        <v>19</v>
      </c>
      <c r="D46">
        <v>5.2926502441135092E-3</v>
      </c>
      <c r="E46" t="s">
        <v>6</v>
      </c>
      <c r="G46" t="s">
        <v>24</v>
      </c>
      <c r="H46" t="s">
        <v>19</v>
      </c>
      <c r="I46">
        <v>8.275409172925631E-2</v>
      </c>
      <c r="J46" t="s">
        <v>6</v>
      </c>
      <c r="L46" t="s">
        <v>25</v>
      </c>
      <c r="M46" t="s">
        <v>19</v>
      </c>
      <c r="N46">
        <v>8.179610511784928E-2</v>
      </c>
      <c r="O46" t="s">
        <v>6</v>
      </c>
    </row>
    <row r="47" spans="2:15" x14ac:dyDescent="0.45">
      <c r="B47" t="s">
        <v>26</v>
      </c>
      <c r="C47" t="s">
        <v>5</v>
      </c>
      <c r="D47">
        <v>0</v>
      </c>
      <c r="E47" t="s">
        <v>6</v>
      </c>
      <c r="G47" t="s">
        <v>27</v>
      </c>
      <c r="H47" t="s">
        <v>5</v>
      </c>
      <c r="I47">
        <v>9.6002525644348732E-2</v>
      </c>
      <c r="J47" t="s">
        <v>6</v>
      </c>
      <c r="L47" t="s">
        <v>28</v>
      </c>
      <c r="M47" t="s">
        <v>5</v>
      </c>
      <c r="N47">
        <v>8.3800400143967585E-2</v>
      </c>
      <c r="O47" t="s">
        <v>6</v>
      </c>
    </row>
    <row r="48" spans="2:15" x14ac:dyDescent="0.45">
      <c r="B48" t="s">
        <v>26</v>
      </c>
      <c r="C48" t="s">
        <v>9</v>
      </c>
      <c r="D48">
        <v>0.14205044680857981</v>
      </c>
      <c r="E48" t="s">
        <v>6</v>
      </c>
      <c r="G48" t="s">
        <v>27</v>
      </c>
      <c r="H48" t="s">
        <v>9</v>
      </c>
      <c r="I48">
        <v>0.11660474435889015</v>
      </c>
      <c r="J48" t="s">
        <v>6</v>
      </c>
      <c r="L48" t="s">
        <v>28</v>
      </c>
      <c r="M48" t="s">
        <v>9</v>
      </c>
      <c r="N48">
        <v>0.11414378825024327</v>
      </c>
      <c r="O48" t="s">
        <v>6</v>
      </c>
    </row>
    <row r="49" spans="2:15" x14ac:dyDescent="0.45">
      <c r="B49" t="s">
        <v>26</v>
      </c>
      <c r="C49" t="s">
        <v>10</v>
      </c>
      <c r="D49">
        <v>2.6989725696276541E-3</v>
      </c>
      <c r="E49" t="s">
        <v>6</v>
      </c>
      <c r="G49" t="s">
        <v>27</v>
      </c>
      <c r="H49" t="s">
        <v>10</v>
      </c>
      <c r="I49">
        <v>7.2595930772300879E-2</v>
      </c>
      <c r="J49" t="s">
        <v>6</v>
      </c>
      <c r="L49" t="s">
        <v>28</v>
      </c>
      <c r="M49" t="s">
        <v>10</v>
      </c>
      <c r="N49">
        <v>6.2751943826430442E-2</v>
      </c>
      <c r="O49" t="s">
        <v>6</v>
      </c>
    </row>
    <row r="50" spans="2:15" x14ac:dyDescent="0.45">
      <c r="B50" t="s">
        <v>26</v>
      </c>
      <c r="C50" t="s">
        <v>11</v>
      </c>
      <c r="D50">
        <v>6.8841752929432102E-4</v>
      </c>
      <c r="E50" t="s">
        <v>6</v>
      </c>
      <c r="G50" t="s">
        <v>27</v>
      </c>
      <c r="H50" t="s">
        <v>11</v>
      </c>
      <c r="I50">
        <v>8.8125583985826511E-2</v>
      </c>
      <c r="J50" t="s">
        <v>6</v>
      </c>
      <c r="L50" t="s">
        <v>28</v>
      </c>
      <c r="M50" t="s">
        <v>11</v>
      </c>
      <c r="N50">
        <v>0.10325146330456442</v>
      </c>
      <c r="O50" t="s">
        <v>6</v>
      </c>
    </row>
    <row r="51" spans="2:15" x14ac:dyDescent="0.45">
      <c r="B51" t="s">
        <v>26</v>
      </c>
      <c r="C51" t="s">
        <v>12</v>
      </c>
      <c r="D51">
        <v>0.27642009419229602</v>
      </c>
      <c r="E51" t="s">
        <v>6</v>
      </c>
      <c r="G51" t="s">
        <v>27</v>
      </c>
      <c r="H51" t="s">
        <v>12</v>
      </c>
      <c r="I51">
        <v>0.10759435238729444</v>
      </c>
      <c r="J51" t="s">
        <v>6</v>
      </c>
      <c r="L51" t="s">
        <v>28</v>
      </c>
      <c r="M51" t="s">
        <v>12</v>
      </c>
      <c r="N51">
        <v>0.12883501172151343</v>
      </c>
      <c r="O51" t="s">
        <v>6</v>
      </c>
    </row>
    <row r="52" spans="2:15" x14ac:dyDescent="0.45">
      <c r="B52" t="s">
        <v>26</v>
      </c>
      <c r="C52" t="s">
        <v>13</v>
      </c>
      <c r="D52">
        <v>1.9729491210951688E-2</v>
      </c>
      <c r="E52" t="s">
        <v>6</v>
      </c>
      <c r="G52" t="s">
        <v>27</v>
      </c>
      <c r="H52" t="s">
        <v>13</v>
      </c>
      <c r="I52">
        <v>6.9070382924341103E-2</v>
      </c>
      <c r="J52" t="s">
        <v>6</v>
      </c>
      <c r="L52" t="s">
        <v>28</v>
      </c>
      <c r="M52" t="s">
        <v>13</v>
      </c>
      <c r="N52">
        <v>7.7946764470981575E-2</v>
      </c>
      <c r="O52" t="s">
        <v>6</v>
      </c>
    </row>
    <row r="53" spans="2:15" x14ac:dyDescent="0.45">
      <c r="B53" t="s">
        <v>26</v>
      </c>
      <c r="C53" t="s">
        <v>14</v>
      </c>
      <c r="D53">
        <v>1.6273145299898124E-3</v>
      </c>
      <c r="E53" t="s">
        <v>6</v>
      </c>
      <c r="G53" t="s">
        <v>27</v>
      </c>
      <c r="H53" t="s">
        <v>14</v>
      </c>
      <c r="I53">
        <v>6.4309434088132666E-2</v>
      </c>
      <c r="J53" t="s">
        <v>6</v>
      </c>
      <c r="L53" t="s">
        <v>28</v>
      </c>
      <c r="M53" t="s">
        <v>14</v>
      </c>
      <c r="N53">
        <v>3.566681649906428E-2</v>
      </c>
      <c r="O53" t="s">
        <v>6</v>
      </c>
    </row>
    <row r="54" spans="2:15" x14ac:dyDescent="0.45">
      <c r="B54" t="s">
        <v>26</v>
      </c>
      <c r="C54" t="s">
        <v>15</v>
      </c>
      <c r="D54">
        <v>0.32079597502530877</v>
      </c>
      <c r="E54" t="s">
        <v>6</v>
      </c>
      <c r="G54" t="s">
        <v>27</v>
      </c>
      <c r="H54" t="s">
        <v>15</v>
      </c>
      <c r="I54">
        <v>7.5158868567155146E-2</v>
      </c>
      <c r="J54" t="s">
        <v>6</v>
      </c>
      <c r="L54" t="s">
        <v>28</v>
      </c>
      <c r="M54" t="s">
        <v>15</v>
      </c>
      <c r="N54">
        <v>4.4416461456477228E-2</v>
      </c>
      <c r="O54" t="s">
        <v>6</v>
      </c>
    </row>
    <row r="55" spans="2:15" x14ac:dyDescent="0.45">
      <c r="B55" t="s">
        <v>26</v>
      </c>
      <c r="C55" t="s">
        <v>16</v>
      </c>
      <c r="D55">
        <v>3.182864955183453E-2</v>
      </c>
      <c r="E55" t="s">
        <v>6</v>
      </c>
      <c r="G55" t="s">
        <v>27</v>
      </c>
      <c r="H55" t="s">
        <v>16</v>
      </c>
      <c r="I55">
        <v>5.2165673749456097E-2</v>
      </c>
      <c r="J55" t="s">
        <v>6</v>
      </c>
      <c r="L55" t="s">
        <v>28</v>
      </c>
      <c r="M55" t="s">
        <v>16</v>
      </c>
      <c r="N55">
        <v>2.6243085225914894E-2</v>
      </c>
      <c r="O55" t="s">
        <v>6</v>
      </c>
    </row>
    <row r="56" spans="2:15" x14ac:dyDescent="0.45">
      <c r="B56" t="s">
        <v>26</v>
      </c>
      <c r="C56" t="s">
        <v>17</v>
      </c>
      <c r="D56">
        <v>8.7540469158545391E-7</v>
      </c>
      <c r="E56" t="s">
        <v>6</v>
      </c>
      <c r="G56" t="s">
        <v>27</v>
      </c>
      <c r="H56" t="s">
        <v>17</v>
      </c>
      <c r="I56">
        <v>8.7053943138641871E-2</v>
      </c>
      <c r="J56" t="s">
        <v>6</v>
      </c>
      <c r="L56" t="s">
        <v>28</v>
      </c>
      <c r="M56" t="s">
        <v>17</v>
      </c>
      <c r="N56">
        <v>0.10057671578192656</v>
      </c>
      <c r="O56" t="s">
        <v>6</v>
      </c>
    </row>
    <row r="57" spans="2:15" x14ac:dyDescent="0.45">
      <c r="B57" t="s">
        <v>26</v>
      </c>
      <c r="C57" t="s">
        <v>18</v>
      </c>
      <c r="D57">
        <v>0.19792654528026032</v>
      </c>
      <c r="E57" t="s">
        <v>6</v>
      </c>
      <c r="G57" t="s">
        <v>27</v>
      </c>
      <c r="H57" t="s">
        <v>18</v>
      </c>
      <c r="I57">
        <v>0.10638961126061657</v>
      </c>
      <c r="J57" t="s">
        <v>6</v>
      </c>
      <c r="L57" t="s">
        <v>28</v>
      </c>
      <c r="M57" t="s">
        <v>18</v>
      </c>
      <c r="N57">
        <v>0.13500538745946883</v>
      </c>
      <c r="O57" t="s">
        <v>6</v>
      </c>
    </row>
    <row r="58" spans="2:15" x14ac:dyDescent="0.45">
      <c r="B58" t="s">
        <v>26</v>
      </c>
      <c r="C58" t="s">
        <v>19</v>
      </c>
      <c r="D58">
        <v>6.2332178971621173E-3</v>
      </c>
      <c r="E58" t="s">
        <v>6</v>
      </c>
      <c r="G58" t="s">
        <v>27</v>
      </c>
      <c r="H58" t="s">
        <v>19</v>
      </c>
      <c r="I58">
        <v>6.4928949122995086E-2</v>
      </c>
      <c r="J58" t="s">
        <v>6</v>
      </c>
      <c r="L58" t="s">
        <v>28</v>
      </c>
      <c r="M58" t="s">
        <v>19</v>
      </c>
      <c r="N58">
        <v>8.7362161859447493E-2</v>
      </c>
      <c r="O58" t="s">
        <v>6</v>
      </c>
    </row>
    <row r="59" spans="2:15" x14ac:dyDescent="0.45">
      <c r="B59" t="s">
        <v>29</v>
      </c>
      <c r="C59" t="s">
        <v>5</v>
      </c>
      <c r="D59">
        <v>0</v>
      </c>
      <c r="E59" t="s">
        <v>6</v>
      </c>
      <c r="G59" t="s">
        <v>30</v>
      </c>
      <c r="H59" t="s">
        <v>5</v>
      </c>
      <c r="I59">
        <v>0.10145954231702707</v>
      </c>
      <c r="J59" t="s">
        <v>6</v>
      </c>
      <c r="L59" t="s">
        <v>31</v>
      </c>
      <c r="M59" t="s">
        <v>5</v>
      </c>
      <c r="N59">
        <v>8.8345680299411394E-2</v>
      </c>
      <c r="O59" t="s">
        <v>6</v>
      </c>
    </row>
    <row r="60" spans="2:15" x14ac:dyDescent="0.45">
      <c r="B60" t="s">
        <v>29</v>
      </c>
      <c r="C60" t="s">
        <v>9</v>
      </c>
      <c r="D60">
        <v>0.13382740847016505</v>
      </c>
      <c r="E60" t="s">
        <v>6</v>
      </c>
      <c r="G60" t="s">
        <v>30</v>
      </c>
      <c r="H60" t="s">
        <v>9</v>
      </c>
      <c r="I60">
        <v>0.1172509919594856</v>
      </c>
      <c r="J60" t="s">
        <v>6</v>
      </c>
      <c r="L60" t="s">
        <v>31</v>
      </c>
      <c r="M60" t="s">
        <v>9</v>
      </c>
      <c r="N60">
        <v>0.10929048799485884</v>
      </c>
      <c r="O60" t="s">
        <v>6</v>
      </c>
    </row>
    <row r="61" spans="2:15" x14ac:dyDescent="0.45">
      <c r="B61" t="s">
        <v>29</v>
      </c>
      <c r="C61" t="s">
        <v>10</v>
      </c>
      <c r="D61">
        <v>1.726578490136304E-3</v>
      </c>
      <c r="E61" t="s">
        <v>6</v>
      </c>
      <c r="G61" t="s">
        <v>30</v>
      </c>
      <c r="H61" t="s">
        <v>10</v>
      </c>
      <c r="I61">
        <v>7.5530008547175051E-2</v>
      </c>
      <c r="J61" t="s">
        <v>6</v>
      </c>
      <c r="L61" t="s">
        <v>31</v>
      </c>
      <c r="M61" t="s">
        <v>10</v>
      </c>
      <c r="N61">
        <v>6.8370607779350251E-2</v>
      </c>
      <c r="O61" t="s">
        <v>6</v>
      </c>
    </row>
    <row r="62" spans="2:15" x14ac:dyDescent="0.45">
      <c r="B62" t="s">
        <v>29</v>
      </c>
      <c r="C62" t="s">
        <v>11</v>
      </c>
      <c r="D62">
        <v>1.0519625489346825E-3</v>
      </c>
      <c r="E62" t="s">
        <v>6</v>
      </c>
      <c r="G62" t="s">
        <v>30</v>
      </c>
      <c r="H62" t="s">
        <v>11</v>
      </c>
      <c r="I62">
        <v>8.6515668046961536E-2</v>
      </c>
      <c r="J62" t="s">
        <v>6</v>
      </c>
      <c r="L62" t="s">
        <v>31</v>
      </c>
      <c r="M62" t="s">
        <v>11</v>
      </c>
      <c r="N62">
        <v>9.101019137666512E-2</v>
      </c>
      <c r="O62" t="s">
        <v>6</v>
      </c>
    </row>
    <row r="63" spans="2:15" x14ac:dyDescent="0.45">
      <c r="B63" t="s">
        <v>29</v>
      </c>
      <c r="C63" t="s">
        <v>12</v>
      </c>
      <c r="D63">
        <v>0.27836956245972189</v>
      </c>
      <c r="E63" t="s">
        <v>6</v>
      </c>
      <c r="G63" t="s">
        <v>30</v>
      </c>
      <c r="H63" t="s">
        <v>12</v>
      </c>
      <c r="I63">
        <v>0.10245658316149032</v>
      </c>
      <c r="J63" t="s">
        <v>6</v>
      </c>
      <c r="L63" t="s">
        <v>31</v>
      </c>
      <c r="M63" t="s">
        <v>12</v>
      </c>
      <c r="N63">
        <v>0.13258062011318908</v>
      </c>
      <c r="O63" t="s">
        <v>6</v>
      </c>
    </row>
    <row r="64" spans="2:15" x14ac:dyDescent="0.45">
      <c r="B64" t="s">
        <v>29</v>
      </c>
      <c r="C64" t="s">
        <v>13</v>
      </c>
      <c r="D64">
        <v>1.6667951043554188E-2</v>
      </c>
      <c r="E64" t="s">
        <v>6</v>
      </c>
      <c r="G64" t="s">
        <v>30</v>
      </c>
      <c r="H64" t="s">
        <v>13</v>
      </c>
      <c r="I64">
        <v>6.7196175086776694E-2</v>
      </c>
      <c r="J64" t="s">
        <v>6</v>
      </c>
      <c r="L64" t="s">
        <v>31</v>
      </c>
      <c r="M64" t="s">
        <v>13</v>
      </c>
      <c r="N64">
        <v>8.0576914116032877E-2</v>
      </c>
      <c r="O64" t="s">
        <v>6</v>
      </c>
    </row>
    <row r="65" spans="2:15" x14ac:dyDescent="0.45">
      <c r="B65" t="s">
        <v>29</v>
      </c>
      <c r="C65" t="s">
        <v>14</v>
      </c>
      <c r="D65">
        <v>2.3756704418054792E-3</v>
      </c>
      <c r="E65" t="s">
        <v>6</v>
      </c>
      <c r="G65" t="s">
        <v>30</v>
      </c>
      <c r="H65" t="s">
        <v>14</v>
      </c>
      <c r="I65">
        <v>6.2946280981114697E-2</v>
      </c>
      <c r="J65" t="s">
        <v>6</v>
      </c>
      <c r="L65" t="s">
        <v>31</v>
      </c>
      <c r="M65" t="s">
        <v>14</v>
      </c>
      <c r="N65">
        <v>4.5622092544638483E-2</v>
      </c>
      <c r="O65" t="s">
        <v>6</v>
      </c>
    </row>
    <row r="66" spans="2:15" x14ac:dyDescent="0.45">
      <c r="B66" t="s">
        <v>29</v>
      </c>
      <c r="C66" t="s">
        <v>15</v>
      </c>
      <c r="D66">
        <v>0.34230495683208018</v>
      </c>
      <c r="E66" t="s">
        <v>6</v>
      </c>
      <c r="G66" t="s">
        <v>30</v>
      </c>
      <c r="H66" t="s">
        <v>15</v>
      </c>
      <c r="I66">
        <v>6.7207423713438963E-2</v>
      </c>
      <c r="J66" t="s">
        <v>6</v>
      </c>
      <c r="L66" t="s">
        <v>31</v>
      </c>
      <c r="M66" t="s">
        <v>15</v>
      </c>
      <c r="N66">
        <v>6.1863571014888187E-2</v>
      </c>
      <c r="O66" t="s">
        <v>6</v>
      </c>
    </row>
    <row r="67" spans="2:15" x14ac:dyDescent="0.45">
      <c r="B67" t="s">
        <v>29</v>
      </c>
      <c r="C67" t="s">
        <v>16</v>
      </c>
      <c r="D67">
        <v>2.7680410988249783E-2</v>
      </c>
      <c r="E67" t="s">
        <v>6</v>
      </c>
      <c r="G67" t="s">
        <v>30</v>
      </c>
      <c r="H67" t="s">
        <v>16</v>
      </c>
      <c r="I67">
        <v>5.1011122907561393E-2</v>
      </c>
      <c r="J67" t="s">
        <v>6</v>
      </c>
      <c r="L67" t="s">
        <v>31</v>
      </c>
      <c r="M67" t="s">
        <v>16</v>
      </c>
      <c r="N67">
        <v>4.2649807929593338E-2</v>
      </c>
      <c r="O67" t="s">
        <v>6</v>
      </c>
    </row>
    <row r="68" spans="2:15" x14ac:dyDescent="0.45">
      <c r="B68" t="s">
        <v>29</v>
      </c>
      <c r="C68" t="s">
        <v>17</v>
      </c>
      <c r="D68">
        <v>1.2743406778533441E-5</v>
      </c>
      <c r="E68" t="s">
        <v>6</v>
      </c>
      <c r="G68" t="s">
        <v>30</v>
      </c>
      <c r="H68" t="s">
        <v>17</v>
      </c>
      <c r="I68">
        <v>9.0316452784200835E-2</v>
      </c>
      <c r="J68" t="s">
        <v>6</v>
      </c>
      <c r="L68" t="s">
        <v>31</v>
      </c>
      <c r="M68" t="s">
        <v>17</v>
      </c>
      <c r="N68">
        <v>9.3063407651115565E-2</v>
      </c>
      <c r="O68" t="s">
        <v>6</v>
      </c>
    </row>
    <row r="69" spans="2:15" x14ac:dyDescent="0.45">
      <c r="B69" t="s">
        <v>29</v>
      </c>
      <c r="C69" t="s">
        <v>18</v>
      </c>
      <c r="D69">
        <v>0.19159422033946019</v>
      </c>
      <c r="E69" t="s">
        <v>6</v>
      </c>
      <c r="G69" t="s">
        <v>30</v>
      </c>
      <c r="H69" t="s">
        <v>18</v>
      </c>
      <c r="I69">
        <v>0.10864892797258378</v>
      </c>
      <c r="J69" t="s">
        <v>6</v>
      </c>
      <c r="L69" t="s">
        <v>31</v>
      </c>
      <c r="M69" t="s">
        <v>18</v>
      </c>
      <c r="N69">
        <v>0.11320396610934648</v>
      </c>
      <c r="O69" t="s">
        <v>6</v>
      </c>
    </row>
    <row r="70" spans="2:15" x14ac:dyDescent="0.45">
      <c r="B70" t="s">
        <v>29</v>
      </c>
      <c r="C70" t="s">
        <v>19</v>
      </c>
      <c r="D70">
        <v>4.3885349791138702E-3</v>
      </c>
      <c r="E70" t="s">
        <v>6</v>
      </c>
      <c r="G70" t="s">
        <v>30</v>
      </c>
      <c r="H70" t="s">
        <v>19</v>
      </c>
      <c r="I70">
        <v>6.9460822522186133E-2</v>
      </c>
      <c r="J70" t="s">
        <v>6</v>
      </c>
      <c r="L70" t="s">
        <v>31</v>
      </c>
      <c r="M70" t="s">
        <v>19</v>
      </c>
      <c r="N70">
        <v>7.3422653070909699E-2</v>
      </c>
      <c r="O70" t="s">
        <v>6</v>
      </c>
    </row>
    <row r="71" spans="2:15" x14ac:dyDescent="0.45">
      <c r="B71" t="s">
        <v>32</v>
      </c>
      <c r="C71" t="s">
        <v>5</v>
      </c>
      <c r="D71">
        <v>0</v>
      </c>
      <c r="E71" t="s">
        <v>6</v>
      </c>
      <c r="G71" t="s">
        <v>33</v>
      </c>
      <c r="H71" t="s">
        <v>5</v>
      </c>
      <c r="I71">
        <v>0.11007888739169169</v>
      </c>
      <c r="J71" t="s">
        <v>6</v>
      </c>
      <c r="L71" t="s">
        <v>34</v>
      </c>
      <c r="M71" t="s">
        <v>5</v>
      </c>
      <c r="N71">
        <v>9.2153544756179068E-2</v>
      </c>
      <c r="O71" t="s">
        <v>6</v>
      </c>
    </row>
    <row r="72" spans="2:15" x14ac:dyDescent="0.45">
      <c r="B72" t="s">
        <v>32</v>
      </c>
      <c r="C72" t="s">
        <v>9</v>
      </c>
      <c r="D72">
        <v>0.12765312555020628</v>
      </c>
      <c r="E72" t="s">
        <v>6</v>
      </c>
      <c r="G72" t="s">
        <v>33</v>
      </c>
      <c r="H72" t="s">
        <v>9</v>
      </c>
      <c r="I72">
        <v>0.12748109458845683</v>
      </c>
      <c r="J72" t="s">
        <v>6</v>
      </c>
      <c r="L72" t="s">
        <v>34</v>
      </c>
      <c r="M72" t="s">
        <v>9</v>
      </c>
      <c r="N72">
        <v>0.11555688662742757</v>
      </c>
      <c r="O72" t="s">
        <v>6</v>
      </c>
    </row>
    <row r="73" spans="2:15" x14ac:dyDescent="0.45">
      <c r="B73" t="s">
        <v>32</v>
      </c>
      <c r="C73" t="s">
        <v>10</v>
      </c>
      <c r="D73">
        <v>1.397077614317972E-3</v>
      </c>
      <c r="E73" t="s">
        <v>6</v>
      </c>
      <c r="G73" t="s">
        <v>33</v>
      </c>
      <c r="H73" t="s">
        <v>10</v>
      </c>
      <c r="I73">
        <v>8.1953741419703949E-2</v>
      </c>
      <c r="J73" t="s">
        <v>6</v>
      </c>
      <c r="L73" t="s">
        <v>34</v>
      </c>
      <c r="M73" t="s">
        <v>10</v>
      </c>
      <c r="N73">
        <v>7.2801778346118812E-2</v>
      </c>
      <c r="O73" t="s">
        <v>6</v>
      </c>
    </row>
    <row r="74" spans="2:15" x14ac:dyDescent="0.45">
      <c r="B74" t="s">
        <v>32</v>
      </c>
      <c r="C74" t="s">
        <v>11</v>
      </c>
      <c r="D74">
        <v>1.2485083205293274E-3</v>
      </c>
      <c r="E74" t="s">
        <v>6</v>
      </c>
      <c r="G74" t="s">
        <v>33</v>
      </c>
      <c r="H74" t="s">
        <v>11</v>
      </c>
      <c r="I74">
        <v>8.3806991718380283E-2</v>
      </c>
      <c r="J74" t="s">
        <v>6</v>
      </c>
      <c r="L74" t="s">
        <v>34</v>
      </c>
      <c r="M74" t="s">
        <v>11</v>
      </c>
      <c r="N74">
        <v>8.6023757988034036E-2</v>
      </c>
      <c r="O74" t="s">
        <v>6</v>
      </c>
    </row>
    <row r="75" spans="2:15" x14ac:dyDescent="0.45">
      <c r="B75" t="s">
        <v>32</v>
      </c>
      <c r="C75" t="s">
        <v>12</v>
      </c>
      <c r="D75">
        <v>0.28233750690829279</v>
      </c>
      <c r="E75" t="s">
        <v>6</v>
      </c>
      <c r="G75" t="s">
        <v>33</v>
      </c>
      <c r="H75" t="s">
        <v>12</v>
      </c>
      <c r="I75">
        <v>9.0077925598247385E-2</v>
      </c>
      <c r="J75" t="s">
        <v>6</v>
      </c>
      <c r="L75" t="s">
        <v>34</v>
      </c>
      <c r="M75" t="s">
        <v>12</v>
      </c>
      <c r="N75">
        <v>0.14170031099856381</v>
      </c>
      <c r="O75" t="s">
        <v>6</v>
      </c>
    </row>
    <row r="76" spans="2:15" x14ac:dyDescent="0.45">
      <c r="B76" t="s">
        <v>32</v>
      </c>
      <c r="C76" t="s">
        <v>13</v>
      </c>
      <c r="D76">
        <v>1.6209988841060011E-2</v>
      </c>
      <c r="E76" t="s">
        <v>6</v>
      </c>
      <c r="G76" t="s">
        <v>33</v>
      </c>
      <c r="H76" t="s">
        <v>13</v>
      </c>
      <c r="I76">
        <v>6.2629587556270461E-2</v>
      </c>
      <c r="J76" t="s">
        <v>6</v>
      </c>
      <c r="L76" t="s">
        <v>34</v>
      </c>
      <c r="M76" t="s">
        <v>13</v>
      </c>
      <c r="N76">
        <v>7.7107757066305196E-2</v>
      </c>
      <c r="O76" t="s">
        <v>6</v>
      </c>
    </row>
    <row r="77" spans="2:15" x14ac:dyDescent="0.45">
      <c r="B77" t="s">
        <v>32</v>
      </c>
      <c r="C77" t="s">
        <v>14</v>
      </c>
      <c r="D77">
        <v>2.6853135451527723E-3</v>
      </c>
      <c r="E77" t="s">
        <v>6</v>
      </c>
      <c r="G77" t="s">
        <v>33</v>
      </c>
      <c r="H77" t="s">
        <v>14</v>
      </c>
      <c r="I77">
        <v>5.6643906374508855E-2</v>
      </c>
      <c r="J77" t="s">
        <v>6</v>
      </c>
      <c r="L77" t="s">
        <v>34</v>
      </c>
      <c r="M77" t="s">
        <v>14</v>
      </c>
      <c r="N77">
        <v>3.9209412550109318E-2</v>
      </c>
      <c r="O77" t="s">
        <v>6</v>
      </c>
    </row>
    <row r="78" spans="2:15" x14ac:dyDescent="0.45">
      <c r="B78" t="s">
        <v>32</v>
      </c>
      <c r="C78" t="s">
        <v>15</v>
      </c>
      <c r="D78">
        <v>0.34462887938397446</v>
      </c>
      <c r="E78" t="s">
        <v>6</v>
      </c>
      <c r="G78" t="s">
        <v>33</v>
      </c>
      <c r="H78" t="s">
        <v>15</v>
      </c>
      <c r="I78">
        <v>5.7418344637202724E-2</v>
      </c>
      <c r="J78" t="s">
        <v>6</v>
      </c>
      <c r="L78" t="s">
        <v>34</v>
      </c>
      <c r="M78" t="s">
        <v>15</v>
      </c>
      <c r="N78">
        <v>7.3785424598172611E-2</v>
      </c>
      <c r="O78" t="s">
        <v>6</v>
      </c>
    </row>
    <row r="79" spans="2:15" x14ac:dyDescent="0.45">
      <c r="B79" t="s">
        <v>32</v>
      </c>
      <c r="C79" t="s">
        <v>16</v>
      </c>
      <c r="D79">
        <v>2.7706043122881507E-2</v>
      </c>
      <c r="E79" t="s">
        <v>6</v>
      </c>
      <c r="G79" t="s">
        <v>33</v>
      </c>
      <c r="H79" t="s">
        <v>16</v>
      </c>
      <c r="I79">
        <v>4.4007170640359139E-2</v>
      </c>
      <c r="J79" t="s">
        <v>6</v>
      </c>
      <c r="L79" t="s">
        <v>34</v>
      </c>
      <c r="M79" t="s">
        <v>16</v>
      </c>
      <c r="N79">
        <v>4.6072348738399445E-2</v>
      </c>
      <c r="O79" t="s">
        <v>6</v>
      </c>
    </row>
    <row r="80" spans="2:15" x14ac:dyDescent="0.45">
      <c r="B80" t="s">
        <v>32</v>
      </c>
      <c r="C80" t="s">
        <v>17</v>
      </c>
      <c r="D80">
        <v>2.2056557947246226E-5</v>
      </c>
      <c r="E80" t="s">
        <v>6</v>
      </c>
      <c r="G80" t="s">
        <v>33</v>
      </c>
      <c r="H80" t="s">
        <v>17</v>
      </c>
      <c r="I80">
        <v>9.8902231116369976E-2</v>
      </c>
      <c r="J80" t="s">
        <v>6</v>
      </c>
      <c r="L80" t="s">
        <v>34</v>
      </c>
      <c r="M80" t="s">
        <v>17</v>
      </c>
      <c r="N80">
        <v>8.0995763990851649E-2</v>
      </c>
      <c r="O80" t="s">
        <v>6</v>
      </c>
    </row>
    <row r="81" spans="2:15" x14ac:dyDescent="0.45">
      <c r="B81" t="s">
        <v>32</v>
      </c>
      <c r="C81" t="s">
        <v>18</v>
      </c>
      <c r="D81">
        <v>0.1919182285557009</v>
      </c>
      <c r="E81" t="s">
        <v>6</v>
      </c>
      <c r="G81" t="s">
        <v>33</v>
      </c>
      <c r="H81" t="s">
        <v>18</v>
      </c>
      <c r="I81">
        <v>0.11170288325388882</v>
      </c>
      <c r="J81" t="s">
        <v>6</v>
      </c>
      <c r="L81" t="s">
        <v>34</v>
      </c>
      <c r="M81" t="s">
        <v>18</v>
      </c>
      <c r="N81">
        <v>0.10741331239231715</v>
      </c>
      <c r="O81" t="s">
        <v>6</v>
      </c>
    </row>
    <row r="82" spans="2:15" x14ac:dyDescent="0.45">
      <c r="B82" t="s">
        <v>32</v>
      </c>
      <c r="C82" t="s">
        <v>19</v>
      </c>
      <c r="D82">
        <v>4.1932715999356005E-3</v>
      </c>
      <c r="E82" t="s">
        <v>6</v>
      </c>
      <c r="G82" t="s">
        <v>33</v>
      </c>
      <c r="H82" t="s">
        <v>19</v>
      </c>
      <c r="I82">
        <v>7.5297235704911675E-2</v>
      </c>
      <c r="J82" t="s">
        <v>6</v>
      </c>
      <c r="L82" t="s">
        <v>34</v>
      </c>
      <c r="M82" t="s">
        <v>19</v>
      </c>
      <c r="N82">
        <v>6.7179701947521347E-2</v>
      </c>
      <c r="O82" t="s">
        <v>6</v>
      </c>
    </row>
    <row r="83" spans="2:15" x14ac:dyDescent="0.45">
      <c r="B83" t="s">
        <v>35</v>
      </c>
      <c r="C83" t="s">
        <v>5</v>
      </c>
      <c r="D83">
        <v>0</v>
      </c>
      <c r="E83" t="s">
        <v>6</v>
      </c>
      <c r="G83" t="s">
        <v>36</v>
      </c>
      <c r="H83" t="s">
        <v>5</v>
      </c>
      <c r="I83">
        <v>0.1052161361456027</v>
      </c>
      <c r="J83" t="s">
        <v>6</v>
      </c>
      <c r="L83" t="s">
        <v>37</v>
      </c>
      <c r="M83" t="s">
        <v>5</v>
      </c>
      <c r="N83">
        <v>8.8735980517810523E-2</v>
      </c>
      <c r="O83" t="s">
        <v>6</v>
      </c>
    </row>
    <row r="84" spans="2:15" x14ac:dyDescent="0.45">
      <c r="B84" t="s">
        <v>35</v>
      </c>
      <c r="C84" t="s">
        <v>9</v>
      </c>
      <c r="D84">
        <v>0.13041520237234319</v>
      </c>
      <c r="E84" t="s">
        <v>6</v>
      </c>
      <c r="G84" t="s">
        <v>36</v>
      </c>
      <c r="H84" t="s">
        <v>9</v>
      </c>
      <c r="I84">
        <v>0.11880843654508423</v>
      </c>
      <c r="J84" t="s">
        <v>6</v>
      </c>
      <c r="L84" t="s">
        <v>37</v>
      </c>
      <c r="M84" t="s">
        <v>9</v>
      </c>
      <c r="N84">
        <v>0.11294562698274146</v>
      </c>
      <c r="O84" t="s">
        <v>6</v>
      </c>
    </row>
    <row r="85" spans="2:15" x14ac:dyDescent="0.45">
      <c r="B85" t="s">
        <v>35</v>
      </c>
      <c r="C85" t="s">
        <v>10</v>
      </c>
      <c r="D85">
        <v>1.0191857704062324E-3</v>
      </c>
      <c r="E85" t="s">
        <v>6</v>
      </c>
      <c r="G85" t="s">
        <v>36</v>
      </c>
      <c r="H85" t="s">
        <v>10</v>
      </c>
      <c r="I85">
        <v>8.096480134119402E-2</v>
      </c>
      <c r="J85" t="s">
        <v>6</v>
      </c>
      <c r="L85" t="s">
        <v>37</v>
      </c>
      <c r="M85" t="s">
        <v>10</v>
      </c>
      <c r="N85">
        <v>6.8234211704801428E-2</v>
      </c>
      <c r="O85" t="s">
        <v>6</v>
      </c>
    </row>
    <row r="86" spans="2:15" x14ac:dyDescent="0.45">
      <c r="B86" t="s">
        <v>35</v>
      </c>
      <c r="C86" t="s">
        <v>11</v>
      </c>
      <c r="D86">
        <v>1.5331076279916987E-3</v>
      </c>
      <c r="E86" t="s">
        <v>6</v>
      </c>
      <c r="G86" t="s">
        <v>36</v>
      </c>
      <c r="H86" t="s">
        <v>11</v>
      </c>
      <c r="I86">
        <v>8.6099304736701326E-2</v>
      </c>
      <c r="J86" t="s">
        <v>6</v>
      </c>
      <c r="L86" t="s">
        <v>37</v>
      </c>
      <c r="M86" t="s">
        <v>11</v>
      </c>
      <c r="N86">
        <v>0.1045072850260767</v>
      </c>
      <c r="O86" t="s">
        <v>6</v>
      </c>
    </row>
    <row r="87" spans="2:15" x14ac:dyDescent="0.45">
      <c r="B87" t="s">
        <v>35</v>
      </c>
      <c r="C87" t="s">
        <v>12</v>
      </c>
      <c r="D87">
        <v>0.28245934230790787</v>
      </c>
      <c r="E87" t="s">
        <v>6</v>
      </c>
      <c r="G87" t="s">
        <v>36</v>
      </c>
      <c r="H87" t="s">
        <v>12</v>
      </c>
      <c r="I87">
        <v>8.8746275078552858E-2</v>
      </c>
      <c r="J87" t="s">
        <v>6</v>
      </c>
      <c r="L87" t="s">
        <v>37</v>
      </c>
      <c r="M87" t="s">
        <v>12</v>
      </c>
      <c r="N87">
        <v>0.14138653460320308</v>
      </c>
      <c r="O87" t="s">
        <v>6</v>
      </c>
    </row>
    <row r="88" spans="2:15" x14ac:dyDescent="0.45">
      <c r="B88" t="s">
        <v>35</v>
      </c>
      <c r="C88" t="s">
        <v>13</v>
      </c>
      <c r="D88">
        <v>1.5451201782846096E-2</v>
      </c>
      <c r="E88" t="s">
        <v>6</v>
      </c>
      <c r="G88" t="s">
        <v>36</v>
      </c>
      <c r="H88" t="s">
        <v>13</v>
      </c>
      <c r="I88">
        <v>6.3931854424104331E-2</v>
      </c>
      <c r="J88" t="s">
        <v>6</v>
      </c>
      <c r="L88" t="s">
        <v>37</v>
      </c>
      <c r="M88" t="s">
        <v>13</v>
      </c>
      <c r="N88">
        <v>8.2478484319122011E-2</v>
      </c>
      <c r="O88" t="s">
        <v>6</v>
      </c>
    </row>
    <row r="89" spans="2:15" x14ac:dyDescent="0.45">
      <c r="B89" t="s">
        <v>35</v>
      </c>
      <c r="C89" t="s">
        <v>14</v>
      </c>
      <c r="D89">
        <v>3.5027582709427551E-3</v>
      </c>
      <c r="E89" t="s">
        <v>6</v>
      </c>
      <c r="G89" t="s">
        <v>36</v>
      </c>
      <c r="H89" t="s">
        <v>14</v>
      </c>
      <c r="I89">
        <v>6.4498492918551295E-2</v>
      </c>
      <c r="J89" t="s">
        <v>6</v>
      </c>
      <c r="L89" t="s">
        <v>37</v>
      </c>
      <c r="M89" t="s">
        <v>14</v>
      </c>
      <c r="N89">
        <v>3.7502209275001669E-2</v>
      </c>
      <c r="O89" t="s">
        <v>6</v>
      </c>
    </row>
    <row r="90" spans="2:15" x14ac:dyDescent="0.45">
      <c r="B90" t="s">
        <v>35</v>
      </c>
      <c r="C90" t="s">
        <v>15</v>
      </c>
      <c r="D90">
        <v>0.34346962296416544</v>
      </c>
      <c r="E90" t="s">
        <v>6</v>
      </c>
      <c r="G90" t="s">
        <v>36</v>
      </c>
      <c r="H90" t="s">
        <v>15</v>
      </c>
      <c r="I90">
        <v>5.7306799685926071E-2</v>
      </c>
      <c r="J90" t="s">
        <v>6</v>
      </c>
      <c r="L90" t="s">
        <v>37</v>
      </c>
      <c r="M90" t="s">
        <v>15</v>
      </c>
      <c r="N90">
        <v>5.1555767935622152E-2</v>
      </c>
      <c r="O90" t="s">
        <v>6</v>
      </c>
    </row>
    <row r="91" spans="2:15" x14ac:dyDescent="0.45">
      <c r="B91" t="s">
        <v>35</v>
      </c>
      <c r="C91" t="s">
        <v>16</v>
      </c>
      <c r="D91">
        <v>2.7287052095723106E-2</v>
      </c>
      <c r="E91" t="s">
        <v>6</v>
      </c>
      <c r="G91" t="s">
        <v>36</v>
      </c>
      <c r="H91" t="s">
        <v>16</v>
      </c>
      <c r="I91">
        <v>4.754281239040159E-2</v>
      </c>
      <c r="J91" t="s">
        <v>6</v>
      </c>
      <c r="L91" t="s">
        <v>37</v>
      </c>
      <c r="M91" t="s">
        <v>16</v>
      </c>
      <c r="N91">
        <v>3.3411370046503533E-2</v>
      </c>
      <c r="O91" t="s">
        <v>6</v>
      </c>
    </row>
    <row r="92" spans="2:15" x14ac:dyDescent="0.45">
      <c r="B92" t="s">
        <v>35</v>
      </c>
      <c r="C92" t="s">
        <v>17</v>
      </c>
      <c r="D92">
        <v>4.2779558163201814E-5</v>
      </c>
      <c r="E92" t="s">
        <v>6</v>
      </c>
      <c r="G92" t="s">
        <v>36</v>
      </c>
      <c r="H92" t="s">
        <v>17</v>
      </c>
      <c r="I92">
        <v>9.8139798934423483E-2</v>
      </c>
      <c r="J92" t="s">
        <v>6</v>
      </c>
      <c r="L92" t="s">
        <v>37</v>
      </c>
      <c r="M92" t="s">
        <v>17</v>
      </c>
      <c r="N92">
        <v>8.9551445844765917E-2</v>
      </c>
      <c r="O92" t="s">
        <v>6</v>
      </c>
    </row>
    <row r="93" spans="2:15" x14ac:dyDescent="0.45">
      <c r="B93" t="s">
        <v>35</v>
      </c>
      <c r="C93" t="s">
        <v>18</v>
      </c>
      <c r="D93">
        <v>0.19142027917221838</v>
      </c>
      <c r="E93" t="s">
        <v>6</v>
      </c>
      <c r="G93" t="s">
        <v>36</v>
      </c>
      <c r="H93" t="s">
        <v>18</v>
      </c>
      <c r="I93">
        <v>0.11063553341157026</v>
      </c>
      <c r="J93" t="s">
        <v>6</v>
      </c>
      <c r="L93" t="s">
        <v>37</v>
      </c>
      <c r="M93" t="s">
        <v>18</v>
      </c>
      <c r="N93">
        <v>0.11846031787185055</v>
      </c>
      <c r="O93" t="s">
        <v>6</v>
      </c>
    </row>
    <row r="94" spans="2:15" x14ac:dyDescent="0.45">
      <c r="B94" t="s">
        <v>35</v>
      </c>
      <c r="C94" t="s">
        <v>19</v>
      </c>
      <c r="D94">
        <v>3.3994680772927981E-3</v>
      </c>
      <c r="E94" t="s">
        <v>6</v>
      </c>
      <c r="G94" t="s">
        <v>36</v>
      </c>
      <c r="H94" t="s">
        <v>19</v>
      </c>
      <c r="I94">
        <v>7.8109754387887836E-2</v>
      </c>
      <c r="J94" t="s">
        <v>6</v>
      </c>
      <c r="L94" t="s">
        <v>37</v>
      </c>
      <c r="M94" t="s">
        <v>19</v>
      </c>
      <c r="N94">
        <v>7.1230765872501711E-2</v>
      </c>
      <c r="O94" t="s">
        <v>6</v>
      </c>
    </row>
    <row r="95" spans="2:15" x14ac:dyDescent="0.45">
      <c r="B95" t="s">
        <v>38</v>
      </c>
      <c r="C95" t="s">
        <v>5</v>
      </c>
      <c r="D95">
        <v>0</v>
      </c>
      <c r="E95" t="s">
        <v>6</v>
      </c>
      <c r="G95" t="s">
        <v>39</v>
      </c>
      <c r="H95" t="s">
        <v>5</v>
      </c>
      <c r="I95">
        <v>0.10329332601251816</v>
      </c>
      <c r="J95" t="s">
        <v>6</v>
      </c>
      <c r="L95" t="s">
        <v>40</v>
      </c>
      <c r="M95" t="s">
        <v>5</v>
      </c>
      <c r="N95">
        <v>8.9163661290042787E-2</v>
      </c>
      <c r="O95" t="s">
        <v>6</v>
      </c>
    </row>
    <row r="96" spans="2:15" x14ac:dyDescent="0.45">
      <c r="B96" t="s">
        <v>38</v>
      </c>
      <c r="C96" t="s">
        <v>9</v>
      </c>
      <c r="D96">
        <v>0.13137397853667995</v>
      </c>
      <c r="E96" t="s">
        <v>6</v>
      </c>
      <c r="G96" t="s">
        <v>39</v>
      </c>
      <c r="H96" t="s">
        <v>9</v>
      </c>
      <c r="I96">
        <v>0.11928460739850646</v>
      </c>
      <c r="J96" t="s">
        <v>6</v>
      </c>
      <c r="L96" t="s">
        <v>40</v>
      </c>
      <c r="M96" t="s">
        <v>9</v>
      </c>
      <c r="N96">
        <v>0.12230688459655256</v>
      </c>
      <c r="O96" t="s">
        <v>6</v>
      </c>
    </row>
    <row r="97" spans="2:15" x14ac:dyDescent="0.45">
      <c r="B97" t="s">
        <v>38</v>
      </c>
      <c r="C97" t="s">
        <v>10</v>
      </c>
      <c r="D97">
        <v>1.4056150296393231E-3</v>
      </c>
      <c r="E97" t="s">
        <v>6</v>
      </c>
      <c r="G97" t="s">
        <v>39</v>
      </c>
      <c r="H97" t="s">
        <v>10</v>
      </c>
      <c r="I97">
        <v>7.9303101259801723E-2</v>
      </c>
      <c r="J97" t="s">
        <v>6</v>
      </c>
      <c r="L97" t="s">
        <v>40</v>
      </c>
      <c r="M97" t="s">
        <v>10</v>
      </c>
      <c r="N97">
        <v>7.1281656112624811E-2</v>
      </c>
      <c r="O97" t="s">
        <v>6</v>
      </c>
    </row>
    <row r="98" spans="2:15" x14ac:dyDescent="0.45">
      <c r="B98" t="s">
        <v>38</v>
      </c>
      <c r="C98" t="s">
        <v>11</v>
      </c>
      <c r="D98">
        <v>1.2015722406489887E-3</v>
      </c>
      <c r="E98" t="s">
        <v>6</v>
      </c>
      <c r="G98" t="s">
        <v>39</v>
      </c>
      <c r="H98" t="s">
        <v>11</v>
      </c>
      <c r="I98">
        <v>8.5202125898108799E-2</v>
      </c>
      <c r="J98" t="s">
        <v>6</v>
      </c>
      <c r="L98" t="s">
        <v>40</v>
      </c>
      <c r="M98" t="s">
        <v>11</v>
      </c>
      <c r="N98">
        <v>0.10317411107207404</v>
      </c>
      <c r="O98" t="s">
        <v>6</v>
      </c>
    </row>
    <row r="99" spans="2:15" x14ac:dyDescent="0.45">
      <c r="B99" t="s">
        <v>38</v>
      </c>
      <c r="C99" t="s">
        <v>12</v>
      </c>
      <c r="D99">
        <v>0.28663894399517997</v>
      </c>
      <c r="E99" t="s">
        <v>6</v>
      </c>
      <c r="G99" t="s">
        <v>39</v>
      </c>
      <c r="H99" t="s">
        <v>12</v>
      </c>
      <c r="I99">
        <v>9.7884171897697422E-2</v>
      </c>
      <c r="J99" t="s">
        <v>6</v>
      </c>
      <c r="L99" t="s">
        <v>40</v>
      </c>
      <c r="M99" t="s">
        <v>12</v>
      </c>
      <c r="N99">
        <v>0.13273916619857259</v>
      </c>
      <c r="O99" t="s">
        <v>6</v>
      </c>
    </row>
    <row r="100" spans="2:15" x14ac:dyDescent="0.45">
      <c r="B100" t="s">
        <v>38</v>
      </c>
      <c r="C100" t="s">
        <v>13</v>
      </c>
      <c r="D100">
        <v>1.8068006728408983E-2</v>
      </c>
      <c r="E100" t="s">
        <v>6</v>
      </c>
      <c r="G100" t="s">
        <v>39</v>
      </c>
      <c r="H100" t="s">
        <v>13</v>
      </c>
      <c r="I100">
        <v>6.2393270548244756E-2</v>
      </c>
      <c r="J100" t="s">
        <v>6</v>
      </c>
      <c r="L100" t="s">
        <v>40</v>
      </c>
      <c r="M100" t="s">
        <v>13</v>
      </c>
      <c r="N100">
        <v>8.0648396815798884E-2</v>
      </c>
      <c r="O100" t="s">
        <v>6</v>
      </c>
    </row>
    <row r="101" spans="2:15" x14ac:dyDescent="0.45">
      <c r="B101" t="s">
        <v>38</v>
      </c>
      <c r="C101" t="s">
        <v>14</v>
      </c>
      <c r="D101">
        <v>2.7700126326089098E-3</v>
      </c>
      <c r="E101" t="s">
        <v>6</v>
      </c>
      <c r="G101" t="s">
        <v>39</v>
      </c>
      <c r="H101" t="s">
        <v>14</v>
      </c>
      <c r="I101">
        <v>6.414215699940487E-2</v>
      </c>
      <c r="J101" t="s">
        <v>6</v>
      </c>
      <c r="L101" t="s">
        <v>40</v>
      </c>
      <c r="M101" t="s">
        <v>14</v>
      </c>
      <c r="N101">
        <v>3.2950793726922209E-2</v>
      </c>
      <c r="O101" t="s">
        <v>6</v>
      </c>
    </row>
    <row r="102" spans="2:15" x14ac:dyDescent="0.45">
      <c r="B102" t="s">
        <v>38</v>
      </c>
      <c r="C102" t="s">
        <v>15</v>
      </c>
      <c r="D102">
        <v>0.3396411874623243</v>
      </c>
      <c r="E102" t="s">
        <v>6</v>
      </c>
      <c r="G102" t="s">
        <v>39</v>
      </c>
      <c r="H102" t="s">
        <v>15</v>
      </c>
      <c r="I102">
        <v>6.5231208567923887E-2</v>
      </c>
      <c r="J102" t="s">
        <v>6</v>
      </c>
      <c r="L102" t="s">
        <v>40</v>
      </c>
      <c r="M102" t="s">
        <v>15</v>
      </c>
      <c r="N102">
        <v>5.2999873648716209E-2</v>
      </c>
      <c r="O102" t="s">
        <v>6</v>
      </c>
    </row>
    <row r="103" spans="2:15" x14ac:dyDescent="0.45">
      <c r="B103" t="s">
        <v>38</v>
      </c>
      <c r="C103" t="s">
        <v>16</v>
      </c>
      <c r="D103">
        <v>3.0054620302348893E-2</v>
      </c>
      <c r="E103" t="s">
        <v>6</v>
      </c>
      <c r="G103" t="s">
        <v>39</v>
      </c>
      <c r="H103" t="s">
        <v>16</v>
      </c>
      <c r="I103">
        <v>5.0745159538956149E-2</v>
      </c>
      <c r="J103" t="s">
        <v>6</v>
      </c>
      <c r="L103" t="s">
        <v>40</v>
      </c>
      <c r="M103" t="s">
        <v>16</v>
      </c>
      <c r="N103">
        <v>2.7743440310999207E-2</v>
      </c>
      <c r="O103" t="s">
        <v>6</v>
      </c>
    </row>
    <row r="104" spans="2:15" x14ac:dyDescent="0.45">
      <c r="B104" t="s">
        <v>38</v>
      </c>
      <c r="C104" t="s">
        <v>17</v>
      </c>
      <c r="D104">
        <v>2.0933991163403394E-5</v>
      </c>
      <c r="E104" t="s">
        <v>6</v>
      </c>
      <c r="G104" t="s">
        <v>39</v>
      </c>
      <c r="H104" t="s">
        <v>17</v>
      </c>
      <c r="I104">
        <v>9.1219808977259259E-2</v>
      </c>
      <c r="J104" t="s">
        <v>6</v>
      </c>
      <c r="L104" t="s">
        <v>40</v>
      </c>
      <c r="M104" t="s">
        <v>17</v>
      </c>
      <c r="N104">
        <v>9.309973118446066E-2</v>
      </c>
      <c r="O104" t="s">
        <v>6</v>
      </c>
    </row>
    <row r="105" spans="2:15" x14ac:dyDescent="0.45">
      <c r="B105" t="s">
        <v>38</v>
      </c>
      <c r="C105" t="s">
        <v>18</v>
      </c>
      <c r="D105">
        <v>0.18442706147231558</v>
      </c>
      <c r="E105" t="s">
        <v>6</v>
      </c>
      <c r="G105" t="s">
        <v>39</v>
      </c>
      <c r="H105" t="s">
        <v>18</v>
      </c>
      <c r="I105">
        <v>0.10906241059123564</v>
      </c>
      <c r="J105" t="s">
        <v>6</v>
      </c>
      <c r="L105" t="s">
        <v>40</v>
      </c>
      <c r="M105" t="s">
        <v>18</v>
      </c>
      <c r="N105">
        <v>0.11800156069729385</v>
      </c>
      <c r="O105" t="s">
        <v>6</v>
      </c>
    </row>
    <row r="106" spans="2:15" x14ac:dyDescent="0.45">
      <c r="B106" t="s">
        <v>38</v>
      </c>
      <c r="C106" t="s">
        <v>19</v>
      </c>
      <c r="D106">
        <v>4.3980676086825448E-3</v>
      </c>
      <c r="E106" t="s">
        <v>6</v>
      </c>
      <c r="G106" t="s">
        <v>39</v>
      </c>
      <c r="H106" t="s">
        <v>19</v>
      </c>
      <c r="I106">
        <v>7.2238652310341558E-2</v>
      </c>
      <c r="J106" t="s">
        <v>6</v>
      </c>
      <c r="L106" t="s">
        <v>40</v>
      </c>
      <c r="M106" t="s">
        <v>19</v>
      </c>
      <c r="N106">
        <v>7.5890724345942184E-2</v>
      </c>
      <c r="O106" t="s">
        <v>6</v>
      </c>
    </row>
    <row r="107" spans="2:15" x14ac:dyDescent="0.45">
      <c r="B107" t="s">
        <v>41</v>
      </c>
      <c r="C107" t="s">
        <v>5</v>
      </c>
      <c r="D107">
        <v>0</v>
      </c>
      <c r="E107" t="s">
        <v>6</v>
      </c>
      <c r="G107" t="s">
        <v>42</v>
      </c>
      <c r="H107" t="s">
        <v>5</v>
      </c>
      <c r="I107">
        <v>0.10655817085652801</v>
      </c>
      <c r="J107" t="s">
        <v>6</v>
      </c>
      <c r="L107" t="s">
        <v>43</v>
      </c>
      <c r="M107" t="s">
        <v>5</v>
      </c>
      <c r="N107">
        <v>0.10755105701484513</v>
      </c>
      <c r="O107" t="s">
        <v>6</v>
      </c>
    </row>
    <row r="108" spans="2:15" x14ac:dyDescent="0.45">
      <c r="B108" t="s">
        <v>41</v>
      </c>
      <c r="C108" t="s">
        <v>9</v>
      </c>
      <c r="D108">
        <v>0.13278130364150717</v>
      </c>
      <c r="E108" t="s">
        <v>6</v>
      </c>
      <c r="G108" t="s">
        <v>42</v>
      </c>
      <c r="H108" t="s">
        <v>9</v>
      </c>
      <c r="I108">
        <v>0.1192572216307372</v>
      </c>
      <c r="J108" t="s">
        <v>6</v>
      </c>
      <c r="L108" t="s">
        <v>43</v>
      </c>
      <c r="M108" t="s">
        <v>9</v>
      </c>
      <c r="N108">
        <v>0.11915784724402181</v>
      </c>
      <c r="O108" t="s">
        <v>6</v>
      </c>
    </row>
    <row r="109" spans="2:15" x14ac:dyDescent="0.45">
      <c r="B109" t="s">
        <v>41</v>
      </c>
      <c r="C109" t="s">
        <v>10</v>
      </c>
      <c r="D109">
        <v>3.3775907142228139E-3</v>
      </c>
      <c r="E109" t="s">
        <v>6</v>
      </c>
      <c r="G109" t="s">
        <v>42</v>
      </c>
      <c r="H109" t="s">
        <v>10</v>
      </c>
      <c r="I109">
        <v>8.0932832416070702E-2</v>
      </c>
      <c r="J109" t="s">
        <v>6</v>
      </c>
      <c r="L109" t="s">
        <v>43</v>
      </c>
      <c r="M109" t="s">
        <v>10</v>
      </c>
      <c r="N109">
        <v>7.8668064500933416E-2</v>
      </c>
      <c r="O109" t="s">
        <v>6</v>
      </c>
    </row>
    <row r="110" spans="2:15" x14ac:dyDescent="0.45">
      <c r="B110" t="s">
        <v>41</v>
      </c>
      <c r="C110" t="s">
        <v>11</v>
      </c>
      <c r="D110">
        <v>5.3617586259794865E-4</v>
      </c>
      <c r="E110" t="s">
        <v>6</v>
      </c>
      <c r="G110" t="s">
        <v>42</v>
      </c>
      <c r="H110" t="s">
        <v>11</v>
      </c>
      <c r="I110">
        <v>8.5576227040720265E-2</v>
      </c>
      <c r="J110" t="s">
        <v>6</v>
      </c>
      <c r="L110" t="s">
        <v>43</v>
      </c>
      <c r="M110" t="s">
        <v>11</v>
      </c>
      <c r="N110">
        <v>9.0039997029745245E-2</v>
      </c>
      <c r="O110" t="s">
        <v>6</v>
      </c>
    </row>
    <row r="111" spans="2:15" x14ac:dyDescent="0.45">
      <c r="B111" t="s">
        <v>41</v>
      </c>
      <c r="C111" t="s">
        <v>12</v>
      </c>
      <c r="D111">
        <v>0.28075035274778865</v>
      </c>
      <c r="E111" t="s">
        <v>6</v>
      </c>
      <c r="G111" t="s">
        <v>42</v>
      </c>
      <c r="H111" t="s">
        <v>12</v>
      </c>
      <c r="I111">
        <v>9.3195412678310191E-2</v>
      </c>
      <c r="J111" t="s">
        <v>6</v>
      </c>
      <c r="L111" t="s">
        <v>43</v>
      </c>
      <c r="M111" t="s">
        <v>12</v>
      </c>
      <c r="N111">
        <v>0.10931517814845669</v>
      </c>
      <c r="O111" t="s">
        <v>6</v>
      </c>
    </row>
    <row r="112" spans="2:15" x14ac:dyDescent="0.45">
      <c r="B112" t="s">
        <v>41</v>
      </c>
      <c r="C112" t="s">
        <v>13</v>
      </c>
      <c r="D112">
        <v>2.4133435307087676E-2</v>
      </c>
      <c r="E112" t="s">
        <v>6</v>
      </c>
      <c r="G112" t="s">
        <v>42</v>
      </c>
      <c r="H112" t="s">
        <v>13</v>
      </c>
      <c r="I112">
        <v>6.2138742808881958E-2</v>
      </c>
      <c r="J112" t="s">
        <v>6</v>
      </c>
      <c r="L112" t="s">
        <v>43</v>
      </c>
      <c r="M112" t="s">
        <v>13</v>
      </c>
      <c r="N112">
        <v>6.6881529201717679E-2</v>
      </c>
      <c r="O112" t="s">
        <v>6</v>
      </c>
    </row>
    <row r="113" spans="2:15" x14ac:dyDescent="0.45">
      <c r="B113" t="s">
        <v>41</v>
      </c>
      <c r="C113" t="s">
        <v>14</v>
      </c>
      <c r="D113">
        <v>1.2887050166556239E-3</v>
      </c>
      <c r="E113" t="s">
        <v>6</v>
      </c>
      <c r="G113" t="s">
        <v>42</v>
      </c>
      <c r="H113" t="s">
        <v>14</v>
      </c>
      <c r="I113">
        <v>6.42615632791705E-2</v>
      </c>
      <c r="J113" t="s">
        <v>6</v>
      </c>
      <c r="L113" t="s">
        <v>43</v>
      </c>
      <c r="M113" t="s">
        <v>14</v>
      </c>
      <c r="N113">
        <v>4.5399721177374286E-2</v>
      </c>
      <c r="O113" t="s">
        <v>6</v>
      </c>
    </row>
    <row r="114" spans="2:15" x14ac:dyDescent="0.45">
      <c r="B114" t="s">
        <v>41</v>
      </c>
      <c r="C114" t="s">
        <v>15</v>
      </c>
      <c r="D114">
        <v>0.31718781759261433</v>
      </c>
      <c r="E114" t="s">
        <v>6</v>
      </c>
      <c r="G114" t="s">
        <v>42</v>
      </c>
      <c r="H114" t="s">
        <v>15</v>
      </c>
      <c r="I114">
        <v>5.792770634674476E-2</v>
      </c>
      <c r="J114" t="s">
        <v>6</v>
      </c>
      <c r="L114" t="s">
        <v>43</v>
      </c>
      <c r="M114" t="s">
        <v>15</v>
      </c>
      <c r="N114">
        <v>6.0915285404882211E-2</v>
      </c>
      <c r="O114" t="s">
        <v>6</v>
      </c>
    </row>
    <row r="115" spans="2:15" x14ac:dyDescent="0.45">
      <c r="B115" t="s">
        <v>41</v>
      </c>
      <c r="C115" t="s">
        <v>16</v>
      </c>
      <c r="D115">
        <v>3.5943060091108696E-2</v>
      </c>
      <c r="E115" t="s">
        <v>6</v>
      </c>
      <c r="G115" t="s">
        <v>42</v>
      </c>
      <c r="H115" t="s">
        <v>16</v>
      </c>
      <c r="I115">
        <v>4.5259284338331061E-2</v>
      </c>
      <c r="J115" t="s">
        <v>6</v>
      </c>
      <c r="L115" t="s">
        <v>43</v>
      </c>
      <c r="M115" t="s">
        <v>16</v>
      </c>
      <c r="N115">
        <v>5.2427995669531033E-2</v>
      </c>
      <c r="O115" t="s">
        <v>6</v>
      </c>
    </row>
    <row r="116" spans="2:15" x14ac:dyDescent="0.45">
      <c r="B116" t="s">
        <v>41</v>
      </c>
      <c r="C116" t="s">
        <v>17</v>
      </c>
      <c r="D116">
        <v>0</v>
      </c>
      <c r="E116" t="s">
        <v>6</v>
      </c>
      <c r="G116" t="s">
        <v>42</v>
      </c>
      <c r="H116" t="s">
        <v>17</v>
      </c>
      <c r="I116">
        <v>9.6727192866573108E-2</v>
      </c>
      <c r="J116" t="s">
        <v>6</v>
      </c>
      <c r="L116" t="s">
        <v>43</v>
      </c>
      <c r="M116" t="s">
        <v>17</v>
      </c>
      <c r="N116">
        <v>8.9419052848076747E-2</v>
      </c>
      <c r="O116" t="s">
        <v>6</v>
      </c>
    </row>
    <row r="117" spans="2:15" x14ac:dyDescent="0.45">
      <c r="B117" t="s">
        <v>41</v>
      </c>
      <c r="C117" t="s">
        <v>18</v>
      </c>
      <c r="D117">
        <v>0.19616391290612725</v>
      </c>
      <c r="E117" t="s">
        <v>6</v>
      </c>
      <c r="G117" t="s">
        <v>42</v>
      </c>
      <c r="H117" t="s">
        <v>18</v>
      </c>
      <c r="I117">
        <v>0.11058621836337354</v>
      </c>
      <c r="J117" t="s">
        <v>6</v>
      </c>
      <c r="L117" t="s">
        <v>43</v>
      </c>
      <c r="M117" t="s">
        <v>18</v>
      </c>
      <c r="N117">
        <v>0.10822599056840704</v>
      </c>
      <c r="O117" t="s">
        <v>6</v>
      </c>
    </row>
    <row r="118" spans="2:15" x14ac:dyDescent="0.45">
      <c r="B118" t="s">
        <v>41</v>
      </c>
      <c r="C118" t="s">
        <v>19</v>
      </c>
      <c r="D118">
        <v>7.8376461202941984E-3</v>
      </c>
      <c r="E118" t="s">
        <v>6</v>
      </c>
      <c r="G118" t="s">
        <v>42</v>
      </c>
      <c r="H118" t="s">
        <v>19</v>
      </c>
      <c r="I118">
        <v>7.7579427374556142E-2</v>
      </c>
      <c r="J118" t="s">
        <v>6</v>
      </c>
      <c r="L118" t="s">
        <v>43</v>
      </c>
      <c r="M118" t="s">
        <v>19</v>
      </c>
      <c r="N118">
        <v>7.1998281192006297E-2</v>
      </c>
      <c r="O118" t="s">
        <v>6</v>
      </c>
    </row>
    <row r="119" spans="2:15" x14ac:dyDescent="0.45">
      <c r="B119" t="s">
        <v>44</v>
      </c>
      <c r="C119" t="s">
        <v>5</v>
      </c>
      <c r="D119">
        <v>0</v>
      </c>
      <c r="E119" t="s">
        <v>6</v>
      </c>
      <c r="G119" t="s">
        <v>45</v>
      </c>
      <c r="H119" t="s">
        <v>5</v>
      </c>
      <c r="I119">
        <v>0.1075298968425667</v>
      </c>
      <c r="J119" t="s">
        <v>6</v>
      </c>
      <c r="L119" t="s">
        <v>46</v>
      </c>
      <c r="M119" t="s">
        <v>5</v>
      </c>
      <c r="N119">
        <v>0.12611891163995925</v>
      </c>
      <c r="O119" t="s">
        <v>6</v>
      </c>
    </row>
    <row r="120" spans="2:15" x14ac:dyDescent="0.45">
      <c r="B120" t="s">
        <v>44</v>
      </c>
      <c r="C120" t="s">
        <v>9</v>
      </c>
      <c r="D120">
        <v>0.13239803490453544</v>
      </c>
      <c r="E120" t="s">
        <v>6</v>
      </c>
      <c r="G120" t="s">
        <v>45</v>
      </c>
      <c r="H120" t="s">
        <v>9</v>
      </c>
      <c r="I120">
        <v>0.11977994352031578</v>
      </c>
      <c r="J120" t="s">
        <v>6</v>
      </c>
      <c r="L120" t="s">
        <v>46</v>
      </c>
      <c r="M120" t="s">
        <v>9</v>
      </c>
      <c r="N120">
        <v>0.14069098920322234</v>
      </c>
      <c r="O120" t="s">
        <v>6</v>
      </c>
    </row>
    <row r="121" spans="2:15" x14ac:dyDescent="0.45">
      <c r="B121" t="s">
        <v>44</v>
      </c>
      <c r="C121" t="s">
        <v>10</v>
      </c>
      <c r="D121">
        <v>2.0928822185730038E-3</v>
      </c>
      <c r="E121" t="s">
        <v>6</v>
      </c>
      <c r="G121" t="s">
        <v>45</v>
      </c>
      <c r="H121" t="s">
        <v>10</v>
      </c>
      <c r="I121">
        <v>8.1437076165284089E-2</v>
      </c>
      <c r="J121" t="s">
        <v>6</v>
      </c>
      <c r="L121" t="s">
        <v>46</v>
      </c>
      <c r="M121" t="s">
        <v>10</v>
      </c>
      <c r="N121">
        <v>8.2583896373169929E-2</v>
      </c>
      <c r="O121" t="s">
        <v>6</v>
      </c>
    </row>
    <row r="122" spans="2:15" x14ac:dyDescent="0.45">
      <c r="B122" t="s">
        <v>44</v>
      </c>
      <c r="C122" t="s">
        <v>11</v>
      </c>
      <c r="D122">
        <v>8.8173479897892947E-4</v>
      </c>
      <c r="E122" t="s">
        <v>6</v>
      </c>
      <c r="G122" t="s">
        <v>45</v>
      </c>
      <c r="H122" t="s">
        <v>11</v>
      </c>
      <c r="I122">
        <v>8.999251069086292E-2</v>
      </c>
      <c r="J122" t="s">
        <v>6</v>
      </c>
      <c r="L122" t="s">
        <v>46</v>
      </c>
      <c r="M122" t="s">
        <v>11</v>
      </c>
      <c r="N122">
        <v>9.2350832193985918E-2</v>
      </c>
      <c r="O122" t="s">
        <v>6</v>
      </c>
    </row>
    <row r="123" spans="2:15" x14ac:dyDescent="0.45">
      <c r="B123" t="s">
        <v>44</v>
      </c>
      <c r="C123" t="s">
        <v>12</v>
      </c>
      <c r="D123">
        <v>0.28330713286912718</v>
      </c>
      <c r="E123" t="s">
        <v>6</v>
      </c>
      <c r="G123" t="s">
        <v>45</v>
      </c>
      <c r="H123" t="s">
        <v>12</v>
      </c>
      <c r="I123">
        <v>9.2395633330071364E-2</v>
      </c>
      <c r="J123" t="s">
        <v>6</v>
      </c>
      <c r="L123" t="s">
        <v>46</v>
      </c>
      <c r="M123" t="s">
        <v>12</v>
      </c>
      <c r="N123">
        <v>0.12486359821502571</v>
      </c>
      <c r="O123" t="s">
        <v>6</v>
      </c>
    </row>
    <row r="124" spans="2:15" x14ac:dyDescent="0.45">
      <c r="B124" t="s">
        <v>44</v>
      </c>
      <c r="C124" t="s">
        <v>13</v>
      </c>
      <c r="D124">
        <v>2.0334790837170092E-2</v>
      </c>
      <c r="E124" t="s">
        <v>6</v>
      </c>
      <c r="G124" t="s">
        <v>45</v>
      </c>
      <c r="H124" t="s">
        <v>13</v>
      </c>
      <c r="I124">
        <v>6.2754471582369561E-2</v>
      </c>
      <c r="J124" t="s">
        <v>6</v>
      </c>
      <c r="L124" t="s">
        <v>46</v>
      </c>
      <c r="M124" t="s">
        <v>13</v>
      </c>
      <c r="N124">
        <v>6.8285792341729795E-2</v>
      </c>
      <c r="O124" t="s">
        <v>6</v>
      </c>
    </row>
    <row r="125" spans="2:15" x14ac:dyDescent="0.45">
      <c r="B125" t="s">
        <v>44</v>
      </c>
      <c r="C125" t="s">
        <v>14</v>
      </c>
      <c r="D125">
        <v>2.0588469908228257E-3</v>
      </c>
      <c r="E125" t="s">
        <v>6</v>
      </c>
      <c r="G125" t="s">
        <v>45</v>
      </c>
      <c r="H125" t="s">
        <v>14</v>
      </c>
      <c r="I125">
        <v>6.2471296846509289E-2</v>
      </c>
      <c r="J125" t="s">
        <v>6</v>
      </c>
      <c r="L125" t="s">
        <v>46</v>
      </c>
      <c r="M125" t="s">
        <v>14</v>
      </c>
      <c r="N125">
        <v>3.1923318323309996E-2</v>
      </c>
      <c r="O125" t="s">
        <v>6</v>
      </c>
    </row>
    <row r="126" spans="2:15" x14ac:dyDescent="0.45">
      <c r="B126" t="s">
        <v>44</v>
      </c>
      <c r="C126" t="s">
        <v>15</v>
      </c>
      <c r="D126">
        <v>0.33122875755128883</v>
      </c>
      <c r="E126" t="s">
        <v>6</v>
      </c>
      <c r="G126" t="s">
        <v>45</v>
      </c>
      <c r="H126" t="s">
        <v>15</v>
      </c>
      <c r="I126">
        <v>5.3591034146291773E-2</v>
      </c>
      <c r="J126" t="s">
        <v>6</v>
      </c>
      <c r="L126" t="s">
        <v>46</v>
      </c>
      <c r="M126" t="s">
        <v>15</v>
      </c>
      <c r="N126">
        <v>5.8009638372731369E-2</v>
      </c>
      <c r="O126" t="s">
        <v>6</v>
      </c>
    </row>
    <row r="127" spans="2:15" x14ac:dyDescent="0.45">
      <c r="B127" t="s">
        <v>44</v>
      </c>
      <c r="C127" t="s">
        <v>16</v>
      </c>
      <c r="D127">
        <v>3.2387483800934876E-2</v>
      </c>
      <c r="E127" t="s">
        <v>6</v>
      </c>
      <c r="G127" t="s">
        <v>45</v>
      </c>
      <c r="H127" t="s">
        <v>16</v>
      </c>
      <c r="I127">
        <v>4.3848230249703912E-2</v>
      </c>
      <c r="J127" t="s">
        <v>6</v>
      </c>
      <c r="L127" t="s">
        <v>46</v>
      </c>
      <c r="M127" t="s">
        <v>16</v>
      </c>
      <c r="N127">
        <v>2.8326752909144371E-2</v>
      </c>
      <c r="O127" t="s">
        <v>6</v>
      </c>
    </row>
    <row r="128" spans="2:15" x14ac:dyDescent="0.45">
      <c r="B128" t="s">
        <v>44</v>
      </c>
      <c r="C128" t="s">
        <v>17</v>
      </c>
      <c r="D128">
        <v>2.871558495920904E-6</v>
      </c>
      <c r="E128" t="s">
        <v>6</v>
      </c>
      <c r="G128" t="s">
        <v>45</v>
      </c>
      <c r="H128" t="s">
        <v>17</v>
      </c>
      <c r="I128">
        <v>0.10080412982089512</v>
      </c>
      <c r="J128" t="s">
        <v>6</v>
      </c>
      <c r="L128" t="s">
        <v>46</v>
      </c>
      <c r="M128" t="s">
        <v>17</v>
      </c>
      <c r="N128">
        <v>8.1860743729870677E-2</v>
      </c>
      <c r="O128" t="s">
        <v>6</v>
      </c>
    </row>
    <row r="129" spans="2:15" x14ac:dyDescent="0.45">
      <c r="B129" t="s">
        <v>44</v>
      </c>
      <c r="C129" t="s">
        <v>18</v>
      </c>
      <c r="D129">
        <v>0.18932083807109809</v>
      </c>
      <c r="E129" t="s">
        <v>6</v>
      </c>
      <c r="G129" t="s">
        <v>45</v>
      </c>
      <c r="H129" t="s">
        <v>18</v>
      </c>
      <c r="I129">
        <v>0.10813557551054639</v>
      </c>
      <c r="J129" t="s">
        <v>6</v>
      </c>
      <c r="L129" t="s">
        <v>46</v>
      </c>
      <c r="M129" t="s">
        <v>18</v>
      </c>
      <c r="N129">
        <v>9.8302967490323592E-2</v>
      </c>
      <c r="O129" t="s">
        <v>6</v>
      </c>
    </row>
    <row r="130" spans="2:15" x14ac:dyDescent="0.45">
      <c r="B130" t="s">
        <v>44</v>
      </c>
      <c r="C130" t="s">
        <v>19</v>
      </c>
      <c r="D130">
        <v>5.986626398975293E-3</v>
      </c>
      <c r="E130" t="s">
        <v>6</v>
      </c>
      <c r="G130" t="s">
        <v>45</v>
      </c>
      <c r="H130" t="s">
        <v>19</v>
      </c>
      <c r="I130">
        <v>7.7260201294585426E-2</v>
      </c>
      <c r="J130" t="s">
        <v>6</v>
      </c>
      <c r="L130" t="s">
        <v>46</v>
      </c>
      <c r="M130" t="s">
        <v>19</v>
      </c>
      <c r="N130">
        <v>6.6682559207527026E-2</v>
      </c>
      <c r="O130" t="s">
        <v>6</v>
      </c>
    </row>
    <row r="131" spans="2:15" x14ac:dyDescent="0.45">
      <c r="B131" t="s">
        <v>47</v>
      </c>
      <c r="C131" t="s">
        <v>5</v>
      </c>
      <c r="D131">
        <v>0</v>
      </c>
      <c r="E131" t="s">
        <v>6</v>
      </c>
      <c r="G131" t="s">
        <v>48</v>
      </c>
      <c r="H131" t="s">
        <v>5</v>
      </c>
      <c r="I131">
        <v>8.1050637712141993E-2</v>
      </c>
      <c r="J131" t="s">
        <v>6</v>
      </c>
      <c r="L131" t="s">
        <v>49</v>
      </c>
      <c r="M131" t="s">
        <v>5</v>
      </c>
      <c r="N131">
        <v>0.10045471413896864</v>
      </c>
      <c r="O131" t="s">
        <v>6</v>
      </c>
    </row>
    <row r="132" spans="2:15" x14ac:dyDescent="0.45">
      <c r="B132" t="s">
        <v>47</v>
      </c>
      <c r="C132" t="s">
        <v>9</v>
      </c>
      <c r="D132">
        <v>0.12553677474597116</v>
      </c>
      <c r="E132" t="s">
        <v>6</v>
      </c>
      <c r="G132" t="s">
        <v>48</v>
      </c>
      <c r="H132" t="s">
        <v>9</v>
      </c>
      <c r="I132">
        <v>0.11239337881431324</v>
      </c>
      <c r="J132" t="s">
        <v>6</v>
      </c>
      <c r="L132" t="s">
        <v>49</v>
      </c>
      <c r="M132" t="s">
        <v>9</v>
      </c>
      <c r="N132">
        <v>0.11930442880665586</v>
      </c>
      <c r="O132" t="s">
        <v>6</v>
      </c>
    </row>
    <row r="133" spans="2:15" x14ac:dyDescent="0.45">
      <c r="B133" t="s">
        <v>47</v>
      </c>
      <c r="C133" t="s">
        <v>10</v>
      </c>
      <c r="D133">
        <v>1.9013889408405291E-3</v>
      </c>
      <c r="E133" t="s">
        <v>6</v>
      </c>
      <c r="G133" t="s">
        <v>48</v>
      </c>
      <c r="H133" t="s">
        <v>10</v>
      </c>
      <c r="I133">
        <v>6.4016003092098539E-2</v>
      </c>
      <c r="J133" t="s">
        <v>6</v>
      </c>
      <c r="L133" t="s">
        <v>49</v>
      </c>
      <c r="M133" t="s">
        <v>10</v>
      </c>
      <c r="N133">
        <v>7.7401112251223037E-2</v>
      </c>
      <c r="O133" t="s">
        <v>6</v>
      </c>
    </row>
    <row r="134" spans="2:15" x14ac:dyDescent="0.45">
      <c r="B134" t="s">
        <v>47</v>
      </c>
      <c r="C134" t="s">
        <v>11</v>
      </c>
      <c r="D134">
        <v>8.2138074776205185E-4</v>
      </c>
      <c r="E134" t="s">
        <v>6</v>
      </c>
      <c r="G134" t="s">
        <v>48</v>
      </c>
      <c r="H134" t="s">
        <v>11</v>
      </c>
      <c r="I134">
        <v>0.10834847175334378</v>
      </c>
      <c r="J134" t="s">
        <v>6</v>
      </c>
      <c r="L134" t="s">
        <v>49</v>
      </c>
      <c r="M134" t="s">
        <v>11</v>
      </c>
      <c r="N134">
        <v>9.1840283003027282E-2</v>
      </c>
      <c r="O134" t="s">
        <v>6</v>
      </c>
    </row>
    <row r="135" spans="2:15" x14ac:dyDescent="0.45">
      <c r="B135" t="s">
        <v>47</v>
      </c>
      <c r="C135" t="s">
        <v>12</v>
      </c>
      <c r="D135">
        <v>0.29201304461358113</v>
      </c>
      <c r="E135" t="s">
        <v>6</v>
      </c>
      <c r="G135" t="s">
        <v>48</v>
      </c>
      <c r="H135" t="s">
        <v>12</v>
      </c>
      <c r="I135">
        <v>0.14433674389542231</v>
      </c>
      <c r="J135" t="s">
        <v>6</v>
      </c>
      <c r="L135" t="s">
        <v>49</v>
      </c>
      <c r="M135" t="s">
        <v>12</v>
      </c>
      <c r="N135">
        <v>0.10694141376668564</v>
      </c>
      <c r="O135" t="s">
        <v>6</v>
      </c>
    </row>
    <row r="136" spans="2:15" x14ac:dyDescent="0.45">
      <c r="B136" t="s">
        <v>47</v>
      </c>
      <c r="C136" t="s">
        <v>13</v>
      </c>
      <c r="D136">
        <v>2.1990656388666957E-2</v>
      </c>
      <c r="E136" t="s">
        <v>6</v>
      </c>
      <c r="G136" t="s">
        <v>48</v>
      </c>
      <c r="H136" t="s">
        <v>13</v>
      </c>
      <c r="I136">
        <v>8.6439821853056834E-2</v>
      </c>
      <c r="J136" t="s">
        <v>6</v>
      </c>
      <c r="L136" t="s">
        <v>49</v>
      </c>
      <c r="M136" t="s">
        <v>13</v>
      </c>
      <c r="N136">
        <v>6.7373613477164584E-2</v>
      </c>
      <c r="O136" t="s">
        <v>6</v>
      </c>
    </row>
    <row r="137" spans="2:15" x14ac:dyDescent="0.45">
      <c r="B137" t="s">
        <v>47</v>
      </c>
      <c r="C137" t="s">
        <v>14</v>
      </c>
      <c r="D137">
        <v>1.9677309217313427E-3</v>
      </c>
      <c r="E137" t="s">
        <v>6</v>
      </c>
      <c r="G137" t="s">
        <v>48</v>
      </c>
      <c r="H137" t="s">
        <v>14</v>
      </c>
      <c r="I137">
        <v>3.575739643454677E-2</v>
      </c>
      <c r="J137" t="s">
        <v>6</v>
      </c>
      <c r="L137" t="s">
        <v>49</v>
      </c>
      <c r="M137" t="s">
        <v>14</v>
      </c>
      <c r="N137">
        <v>6.1467207817233846E-2</v>
      </c>
      <c r="O137" t="s">
        <v>6</v>
      </c>
    </row>
    <row r="138" spans="2:15" x14ac:dyDescent="0.45">
      <c r="B138" t="s">
        <v>47</v>
      </c>
      <c r="C138" t="s">
        <v>15</v>
      </c>
      <c r="D138">
        <v>0.33344943156179269</v>
      </c>
      <c r="E138" t="s">
        <v>6</v>
      </c>
      <c r="G138" t="s">
        <v>48</v>
      </c>
      <c r="H138" t="s">
        <v>15</v>
      </c>
      <c r="I138">
        <v>5.3293031314622874E-2</v>
      </c>
      <c r="J138" t="s">
        <v>6</v>
      </c>
      <c r="L138" t="s">
        <v>49</v>
      </c>
      <c r="M138" t="s">
        <v>15</v>
      </c>
      <c r="N138">
        <v>6.4749723813557772E-2</v>
      </c>
      <c r="O138" t="s">
        <v>6</v>
      </c>
    </row>
    <row r="139" spans="2:15" x14ac:dyDescent="0.45">
      <c r="B139" t="s">
        <v>47</v>
      </c>
      <c r="C139" t="s">
        <v>16</v>
      </c>
      <c r="D139">
        <v>3.4128082677993665E-2</v>
      </c>
      <c r="E139" t="s">
        <v>6</v>
      </c>
      <c r="G139" t="s">
        <v>48</v>
      </c>
      <c r="H139" t="s">
        <v>16</v>
      </c>
      <c r="I139">
        <v>2.9902002668038396E-2</v>
      </c>
      <c r="J139" t="s">
        <v>6</v>
      </c>
      <c r="L139" t="s">
        <v>49</v>
      </c>
      <c r="M139" t="s">
        <v>16</v>
      </c>
      <c r="N139">
        <v>4.6367892523837585E-2</v>
      </c>
      <c r="O139" t="s">
        <v>6</v>
      </c>
    </row>
    <row r="140" spans="2:15" x14ac:dyDescent="0.45">
      <c r="B140" t="s">
        <v>47</v>
      </c>
      <c r="C140" t="s">
        <v>17</v>
      </c>
      <c r="D140">
        <v>3.1087693642164102E-6</v>
      </c>
      <c r="E140" t="s">
        <v>6</v>
      </c>
      <c r="G140" t="s">
        <v>48</v>
      </c>
      <c r="H140" t="s">
        <v>17</v>
      </c>
      <c r="I140">
        <v>9.3162951679107833E-2</v>
      </c>
      <c r="J140" t="s">
        <v>6</v>
      </c>
      <c r="L140" t="s">
        <v>49</v>
      </c>
      <c r="M140" t="s">
        <v>17</v>
      </c>
      <c r="N140">
        <v>8.8116166322403683E-2</v>
      </c>
      <c r="O140" t="s">
        <v>6</v>
      </c>
    </row>
    <row r="141" spans="2:15" x14ac:dyDescent="0.45">
      <c r="B141" t="s">
        <v>47</v>
      </c>
      <c r="C141" t="s">
        <v>18</v>
      </c>
      <c r="D141">
        <v>0.18232429212929005</v>
      </c>
      <c r="E141" t="s">
        <v>6</v>
      </c>
      <c r="G141" t="s">
        <v>48</v>
      </c>
      <c r="H141" t="s">
        <v>18</v>
      </c>
      <c r="I141">
        <v>0.11839702698499543</v>
      </c>
      <c r="J141" t="s">
        <v>6</v>
      </c>
      <c r="L141" t="s">
        <v>49</v>
      </c>
      <c r="M141" t="s">
        <v>18</v>
      </c>
      <c r="N141">
        <v>0.10976419364067018</v>
      </c>
      <c r="O141" t="s">
        <v>6</v>
      </c>
    </row>
    <row r="142" spans="2:15" x14ac:dyDescent="0.45">
      <c r="B142" t="s">
        <v>47</v>
      </c>
      <c r="C142" t="s">
        <v>19</v>
      </c>
      <c r="D142">
        <v>5.8641085030081627E-3</v>
      </c>
      <c r="E142" t="s">
        <v>6</v>
      </c>
      <c r="G142" t="s">
        <v>48</v>
      </c>
      <c r="H142" t="s">
        <v>19</v>
      </c>
      <c r="I142">
        <v>7.2902533798310201E-2</v>
      </c>
      <c r="J142" t="s">
        <v>6</v>
      </c>
      <c r="L142" t="s">
        <v>49</v>
      </c>
      <c r="M142" t="s">
        <v>19</v>
      </c>
      <c r="N142">
        <v>6.6219250438567856E-2</v>
      </c>
      <c r="O142" t="s">
        <v>6</v>
      </c>
    </row>
    <row r="143" spans="2:15" x14ac:dyDescent="0.45">
      <c r="B143" t="s">
        <v>50</v>
      </c>
      <c r="C143" t="s">
        <v>5</v>
      </c>
      <c r="D143">
        <v>0</v>
      </c>
      <c r="E143" t="s">
        <v>6</v>
      </c>
      <c r="G143" t="s">
        <v>51</v>
      </c>
      <c r="H143" t="s">
        <v>5</v>
      </c>
      <c r="I143">
        <v>8.6109987046866662E-2</v>
      </c>
      <c r="J143" t="s">
        <v>6</v>
      </c>
      <c r="L143" t="s">
        <v>52</v>
      </c>
      <c r="M143" t="s">
        <v>5</v>
      </c>
      <c r="N143">
        <v>0.10391049322059046</v>
      </c>
      <c r="O143" t="s">
        <v>6</v>
      </c>
    </row>
    <row r="144" spans="2:15" x14ac:dyDescent="0.45">
      <c r="B144" t="s">
        <v>50</v>
      </c>
      <c r="C144" t="s">
        <v>9</v>
      </c>
      <c r="D144">
        <v>0.11937755886925547</v>
      </c>
      <c r="E144" t="s">
        <v>6</v>
      </c>
      <c r="G144" t="s">
        <v>51</v>
      </c>
      <c r="H144" t="s">
        <v>9</v>
      </c>
      <c r="I144">
        <v>0.10818010459920818</v>
      </c>
      <c r="J144" t="s">
        <v>6</v>
      </c>
      <c r="L144" t="s">
        <v>52</v>
      </c>
      <c r="M144" t="s">
        <v>9</v>
      </c>
      <c r="N144">
        <v>0.11788156977480006</v>
      </c>
      <c r="O144" t="s">
        <v>6</v>
      </c>
    </row>
    <row r="145" spans="2:15" x14ac:dyDescent="0.45">
      <c r="B145" t="s">
        <v>50</v>
      </c>
      <c r="C145" t="s">
        <v>10</v>
      </c>
      <c r="D145">
        <v>5.6862475168332973E-4</v>
      </c>
      <c r="E145" t="s">
        <v>6</v>
      </c>
      <c r="G145" t="s">
        <v>51</v>
      </c>
      <c r="H145" t="s">
        <v>10</v>
      </c>
      <c r="I145">
        <v>6.6183955255414609E-2</v>
      </c>
      <c r="J145" t="s">
        <v>6</v>
      </c>
      <c r="L145" t="s">
        <v>52</v>
      </c>
      <c r="M145" t="s">
        <v>10</v>
      </c>
      <c r="N145">
        <v>7.8494444142445066E-2</v>
      </c>
      <c r="O145" t="s">
        <v>6</v>
      </c>
    </row>
    <row r="146" spans="2:15" x14ac:dyDescent="0.45">
      <c r="B146" t="s">
        <v>50</v>
      </c>
      <c r="C146" t="s">
        <v>11</v>
      </c>
      <c r="D146">
        <v>2.0737623750837499E-3</v>
      </c>
      <c r="E146" t="s">
        <v>6</v>
      </c>
      <c r="G146" t="s">
        <v>51</v>
      </c>
      <c r="H146" t="s">
        <v>11</v>
      </c>
      <c r="I146">
        <v>9.3353682426986551E-2</v>
      </c>
      <c r="J146" t="s">
        <v>6</v>
      </c>
      <c r="L146" t="s">
        <v>52</v>
      </c>
      <c r="M146" t="s">
        <v>11</v>
      </c>
      <c r="N146">
        <v>8.9723244079332284E-2</v>
      </c>
      <c r="O146" t="s">
        <v>6</v>
      </c>
    </row>
    <row r="147" spans="2:15" x14ac:dyDescent="0.45">
      <c r="B147" t="s">
        <v>50</v>
      </c>
      <c r="C147" t="s">
        <v>12</v>
      </c>
      <c r="D147">
        <v>0.29338566236707136</v>
      </c>
      <c r="E147" t="s">
        <v>6</v>
      </c>
      <c r="G147" t="s">
        <v>51</v>
      </c>
      <c r="H147" t="s">
        <v>12</v>
      </c>
      <c r="I147">
        <v>0.14295608449412453</v>
      </c>
      <c r="J147" t="s">
        <v>6</v>
      </c>
      <c r="L147" t="s">
        <v>52</v>
      </c>
      <c r="M147" t="s">
        <v>12</v>
      </c>
      <c r="N147">
        <v>0.10208120144319024</v>
      </c>
      <c r="O147" t="s">
        <v>6</v>
      </c>
    </row>
    <row r="148" spans="2:15" x14ac:dyDescent="0.45">
      <c r="B148" t="s">
        <v>50</v>
      </c>
      <c r="C148" t="s">
        <v>13</v>
      </c>
      <c r="D148">
        <v>1.1844598039726949E-2</v>
      </c>
      <c r="E148" t="s">
        <v>6</v>
      </c>
      <c r="G148" t="s">
        <v>51</v>
      </c>
      <c r="H148" t="s">
        <v>13</v>
      </c>
      <c r="I148">
        <v>8.8879679838604106E-2</v>
      </c>
      <c r="J148" t="s">
        <v>6</v>
      </c>
      <c r="L148" t="s">
        <v>52</v>
      </c>
      <c r="M148" t="s">
        <v>13</v>
      </c>
      <c r="N148">
        <v>6.5538911797897947E-2</v>
      </c>
      <c r="O148" t="s">
        <v>6</v>
      </c>
    </row>
    <row r="149" spans="2:15" x14ac:dyDescent="0.45">
      <c r="B149" t="s">
        <v>50</v>
      </c>
      <c r="C149" t="s">
        <v>14</v>
      </c>
      <c r="D149">
        <v>4.9180178881823482E-3</v>
      </c>
      <c r="E149" t="s">
        <v>6</v>
      </c>
      <c r="G149" t="s">
        <v>51</v>
      </c>
      <c r="H149" t="s">
        <v>14</v>
      </c>
      <c r="I149">
        <v>3.7766968038714314E-2</v>
      </c>
      <c r="J149" t="s">
        <v>6</v>
      </c>
      <c r="L149" t="s">
        <v>52</v>
      </c>
      <c r="M149" t="s">
        <v>14</v>
      </c>
      <c r="N149">
        <v>5.9808548915145539E-2</v>
      </c>
      <c r="O149" t="s">
        <v>6</v>
      </c>
    </row>
    <row r="150" spans="2:15" x14ac:dyDescent="0.45">
      <c r="B150" t="s">
        <v>50</v>
      </c>
      <c r="C150" t="s">
        <v>15</v>
      </c>
      <c r="D150">
        <v>0.35874177928585671</v>
      </c>
      <c r="E150" t="s">
        <v>6</v>
      </c>
      <c r="G150" t="s">
        <v>51</v>
      </c>
      <c r="H150" t="s">
        <v>15</v>
      </c>
      <c r="I150">
        <v>5.6386455820911112E-2</v>
      </c>
      <c r="J150" t="s">
        <v>6</v>
      </c>
      <c r="L150" t="s">
        <v>52</v>
      </c>
      <c r="M150" t="s">
        <v>15</v>
      </c>
      <c r="N150">
        <v>6.2704535391501448E-2</v>
      </c>
      <c r="O150" t="s">
        <v>6</v>
      </c>
    </row>
    <row r="151" spans="2:15" x14ac:dyDescent="0.45">
      <c r="B151" t="s">
        <v>50</v>
      </c>
      <c r="C151" t="s">
        <v>16</v>
      </c>
      <c r="D151">
        <v>2.2399953120025101E-2</v>
      </c>
      <c r="E151" t="s">
        <v>6</v>
      </c>
      <c r="G151" t="s">
        <v>51</v>
      </c>
      <c r="H151" t="s">
        <v>16</v>
      </c>
      <c r="I151">
        <v>4.2746723579532624E-2</v>
      </c>
      <c r="J151" t="s">
        <v>6</v>
      </c>
      <c r="L151" t="s">
        <v>52</v>
      </c>
      <c r="M151" t="s">
        <v>16</v>
      </c>
      <c r="N151">
        <v>5.2513533650956415E-2</v>
      </c>
      <c r="O151" t="s">
        <v>6</v>
      </c>
    </row>
    <row r="152" spans="2:15" x14ac:dyDescent="0.45">
      <c r="B152" t="s">
        <v>50</v>
      </c>
      <c r="C152" t="s">
        <v>17</v>
      </c>
      <c r="D152">
        <v>1.1960944864976439E-4</v>
      </c>
      <c r="E152" t="s">
        <v>6</v>
      </c>
      <c r="G152" t="s">
        <v>51</v>
      </c>
      <c r="H152" t="s">
        <v>17</v>
      </c>
      <c r="I152">
        <v>8.9849972094072986E-2</v>
      </c>
      <c r="J152" t="s">
        <v>6</v>
      </c>
      <c r="L152" t="s">
        <v>52</v>
      </c>
      <c r="M152" t="s">
        <v>17</v>
      </c>
      <c r="N152">
        <v>8.7234251033007096E-2</v>
      </c>
      <c r="O152" t="s">
        <v>6</v>
      </c>
    </row>
    <row r="153" spans="2:15" x14ac:dyDescent="0.45">
      <c r="B153" t="s">
        <v>50</v>
      </c>
      <c r="C153" t="s">
        <v>18</v>
      </c>
      <c r="D153">
        <v>0.18406534805620339</v>
      </c>
      <c r="E153" t="s">
        <v>6</v>
      </c>
      <c r="G153" t="s">
        <v>51</v>
      </c>
      <c r="H153" t="s">
        <v>18</v>
      </c>
      <c r="I153">
        <v>0.11181951675980113</v>
      </c>
      <c r="J153" t="s">
        <v>6</v>
      </c>
      <c r="L153" t="s">
        <v>52</v>
      </c>
      <c r="M153" t="s">
        <v>18</v>
      </c>
      <c r="N153">
        <v>0.11141457160790914</v>
      </c>
      <c r="O153" t="s">
        <v>6</v>
      </c>
    </row>
    <row r="154" spans="2:15" x14ac:dyDescent="0.45">
      <c r="B154" t="s">
        <v>50</v>
      </c>
      <c r="C154" t="s">
        <v>19</v>
      </c>
      <c r="D154">
        <v>2.5050857982627942E-3</v>
      </c>
      <c r="E154" t="s">
        <v>6</v>
      </c>
      <c r="G154" t="s">
        <v>51</v>
      </c>
      <c r="H154" t="s">
        <v>19</v>
      </c>
      <c r="I154">
        <v>7.576687004576696E-2</v>
      </c>
      <c r="J154" t="s">
        <v>6</v>
      </c>
      <c r="L154" t="s">
        <v>52</v>
      </c>
      <c r="M154" t="s">
        <v>19</v>
      </c>
      <c r="N154">
        <v>6.8694694943222848E-2</v>
      </c>
      <c r="O154" t="s">
        <v>6</v>
      </c>
    </row>
    <row r="155" spans="2:15" x14ac:dyDescent="0.45">
      <c r="B155" t="s">
        <v>53</v>
      </c>
      <c r="C155" t="s">
        <v>5</v>
      </c>
      <c r="D155">
        <v>0</v>
      </c>
      <c r="E155" t="s">
        <v>6</v>
      </c>
      <c r="G155" t="s">
        <v>54</v>
      </c>
      <c r="H155" t="s">
        <v>5</v>
      </c>
      <c r="I155">
        <v>7.7684955666050035E-2</v>
      </c>
      <c r="J155" t="s">
        <v>6</v>
      </c>
      <c r="L155" t="s">
        <v>55</v>
      </c>
      <c r="M155" t="s">
        <v>5</v>
      </c>
      <c r="N155">
        <v>9.3679503966491925E-2</v>
      </c>
      <c r="O155" t="s">
        <v>6</v>
      </c>
    </row>
    <row r="156" spans="2:15" x14ac:dyDescent="0.45">
      <c r="B156" t="s">
        <v>53</v>
      </c>
      <c r="C156" t="s">
        <v>9</v>
      </c>
      <c r="D156">
        <v>0.1433728839738726</v>
      </c>
      <c r="E156" t="s">
        <v>6</v>
      </c>
      <c r="G156" t="s">
        <v>54</v>
      </c>
      <c r="H156" t="s">
        <v>9</v>
      </c>
      <c r="I156">
        <v>0.10339482952540971</v>
      </c>
      <c r="J156" t="s">
        <v>6</v>
      </c>
      <c r="L156" t="s">
        <v>55</v>
      </c>
      <c r="M156" t="s">
        <v>9</v>
      </c>
      <c r="N156">
        <v>0.11701097589406925</v>
      </c>
      <c r="O156" t="s">
        <v>6</v>
      </c>
    </row>
    <row r="157" spans="2:15" x14ac:dyDescent="0.45">
      <c r="B157" t="s">
        <v>53</v>
      </c>
      <c r="C157" t="s">
        <v>10</v>
      </c>
      <c r="D157">
        <v>7.5705209053834822E-4</v>
      </c>
      <c r="E157" t="s">
        <v>6</v>
      </c>
      <c r="G157" t="s">
        <v>54</v>
      </c>
      <c r="H157" t="s">
        <v>10</v>
      </c>
      <c r="I157">
        <v>5.5949471569160199E-2</v>
      </c>
      <c r="J157" t="s">
        <v>6</v>
      </c>
      <c r="L157" t="s">
        <v>55</v>
      </c>
      <c r="M157" t="s">
        <v>10</v>
      </c>
      <c r="N157">
        <v>7.0090786294362217E-2</v>
      </c>
      <c r="O157" t="s">
        <v>6</v>
      </c>
    </row>
    <row r="158" spans="2:15" x14ac:dyDescent="0.45">
      <c r="B158" t="s">
        <v>53</v>
      </c>
      <c r="C158" t="s">
        <v>11</v>
      </c>
      <c r="D158">
        <v>2.0241470506314461E-3</v>
      </c>
      <c r="E158" t="s">
        <v>6</v>
      </c>
      <c r="G158" t="s">
        <v>54</v>
      </c>
      <c r="H158" t="s">
        <v>11</v>
      </c>
      <c r="I158">
        <v>0.10237729586516661</v>
      </c>
      <c r="J158" t="s">
        <v>6</v>
      </c>
      <c r="L158" t="s">
        <v>55</v>
      </c>
      <c r="M158" t="s">
        <v>11</v>
      </c>
      <c r="N158">
        <v>9.0365810141985636E-2</v>
      </c>
      <c r="O158" t="s">
        <v>6</v>
      </c>
    </row>
    <row r="159" spans="2:15" x14ac:dyDescent="0.45">
      <c r="B159" t="s">
        <v>53</v>
      </c>
      <c r="C159" t="s">
        <v>12</v>
      </c>
      <c r="D159">
        <v>0.27704435500495905</v>
      </c>
      <c r="E159" t="s">
        <v>6</v>
      </c>
      <c r="G159" t="s">
        <v>54</v>
      </c>
      <c r="H159" t="s">
        <v>12</v>
      </c>
      <c r="I159">
        <v>0.15214976617858866</v>
      </c>
      <c r="J159" t="s">
        <v>6</v>
      </c>
      <c r="L159" t="s">
        <v>55</v>
      </c>
      <c r="M159" t="s">
        <v>12</v>
      </c>
      <c r="N159">
        <v>0.10848838762742403</v>
      </c>
      <c r="O159" t="s">
        <v>6</v>
      </c>
    </row>
    <row r="160" spans="2:15" x14ac:dyDescent="0.45">
      <c r="B160" t="s">
        <v>53</v>
      </c>
      <c r="C160" t="s">
        <v>13</v>
      </c>
      <c r="D160">
        <v>1.058196507031204E-2</v>
      </c>
      <c r="E160" t="s">
        <v>6</v>
      </c>
      <c r="G160" t="s">
        <v>54</v>
      </c>
      <c r="H160" t="s">
        <v>13</v>
      </c>
      <c r="I160">
        <v>9.6242254558184276E-2</v>
      </c>
      <c r="J160" t="s">
        <v>6</v>
      </c>
      <c r="L160" t="s">
        <v>55</v>
      </c>
      <c r="M160" t="s">
        <v>13</v>
      </c>
      <c r="N160">
        <v>7.1593419246273604E-2</v>
      </c>
      <c r="O160" t="s">
        <v>6</v>
      </c>
    </row>
    <row r="161" spans="2:15" x14ac:dyDescent="0.45">
      <c r="B161" t="s">
        <v>53</v>
      </c>
      <c r="C161" t="s">
        <v>14</v>
      </c>
      <c r="D161">
        <v>4.8002686024518496E-3</v>
      </c>
      <c r="E161" t="s">
        <v>6</v>
      </c>
      <c r="G161" t="s">
        <v>54</v>
      </c>
      <c r="H161" t="s">
        <v>14</v>
      </c>
      <c r="I161">
        <v>2.7338633110623681E-2</v>
      </c>
      <c r="J161" t="s">
        <v>6</v>
      </c>
      <c r="L161" t="s">
        <v>55</v>
      </c>
      <c r="M161" t="s">
        <v>14</v>
      </c>
      <c r="N161">
        <v>6.5794678008002982E-2</v>
      </c>
      <c r="O161" t="s">
        <v>6</v>
      </c>
    </row>
    <row r="162" spans="2:15" x14ac:dyDescent="0.45">
      <c r="B162" t="s">
        <v>53</v>
      </c>
      <c r="C162" t="s">
        <v>15</v>
      </c>
      <c r="D162">
        <v>0.34955561971068788</v>
      </c>
      <c r="E162" t="s">
        <v>6</v>
      </c>
      <c r="G162" t="s">
        <v>54</v>
      </c>
      <c r="H162" t="s">
        <v>15</v>
      </c>
      <c r="I162">
        <v>4.3231717934730414E-2</v>
      </c>
      <c r="J162" t="s">
        <v>6</v>
      </c>
      <c r="L162" t="s">
        <v>55</v>
      </c>
      <c r="M162" t="s">
        <v>15</v>
      </c>
      <c r="N162">
        <v>7.896207681353011E-2</v>
      </c>
      <c r="O162" t="s">
        <v>6</v>
      </c>
    </row>
    <row r="163" spans="2:15" x14ac:dyDescent="0.45">
      <c r="B163" t="s">
        <v>53</v>
      </c>
      <c r="C163" t="s">
        <v>16</v>
      </c>
      <c r="D163">
        <v>2.0912759942592892E-2</v>
      </c>
      <c r="E163" t="s">
        <v>6</v>
      </c>
      <c r="G163" t="s">
        <v>54</v>
      </c>
      <c r="H163" t="s">
        <v>16</v>
      </c>
      <c r="I163">
        <v>3.1820825997570371E-2</v>
      </c>
      <c r="J163" t="s">
        <v>6</v>
      </c>
      <c r="L163" t="s">
        <v>55</v>
      </c>
      <c r="M163" t="s">
        <v>16</v>
      </c>
      <c r="N163">
        <v>5.1743796494659537E-2</v>
      </c>
      <c r="O163" t="s">
        <v>6</v>
      </c>
    </row>
    <row r="164" spans="2:15" x14ac:dyDescent="0.45">
      <c r="B164" t="s">
        <v>53</v>
      </c>
      <c r="C164" t="s">
        <v>17</v>
      </c>
      <c r="D164">
        <v>1.3673872640476952E-4</v>
      </c>
      <c r="E164" t="s">
        <v>6</v>
      </c>
      <c r="G164" t="s">
        <v>54</v>
      </c>
      <c r="H164" t="s">
        <v>17</v>
      </c>
      <c r="I164">
        <v>9.4688245797691056E-2</v>
      </c>
      <c r="J164" t="s">
        <v>6</v>
      </c>
      <c r="L164" t="s">
        <v>55</v>
      </c>
      <c r="M164" t="s">
        <v>17</v>
      </c>
      <c r="N164">
        <v>8.4671298931894443E-2</v>
      </c>
      <c r="O164" t="s">
        <v>6</v>
      </c>
    </row>
    <row r="165" spans="2:15" x14ac:dyDescent="0.45">
      <c r="B165" t="s">
        <v>53</v>
      </c>
      <c r="C165" t="s">
        <v>18</v>
      </c>
      <c r="D165">
        <v>0.18844930332019555</v>
      </c>
      <c r="E165" t="s">
        <v>6</v>
      </c>
      <c r="G165" t="s">
        <v>54</v>
      </c>
      <c r="H165" t="s">
        <v>18</v>
      </c>
      <c r="I165">
        <v>0.1233772639693915</v>
      </c>
      <c r="J165" t="s">
        <v>6</v>
      </c>
      <c r="L165" t="s">
        <v>55</v>
      </c>
      <c r="M165" t="s">
        <v>18</v>
      </c>
      <c r="N165">
        <v>0.10308846149170542</v>
      </c>
      <c r="O165" t="s">
        <v>6</v>
      </c>
    </row>
    <row r="166" spans="2:15" x14ac:dyDescent="0.45">
      <c r="B166" t="s">
        <v>53</v>
      </c>
      <c r="C166" t="s">
        <v>19</v>
      </c>
      <c r="D166">
        <v>2.3649065073521624E-3</v>
      </c>
      <c r="E166" t="s">
        <v>6</v>
      </c>
      <c r="G166" t="s">
        <v>54</v>
      </c>
      <c r="H166" t="s">
        <v>19</v>
      </c>
      <c r="I166">
        <v>9.1744739827432448E-2</v>
      </c>
      <c r="J166" t="s">
        <v>6</v>
      </c>
      <c r="L166" t="s">
        <v>55</v>
      </c>
      <c r="M166" t="s">
        <v>19</v>
      </c>
      <c r="N166">
        <v>6.4510805089605064E-2</v>
      </c>
      <c r="O166" t="s">
        <v>6</v>
      </c>
    </row>
    <row r="167" spans="2:15" x14ac:dyDescent="0.45">
      <c r="B167" t="s">
        <v>56</v>
      </c>
      <c r="C167" t="s">
        <v>5</v>
      </c>
      <c r="D167">
        <v>0</v>
      </c>
      <c r="E167" t="s">
        <v>6</v>
      </c>
      <c r="G167" t="s">
        <v>57</v>
      </c>
      <c r="H167" t="s">
        <v>5</v>
      </c>
      <c r="I167">
        <v>0.11001332795721945</v>
      </c>
      <c r="J167" t="s">
        <v>6</v>
      </c>
      <c r="L167" t="s">
        <v>58</v>
      </c>
      <c r="M167" t="s">
        <v>5</v>
      </c>
      <c r="N167">
        <v>9.3502338751783501E-2</v>
      </c>
      <c r="O167" t="s">
        <v>6</v>
      </c>
    </row>
    <row r="168" spans="2:15" x14ac:dyDescent="0.45">
      <c r="B168" t="s">
        <v>56</v>
      </c>
      <c r="C168" t="s">
        <v>9</v>
      </c>
      <c r="D168">
        <v>0.12597712647473205</v>
      </c>
      <c r="E168" t="s">
        <v>6</v>
      </c>
      <c r="G168" t="s">
        <v>57</v>
      </c>
      <c r="H168" t="s">
        <v>9</v>
      </c>
      <c r="I168">
        <v>0.13675634822821398</v>
      </c>
      <c r="J168" t="s">
        <v>6</v>
      </c>
      <c r="L168" t="s">
        <v>58</v>
      </c>
      <c r="M168" t="s">
        <v>9</v>
      </c>
      <c r="N168">
        <v>0.11480964711649475</v>
      </c>
      <c r="O168" t="s">
        <v>6</v>
      </c>
    </row>
    <row r="169" spans="2:15" x14ac:dyDescent="0.45">
      <c r="B169" t="s">
        <v>56</v>
      </c>
      <c r="C169" t="s">
        <v>10</v>
      </c>
      <c r="D169">
        <v>1.1453349426108568E-3</v>
      </c>
      <c r="E169" t="s">
        <v>6</v>
      </c>
      <c r="G169" t="s">
        <v>57</v>
      </c>
      <c r="H169" t="s">
        <v>10</v>
      </c>
      <c r="I169">
        <v>8.0346417157847433E-2</v>
      </c>
      <c r="J169" t="s">
        <v>6</v>
      </c>
      <c r="L169" t="s">
        <v>58</v>
      </c>
      <c r="M169" t="s">
        <v>10</v>
      </c>
      <c r="N169">
        <v>7.027659721374245E-2</v>
      </c>
      <c r="O169" t="s">
        <v>6</v>
      </c>
    </row>
    <row r="170" spans="2:15" x14ac:dyDescent="0.45">
      <c r="B170" t="s">
        <v>56</v>
      </c>
      <c r="C170" t="s">
        <v>11</v>
      </c>
      <c r="D170">
        <v>1.470822947909527E-3</v>
      </c>
      <c r="E170" t="s">
        <v>6</v>
      </c>
      <c r="G170" t="s">
        <v>57</v>
      </c>
      <c r="H170" t="s">
        <v>11</v>
      </c>
      <c r="I170">
        <v>9.8120904542770226E-2</v>
      </c>
      <c r="J170" t="s">
        <v>6</v>
      </c>
      <c r="L170" t="s">
        <v>58</v>
      </c>
      <c r="M170" t="s">
        <v>11</v>
      </c>
      <c r="N170">
        <v>8.8789287115724952E-2</v>
      </c>
      <c r="O170" t="s">
        <v>6</v>
      </c>
    </row>
    <row r="171" spans="2:15" x14ac:dyDescent="0.45">
      <c r="B171" t="s">
        <v>56</v>
      </c>
      <c r="C171" t="s">
        <v>12</v>
      </c>
      <c r="D171">
        <v>0.28014938036293291</v>
      </c>
      <c r="E171" t="s">
        <v>6</v>
      </c>
      <c r="G171" t="s">
        <v>57</v>
      </c>
      <c r="H171" t="s">
        <v>12</v>
      </c>
      <c r="I171">
        <v>0.12551211642346863</v>
      </c>
      <c r="J171" t="s">
        <v>6</v>
      </c>
      <c r="L171" t="s">
        <v>58</v>
      </c>
      <c r="M171" t="s">
        <v>12</v>
      </c>
      <c r="N171">
        <v>0.10354353772222533</v>
      </c>
      <c r="O171" t="s">
        <v>6</v>
      </c>
    </row>
    <row r="172" spans="2:15" x14ac:dyDescent="0.45">
      <c r="B172" t="s">
        <v>56</v>
      </c>
      <c r="C172" t="s">
        <v>13</v>
      </c>
      <c r="D172">
        <v>1.4145360916527261E-2</v>
      </c>
      <c r="E172" t="s">
        <v>6</v>
      </c>
      <c r="G172" t="s">
        <v>57</v>
      </c>
      <c r="H172" t="s">
        <v>13</v>
      </c>
      <c r="I172">
        <v>7.2247480894115201E-2</v>
      </c>
      <c r="J172" t="s">
        <v>6</v>
      </c>
      <c r="L172" t="s">
        <v>58</v>
      </c>
      <c r="M172" t="s">
        <v>13</v>
      </c>
      <c r="N172">
        <v>6.734422117374711E-2</v>
      </c>
      <c r="O172" t="s">
        <v>6</v>
      </c>
    </row>
    <row r="173" spans="2:15" x14ac:dyDescent="0.45">
      <c r="B173" t="s">
        <v>56</v>
      </c>
      <c r="C173" t="s">
        <v>14</v>
      </c>
      <c r="D173">
        <v>3.3032636159725879E-3</v>
      </c>
      <c r="E173" t="s">
        <v>6</v>
      </c>
      <c r="G173" t="s">
        <v>57</v>
      </c>
      <c r="H173" t="s">
        <v>14</v>
      </c>
      <c r="I173">
        <v>3.0396583901360262E-2</v>
      </c>
      <c r="J173" t="s">
        <v>6</v>
      </c>
      <c r="L173" t="s">
        <v>58</v>
      </c>
      <c r="M173" t="s">
        <v>14</v>
      </c>
      <c r="N173">
        <v>6.7208596894055866E-2</v>
      </c>
      <c r="O173" t="s">
        <v>6</v>
      </c>
    </row>
    <row r="174" spans="2:15" x14ac:dyDescent="0.45">
      <c r="B174" t="s">
        <v>56</v>
      </c>
      <c r="C174" t="s">
        <v>15</v>
      </c>
      <c r="D174">
        <v>0.35438619573025776</v>
      </c>
      <c r="E174" t="s">
        <v>6</v>
      </c>
      <c r="G174" t="s">
        <v>57</v>
      </c>
      <c r="H174" t="s">
        <v>15</v>
      </c>
      <c r="I174">
        <v>3.5549897382369036E-2</v>
      </c>
      <c r="J174" t="s">
        <v>6</v>
      </c>
      <c r="L174" t="s">
        <v>58</v>
      </c>
      <c r="M174" t="s">
        <v>15</v>
      </c>
      <c r="N174">
        <v>8.0060919634303562E-2</v>
      </c>
      <c r="O174" t="s">
        <v>6</v>
      </c>
    </row>
    <row r="175" spans="2:15" x14ac:dyDescent="0.45">
      <c r="B175" t="s">
        <v>56</v>
      </c>
      <c r="C175" t="s">
        <v>16</v>
      </c>
      <c r="D175">
        <v>2.5894697723175052E-2</v>
      </c>
      <c r="E175" t="s">
        <v>6</v>
      </c>
      <c r="G175" t="s">
        <v>57</v>
      </c>
      <c r="H175" t="s">
        <v>16</v>
      </c>
      <c r="I175">
        <v>1.4498938993764367E-2</v>
      </c>
      <c r="J175" t="s">
        <v>6</v>
      </c>
      <c r="L175" t="s">
        <v>58</v>
      </c>
      <c r="M175" t="s">
        <v>16</v>
      </c>
      <c r="N175">
        <v>5.46216160952986E-2</v>
      </c>
      <c r="O175" t="s">
        <v>6</v>
      </c>
    </row>
    <row r="176" spans="2:15" x14ac:dyDescent="0.45">
      <c r="B176" t="s">
        <v>56</v>
      </c>
      <c r="C176" t="s">
        <v>17</v>
      </c>
      <c r="D176">
        <v>4.2798840752159338E-5</v>
      </c>
      <c r="E176" t="s">
        <v>6</v>
      </c>
      <c r="G176" t="s">
        <v>57</v>
      </c>
      <c r="H176" t="s">
        <v>17</v>
      </c>
      <c r="I176">
        <v>0.10387243252232375</v>
      </c>
      <c r="J176" t="s">
        <v>6</v>
      </c>
      <c r="L176" t="s">
        <v>58</v>
      </c>
      <c r="M176" t="s">
        <v>17</v>
      </c>
      <c r="N176">
        <v>8.3926136181161834E-2</v>
      </c>
      <c r="O176" t="s">
        <v>6</v>
      </c>
    </row>
    <row r="177" spans="2:15" x14ac:dyDescent="0.45">
      <c r="B177" t="s">
        <v>56</v>
      </c>
      <c r="C177" t="s">
        <v>18</v>
      </c>
      <c r="D177">
        <v>0.1902507026729896</v>
      </c>
      <c r="E177" t="s">
        <v>6</v>
      </c>
      <c r="G177" t="s">
        <v>57</v>
      </c>
      <c r="H177" t="s">
        <v>18</v>
      </c>
      <c r="I177">
        <v>0.11459929422027153</v>
      </c>
      <c r="J177" t="s">
        <v>6</v>
      </c>
      <c r="L177" t="s">
        <v>58</v>
      </c>
      <c r="M177" t="s">
        <v>18</v>
      </c>
      <c r="N177">
        <v>0.1085413928234512</v>
      </c>
      <c r="O177" t="s">
        <v>6</v>
      </c>
    </row>
    <row r="178" spans="2:15" x14ac:dyDescent="0.45">
      <c r="B178" t="s">
        <v>56</v>
      </c>
      <c r="C178" t="s">
        <v>19</v>
      </c>
      <c r="D178">
        <v>3.2343157721393158E-3</v>
      </c>
      <c r="E178" t="s">
        <v>6</v>
      </c>
      <c r="G178" t="s">
        <v>57</v>
      </c>
      <c r="H178" t="s">
        <v>19</v>
      </c>
      <c r="I178">
        <v>7.8086257776276147E-2</v>
      </c>
      <c r="J178" t="s">
        <v>6</v>
      </c>
      <c r="L178" t="s">
        <v>58</v>
      </c>
      <c r="M178" t="s">
        <v>19</v>
      </c>
      <c r="N178">
        <v>6.7375709278008872E-2</v>
      </c>
      <c r="O178" t="s">
        <v>6</v>
      </c>
    </row>
    <row r="179" spans="2:15" x14ac:dyDescent="0.45">
      <c r="B179" t="s">
        <v>59</v>
      </c>
      <c r="C179" t="s">
        <v>5</v>
      </c>
      <c r="D179">
        <v>0</v>
      </c>
      <c r="E179" t="s">
        <v>6</v>
      </c>
      <c r="G179" t="s">
        <v>60</v>
      </c>
      <c r="H179" t="s">
        <v>5</v>
      </c>
      <c r="I179">
        <v>0.10087352099936082</v>
      </c>
      <c r="J179" t="s">
        <v>6</v>
      </c>
      <c r="L179" t="s">
        <v>61</v>
      </c>
      <c r="M179" t="s">
        <v>5</v>
      </c>
      <c r="N179">
        <v>9.6611048873881347E-2</v>
      </c>
      <c r="O179" t="s">
        <v>6</v>
      </c>
    </row>
    <row r="180" spans="2:15" x14ac:dyDescent="0.45">
      <c r="B180" t="s">
        <v>59</v>
      </c>
      <c r="C180" t="s">
        <v>9</v>
      </c>
      <c r="D180">
        <v>0.12715841659701066</v>
      </c>
      <c r="E180" t="s">
        <v>6</v>
      </c>
      <c r="G180" t="s">
        <v>60</v>
      </c>
      <c r="H180" t="s">
        <v>9</v>
      </c>
      <c r="I180">
        <v>0.12308435870029653</v>
      </c>
      <c r="J180" t="s">
        <v>6</v>
      </c>
      <c r="L180" t="s">
        <v>61</v>
      </c>
      <c r="M180" t="s">
        <v>9</v>
      </c>
      <c r="N180">
        <v>0.11974787526981247</v>
      </c>
      <c r="O180" t="s">
        <v>6</v>
      </c>
    </row>
    <row r="181" spans="2:15" x14ac:dyDescent="0.45">
      <c r="B181" t="s">
        <v>59</v>
      </c>
      <c r="C181" t="s">
        <v>10</v>
      </c>
      <c r="D181">
        <v>8.0157227143675877E-4</v>
      </c>
      <c r="E181" t="s">
        <v>6</v>
      </c>
      <c r="G181" t="s">
        <v>60</v>
      </c>
      <c r="H181" t="s">
        <v>10</v>
      </c>
      <c r="I181">
        <v>8.0818494461392387E-2</v>
      </c>
      <c r="J181" t="s">
        <v>6</v>
      </c>
      <c r="L181" t="s">
        <v>61</v>
      </c>
      <c r="M181" t="s">
        <v>10</v>
      </c>
      <c r="N181">
        <v>7.2005968677470208E-2</v>
      </c>
      <c r="O181" t="s">
        <v>6</v>
      </c>
    </row>
    <row r="182" spans="2:15" x14ac:dyDescent="0.45">
      <c r="B182" t="s">
        <v>59</v>
      </c>
      <c r="C182" t="s">
        <v>11</v>
      </c>
      <c r="D182">
        <v>1.6459723969111197E-3</v>
      </c>
      <c r="E182" t="s">
        <v>6</v>
      </c>
      <c r="G182" t="s">
        <v>60</v>
      </c>
      <c r="H182" t="s">
        <v>11</v>
      </c>
      <c r="I182">
        <v>6.5855829229149399E-2</v>
      </c>
      <c r="J182" t="s">
        <v>6</v>
      </c>
      <c r="L182" t="s">
        <v>61</v>
      </c>
      <c r="M182" t="s">
        <v>11</v>
      </c>
      <c r="N182">
        <v>9.4264137192067443E-2</v>
      </c>
      <c r="O182" t="s">
        <v>6</v>
      </c>
    </row>
    <row r="183" spans="2:15" x14ac:dyDescent="0.45">
      <c r="B183" t="s">
        <v>59</v>
      </c>
      <c r="C183" t="s">
        <v>12</v>
      </c>
      <c r="D183">
        <v>0.28561383731151763</v>
      </c>
      <c r="E183" t="s">
        <v>6</v>
      </c>
      <c r="G183" t="s">
        <v>60</v>
      </c>
      <c r="H183" t="s">
        <v>12</v>
      </c>
      <c r="I183">
        <v>0.10071243277208942</v>
      </c>
      <c r="J183" t="s">
        <v>6</v>
      </c>
      <c r="L183" t="s">
        <v>61</v>
      </c>
      <c r="M183" t="s">
        <v>12</v>
      </c>
      <c r="N183">
        <v>0.11561301956645877</v>
      </c>
      <c r="O183" t="s">
        <v>6</v>
      </c>
    </row>
    <row r="184" spans="2:15" x14ac:dyDescent="0.45">
      <c r="B184" t="s">
        <v>59</v>
      </c>
      <c r="C184" t="s">
        <v>13</v>
      </c>
      <c r="D184">
        <v>1.3424177904985219E-2</v>
      </c>
      <c r="E184" t="s">
        <v>6</v>
      </c>
      <c r="G184" t="s">
        <v>60</v>
      </c>
      <c r="H184" t="s">
        <v>13</v>
      </c>
      <c r="I184">
        <v>6.0470509055997754E-2</v>
      </c>
      <c r="J184" t="s">
        <v>6</v>
      </c>
      <c r="L184" t="s">
        <v>61</v>
      </c>
      <c r="M184" t="s">
        <v>13</v>
      </c>
      <c r="N184">
        <v>7.0925067026908692E-2</v>
      </c>
      <c r="O184" t="s">
        <v>6</v>
      </c>
    </row>
    <row r="185" spans="2:15" x14ac:dyDescent="0.45">
      <c r="B185" t="s">
        <v>59</v>
      </c>
      <c r="C185" t="s">
        <v>14</v>
      </c>
      <c r="D185">
        <v>3.9676063480917848E-3</v>
      </c>
      <c r="E185" t="s">
        <v>6</v>
      </c>
      <c r="G185" t="s">
        <v>60</v>
      </c>
      <c r="H185" t="s">
        <v>14</v>
      </c>
      <c r="I185">
        <v>6.3393679179843829E-2</v>
      </c>
      <c r="J185" t="s">
        <v>6</v>
      </c>
      <c r="L185" t="s">
        <v>61</v>
      </c>
      <c r="M185" t="s">
        <v>14</v>
      </c>
      <c r="N185">
        <v>6.5382784701903576E-2</v>
      </c>
      <c r="O185" t="s">
        <v>6</v>
      </c>
    </row>
    <row r="186" spans="2:15" x14ac:dyDescent="0.45">
      <c r="B186" t="s">
        <v>59</v>
      </c>
      <c r="C186" t="s">
        <v>15</v>
      </c>
      <c r="D186">
        <v>0.35560221501183559</v>
      </c>
      <c r="E186" t="s">
        <v>6</v>
      </c>
      <c r="G186" t="s">
        <v>60</v>
      </c>
      <c r="H186" t="s">
        <v>15</v>
      </c>
      <c r="I186">
        <v>8.47428658083344E-2</v>
      </c>
      <c r="J186" t="s">
        <v>6</v>
      </c>
      <c r="L186" t="s">
        <v>61</v>
      </c>
      <c r="M186" t="s">
        <v>15</v>
      </c>
      <c r="N186">
        <v>7.8995200879771549E-2</v>
      </c>
      <c r="O186" t="s">
        <v>6</v>
      </c>
    </row>
    <row r="187" spans="2:15" x14ac:dyDescent="0.45">
      <c r="B187" t="s">
        <v>59</v>
      </c>
      <c r="C187" t="s">
        <v>16</v>
      </c>
      <c r="D187">
        <v>2.4303585440359619E-2</v>
      </c>
      <c r="E187" t="s">
        <v>6</v>
      </c>
      <c r="G187" t="s">
        <v>60</v>
      </c>
      <c r="H187" t="s">
        <v>16</v>
      </c>
      <c r="I187">
        <v>5.5136892569268181E-2</v>
      </c>
      <c r="J187" t="s">
        <v>6</v>
      </c>
      <c r="L187" t="s">
        <v>61</v>
      </c>
      <c r="M187" t="s">
        <v>16</v>
      </c>
      <c r="N187">
        <v>5.1724722540620854E-2</v>
      </c>
      <c r="O187" t="s">
        <v>6</v>
      </c>
    </row>
    <row r="188" spans="2:15" x14ac:dyDescent="0.45">
      <c r="B188" t="s">
        <v>59</v>
      </c>
      <c r="C188" t="s">
        <v>17</v>
      </c>
      <c r="D188">
        <v>5.8948270919345021E-5</v>
      </c>
      <c r="E188" t="s">
        <v>6</v>
      </c>
      <c r="G188" t="s">
        <v>60</v>
      </c>
      <c r="H188" t="s">
        <v>17</v>
      </c>
      <c r="I188">
        <v>8.7634615831855417E-2</v>
      </c>
      <c r="J188" t="s">
        <v>6</v>
      </c>
      <c r="L188" t="s">
        <v>61</v>
      </c>
      <c r="M188" t="s">
        <v>17</v>
      </c>
      <c r="N188">
        <v>7.7597553226039159E-2</v>
      </c>
      <c r="O188" t="s">
        <v>6</v>
      </c>
    </row>
    <row r="189" spans="2:15" x14ac:dyDescent="0.45">
      <c r="B189" t="s">
        <v>59</v>
      </c>
      <c r="C189" t="s">
        <v>18</v>
      </c>
      <c r="D189">
        <v>0.18457548147829939</v>
      </c>
      <c r="E189" t="s">
        <v>6</v>
      </c>
      <c r="G189" t="s">
        <v>60</v>
      </c>
      <c r="H189" t="s">
        <v>18</v>
      </c>
      <c r="I189">
        <v>0.10873294639466147</v>
      </c>
      <c r="J189" t="s">
        <v>6</v>
      </c>
      <c r="L189" t="s">
        <v>61</v>
      </c>
      <c r="M189" t="s">
        <v>18</v>
      </c>
      <c r="N189">
        <v>9.7424681807850314E-2</v>
      </c>
      <c r="O189" t="s">
        <v>6</v>
      </c>
    </row>
    <row r="190" spans="2:15" x14ac:dyDescent="0.45">
      <c r="B190" t="s">
        <v>59</v>
      </c>
      <c r="C190" t="s">
        <v>19</v>
      </c>
      <c r="D190">
        <v>2.8481869686353472E-3</v>
      </c>
      <c r="E190" t="s">
        <v>6</v>
      </c>
      <c r="G190" t="s">
        <v>60</v>
      </c>
      <c r="H190" t="s">
        <v>19</v>
      </c>
      <c r="I190">
        <v>6.8543854997752562E-2</v>
      </c>
      <c r="J190" t="s">
        <v>6</v>
      </c>
      <c r="L190" t="s">
        <v>61</v>
      </c>
      <c r="M190" t="s">
        <v>19</v>
      </c>
      <c r="N190">
        <v>5.9707940237218891E-2</v>
      </c>
      <c r="O190" t="s">
        <v>6</v>
      </c>
    </row>
    <row r="191" spans="2:15" x14ac:dyDescent="0.45">
      <c r="B191" t="s">
        <v>62</v>
      </c>
      <c r="C191" t="s">
        <v>5</v>
      </c>
      <c r="D191">
        <v>0</v>
      </c>
      <c r="E191" t="s">
        <v>6</v>
      </c>
      <c r="G191" t="s">
        <v>63</v>
      </c>
      <c r="H191" t="s">
        <v>5</v>
      </c>
      <c r="I191">
        <v>9.4793423168271357E-2</v>
      </c>
      <c r="J191" t="s">
        <v>6</v>
      </c>
      <c r="L191" t="s">
        <v>64</v>
      </c>
      <c r="M191" t="s">
        <v>5</v>
      </c>
      <c r="N191">
        <v>9.7176936193346983E-2</v>
      </c>
      <c r="O191" t="s">
        <v>6</v>
      </c>
    </row>
    <row r="192" spans="2:15" x14ac:dyDescent="0.45">
      <c r="B192" t="s">
        <v>62</v>
      </c>
      <c r="C192" t="s">
        <v>9</v>
      </c>
      <c r="D192">
        <v>0.14385098478554725</v>
      </c>
      <c r="E192" t="s">
        <v>6</v>
      </c>
      <c r="G192" t="s">
        <v>63</v>
      </c>
      <c r="H192" t="s">
        <v>9</v>
      </c>
      <c r="I192">
        <v>0.11824190493604604</v>
      </c>
      <c r="J192" t="s">
        <v>6</v>
      </c>
      <c r="L192" t="s">
        <v>64</v>
      </c>
      <c r="M192" t="s">
        <v>9</v>
      </c>
      <c r="N192">
        <v>0.11865489254509008</v>
      </c>
      <c r="O192" t="s">
        <v>6</v>
      </c>
    </row>
    <row r="193" spans="2:15" x14ac:dyDescent="0.45">
      <c r="B193" t="s">
        <v>62</v>
      </c>
      <c r="C193" t="s">
        <v>10</v>
      </c>
      <c r="D193">
        <v>1.2687957844523801E-3</v>
      </c>
      <c r="E193" t="s">
        <v>6</v>
      </c>
      <c r="G193" t="s">
        <v>63</v>
      </c>
      <c r="H193" t="s">
        <v>10</v>
      </c>
      <c r="I193">
        <v>7.6047587659742746E-2</v>
      </c>
      <c r="J193" t="s">
        <v>6</v>
      </c>
      <c r="L193" t="s">
        <v>64</v>
      </c>
      <c r="M193" t="s">
        <v>10</v>
      </c>
      <c r="N193">
        <v>7.2961359108280083E-2</v>
      </c>
      <c r="O193" t="s">
        <v>6</v>
      </c>
    </row>
    <row r="194" spans="2:15" x14ac:dyDescent="0.45">
      <c r="B194" t="s">
        <v>62</v>
      </c>
      <c r="C194" t="s">
        <v>11</v>
      </c>
      <c r="D194">
        <v>1.4664908171989357E-3</v>
      </c>
      <c r="E194" t="s">
        <v>6</v>
      </c>
      <c r="G194" t="s">
        <v>63</v>
      </c>
      <c r="H194" t="s">
        <v>11</v>
      </c>
      <c r="I194">
        <v>7.997092082263374E-2</v>
      </c>
      <c r="J194" t="s">
        <v>6</v>
      </c>
      <c r="L194" t="s">
        <v>64</v>
      </c>
      <c r="M194" t="s">
        <v>11</v>
      </c>
      <c r="N194">
        <v>9.2821550110973552E-2</v>
      </c>
      <c r="O194" t="s">
        <v>6</v>
      </c>
    </row>
    <row r="195" spans="2:15" x14ac:dyDescent="0.45">
      <c r="B195" t="s">
        <v>62</v>
      </c>
      <c r="C195" t="s">
        <v>12</v>
      </c>
      <c r="D195">
        <v>0.26853307757754796</v>
      </c>
      <c r="E195" t="s">
        <v>6</v>
      </c>
      <c r="G195" t="s">
        <v>63</v>
      </c>
      <c r="H195" t="s">
        <v>12</v>
      </c>
      <c r="I195">
        <v>0.13608655034096567</v>
      </c>
      <c r="J195" t="s">
        <v>6</v>
      </c>
      <c r="L195" t="s">
        <v>64</v>
      </c>
      <c r="M195" t="s">
        <v>12</v>
      </c>
      <c r="N195">
        <v>0.11702026784609829</v>
      </c>
      <c r="O195" t="s">
        <v>6</v>
      </c>
    </row>
    <row r="196" spans="2:15" x14ac:dyDescent="0.45">
      <c r="B196" t="s">
        <v>62</v>
      </c>
      <c r="C196" t="s">
        <v>13</v>
      </c>
      <c r="D196">
        <v>1.2118846965041912E-2</v>
      </c>
      <c r="E196" t="s">
        <v>6</v>
      </c>
      <c r="G196" t="s">
        <v>63</v>
      </c>
      <c r="H196" t="s">
        <v>13</v>
      </c>
      <c r="I196">
        <v>7.7906407788283338E-2</v>
      </c>
      <c r="J196" t="s">
        <v>6</v>
      </c>
      <c r="L196" t="s">
        <v>64</v>
      </c>
      <c r="M196" t="s">
        <v>13</v>
      </c>
      <c r="N196">
        <v>7.033798362446525E-2</v>
      </c>
      <c r="O196" t="s">
        <v>6</v>
      </c>
    </row>
    <row r="197" spans="2:15" x14ac:dyDescent="0.45">
      <c r="B197" t="s">
        <v>62</v>
      </c>
      <c r="C197" t="s">
        <v>14</v>
      </c>
      <c r="D197">
        <v>3.4879432776232905E-3</v>
      </c>
      <c r="E197" t="s">
        <v>6</v>
      </c>
      <c r="G197" t="s">
        <v>63</v>
      </c>
      <c r="H197" t="s">
        <v>14</v>
      </c>
      <c r="I197">
        <v>4.504698086014073E-2</v>
      </c>
      <c r="J197" t="s">
        <v>6</v>
      </c>
      <c r="L197" t="s">
        <v>64</v>
      </c>
      <c r="M197" t="s">
        <v>14</v>
      </c>
      <c r="N197">
        <v>6.4155115330440313E-2</v>
      </c>
      <c r="O197" t="s">
        <v>6</v>
      </c>
    </row>
    <row r="198" spans="2:15" x14ac:dyDescent="0.45">
      <c r="B198" t="s">
        <v>62</v>
      </c>
      <c r="C198" t="s">
        <v>15</v>
      </c>
      <c r="D198">
        <v>0.35094463541391863</v>
      </c>
      <c r="E198" t="s">
        <v>6</v>
      </c>
      <c r="G198" t="s">
        <v>63</v>
      </c>
      <c r="H198" t="s">
        <v>15</v>
      </c>
      <c r="I198">
        <v>7.6555188064337171E-2</v>
      </c>
      <c r="J198" t="s">
        <v>6</v>
      </c>
      <c r="L198" t="s">
        <v>64</v>
      </c>
      <c r="M198" t="s">
        <v>15</v>
      </c>
      <c r="N198">
        <v>6.953055539142701E-2</v>
      </c>
      <c r="O198" t="s">
        <v>6</v>
      </c>
    </row>
    <row r="199" spans="2:15" x14ac:dyDescent="0.45">
      <c r="B199" t="s">
        <v>62</v>
      </c>
      <c r="C199" t="s">
        <v>16</v>
      </c>
      <c r="D199">
        <v>2.3628365695020349E-2</v>
      </c>
      <c r="E199" t="s">
        <v>6</v>
      </c>
      <c r="G199" t="s">
        <v>63</v>
      </c>
      <c r="H199" t="s">
        <v>16</v>
      </c>
      <c r="I199">
        <v>5.2839709684373383E-2</v>
      </c>
      <c r="J199" t="s">
        <v>6</v>
      </c>
      <c r="L199" t="s">
        <v>64</v>
      </c>
      <c r="M199" t="s">
        <v>16</v>
      </c>
      <c r="N199">
        <v>5.1622829053268933E-2</v>
      </c>
      <c r="O199" t="s">
        <v>6</v>
      </c>
    </row>
    <row r="200" spans="2:15" x14ac:dyDescent="0.45">
      <c r="B200" t="s">
        <v>62</v>
      </c>
      <c r="C200" t="s">
        <v>17</v>
      </c>
      <c r="D200">
        <v>4.9953385582061601E-5</v>
      </c>
      <c r="E200" t="s">
        <v>6</v>
      </c>
      <c r="G200" t="s">
        <v>63</v>
      </c>
      <c r="H200" t="s">
        <v>17</v>
      </c>
      <c r="I200">
        <v>7.6746436954642172E-2</v>
      </c>
      <c r="J200" t="s">
        <v>6</v>
      </c>
      <c r="L200" t="s">
        <v>64</v>
      </c>
      <c r="M200" t="s">
        <v>17</v>
      </c>
      <c r="N200">
        <v>8.2738390306755019E-2</v>
      </c>
      <c r="O200" t="s">
        <v>6</v>
      </c>
    </row>
    <row r="201" spans="2:15" x14ac:dyDescent="0.45">
      <c r="B201" t="s">
        <v>62</v>
      </c>
      <c r="C201" t="s">
        <v>18</v>
      </c>
      <c r="D201">
        <v>0.19159335736271554</v>
      </c>
      <c r="E201" t="s">
        <v>6</v>
      </c>
      <c r="G201" t="s">
        <v>63</v>
      </c>
      <c r="H201" t="s">
        <v>18</v>
      </c>
      <c r="I201">
        <v>0.10105312626184841</v>
      </c>
      <c r="J201" t="s">
        <v>6</v>
      </c>
      <c r="L201" t="s">
        <v>64</v>
      </c>
      <c r="M201" t="s">
        <v>18</v>
      </c>
      <c r="N201">
        <v>0.10216706519891953</v>
      </c>
      <c r="O201" t="s">
        <v>6</v>
      </c>
    </row>
    <row r="202" spans="2:15" x14ac:dyDescent="0.45">
      <c r="B202" t="s">
        <v>62</v>
      </c>
      <c r="C202" t="s">
        <v>19</v>
      </c>
      <c r="D202">
        <v>3.0575489353509271E-3</v>
      </c>
      <c r="E202" t="s">
        <v>6</v>
      </c>
      <c r="G202" t="s">
        <v>63</v>
      </c>
      <c r="H202" t="s">
        <v>19</v>
      </c>
      <c r="I202">
        <v>6.4711763458714197E-2</v>
      </c>
      <c r="J202" t="s">
        <v>6</v>
      </c>
      <c r="L202" t="s">
        <v>64</v>
      </c>
      <c r="M202" t="s">
        <v>19</v>
      </c>
      <c r="N202">
        <v>6.0813055290930992E-2</v>
      </c>
      <c r="O202" t="s">
        <v>6</v>
      </c>
    </row>
    <row r="203" spans="2:15" x14ac:dyDescent="0.45">
      <c r="B203" t="s">
        <v>65</v>
      </c>
      <c r="C203" t="s">
        <v>5</v>
      </c>
      <c r="D203">
        <v>0</v>
      </c>
      <c r="E203" t="s">
        <v>6</v>
      </c>
      <c r="G203" t="s">
        <v>66</v>
      </c>
      <c r="H203" t="s">
        <v>5</v>
      </c>
      <c r="I203">
        <v>9.1831819137257381E-2</v>
      </c>
      <c r="J203" t="s">
        <v>6</v>
      </c>
      <c r="L203" t="s">
        <v>67</v>
      </c>
      <c r="M203" t="s">
        <v>5</v>
      </c>
      <c r="N203">
        <v>9.5679851273978406E-2</v>
      </c>
      <c r="O203" t="s">
        <v>6</v>
      </c>
    </row>
    <row r="204" spans="2:15" x14ac:dyDescent="0.45">
      <c r="B204" t="s">
        <v>65</v>
      </c>
      <c r="C204" t="s">
        <v>9</v>
      </c>
      <c r="D204">
        <v>0.13904305704026867</v>
      </c>
      <c r="E204" t="s">
        <v>6</v>
      </c>
      <c r="G204" t="s">
        <v>66</v>
      </c>
      <c r="H204" t="s">
        <v>9</v>
      </c>
      <c r="I204">
        <v>0.1174338589927693</v>
      </c>
      <c r="J204" t="s">
        <v>6</v>
      </c>
      <c r="L204" t="s">
        <v>67</v>
      </c>
      <c r="M204" t="s">
        <v>9</v>
      </c>
      <c r="N204">
        <v>0.1156675638555108</v>
      </c>
      <c r="O204" t="s">
        <v>6</v>
      </c>
    </row>
    <row r="205" spans="2:15" x14ac:dyDescent="0.45">
      <c r="B205" t="s">
        <v>65</v>
      </c>
      <c r="C205" t="s">
        <v>10</v>
      </c>
      <c r="D205">
        <v>1.4661867340848554E-3</v>
      </c>
      <c r="E205" t="s">
        <v>6</v>
      </c>
      <c r="G205" t="s">
        <v>66</v>
      </c>
      <c r="H205" t="s">
        <v>10</v>
      </c>
      <c r="I205">
        <v>7.3147773346729866E-2</v>
      </c>
      <c r="J205" t="s">
        <v>6</v>
      </c>
      <c r="L205" t="s">
        <v>67</v>
      </c>
      <c r="M205" t="s">
        <v>10</v>
      </c>
      <c r="N205">
        <v>7.329354456478919E-2</v>
      </c>
      <c r="O205" t="s">
        <v>6</v>
      </c>
    </row>
    <row r="206" spans="2:15" x14ac:dyDescent="0.45">
      <c r="B206" t="s">
        <v>65</v>
      </c>
      <c r="C206" t="s">
        <v>11</v>
      </c>
      <c r="D206">
        <v>1.1909280576467786E-3</v>
      </c>
      <c r="E206" t="s">
        <v>6</v>
      </c>
      <c r="G206" t="s">
        <v>66</v>
      </c>
      <c r="H206" t="s">
        <v>11</v>
      </c>
      <c r="I206">
        <v>7.9000776108975615E-2</v>
      </c>
      <c r="J206" t="s">
        <v>6</v>
      </c>
      <c r="L206" t="s">
        <v>67</v>
      </c>
      <c r="M206" t="s">
        <v>11</v>
      </c>
      <c r="N206">
        <v>9.2968770295382294E-2</v>
      </c>
      <c r="O206" t="s">
        <v>6</v>
      </c>
    </row>
    <row r="207" spans="2:15" x14ac:dyDescent="0.45">
      <c r="B207" t="s">
        <v>65</v>
      </c>
      <c r="C207" t="s">
        <v>12</v>
      </c>
      <c r="D207">
        <v>0.27102035478042102</v>
      </c>
      <c r="E207" t="s">
        <v>6</v>
      </c>
      <c r="G207" t="s">
        <v>66</v>
      </c>
      <c r="H207" t="s">
        <v>12</v>
      </c>
      <c r="I207">
        <v>0.11416875959591058</v>
      </c>
      <c r="J207" t="s">
        <v>6</v>
      </c>
      <c r="L207" t="s">
        <v>67</v>
      </c>
      <c r="M207" t="s">
        <v>12</v>
      </c>
      <c r="N207">
        <v>0.10873010013227477</v>
      </c>
      <c r="O207" t="s">
        <v>6</v>
      </c>
    </row>
    <row r="208" spans="2:15" x14ac:dyDescent="0.45">
      <c r="B208" t="s">
        <v>65</v>
      </c>
      <c r="C208" t="s">
        <v>13</v>
      </c>
      <c r="D208">
        <v>1.424035075229394E-2</v>
      </c>
      <c r="E208" t="s">
        <v>6</v>
      </c>
      <c r="G208" t="s">
        <v>66</v>
      </c>
      <c r="H208" t="s">
        <v>13</v>
      </c>
      <c r="I208">
        <v>6.4970296994949051E-2</v>
      </c>
      <c r="J208" t="s">
        <v>6</v>
      </c>
      <c r="L208" t="s">
        <v>67</v>
      </c>
      <c r="M208" t="s">
        <v>13</v>
      </c>
      <c r="N208">
        <v>7.0563455958266227E-2</v>
      </c>
      <c r="O208" t="s">
        <v>6</v>
      </c>
    </row>
    <row r="209" spans="2:15" x14ac:dyDescent="0.45">
      <c r="B209" t="s">
        <v>65</v>
      </c>
      <c r="C209" t="s">
        <v>14</v>
      </c>
      <c r="D209">
        <v>2.8010029578384517E-3</v>
      </c>
      <c r="E209" t="s">
        <v>6</v>
      </c>
      <c r="G209" t="s">
        <v>66</v>
      </c>
      <c r="H209" t="s">
        <v>14</v>
      </c>
      <c r="I209">
        <v>5.6002889079952309E-2</v>
      </c>
      <c r="J209" t="s">
        <v>6</v>
      </c>
      <c r="L209" t="s">
        <v>67</v>
      </c>
      <c r="M209" t="s">
        <v>14</v>
      </c>
      <c r="N209">
        <v>6.7164808691327516E-2</v>
      </c>
      <c r="O209" t="s">
        <v>6</v>
      </c>
    </row>
    <row r="210" spans="2:15" x14ac:dyDescent="0.45">
      <c r="B210" t="s">
        <v>65</v>
      </c>
      <c r="C210" t="s">
        <v>15</v>
      </c>
      <c r="D210">
        <v>0.34779462190555682</v>
      </c>
      <c r="E210" t="s">
        <v>6</v>
      </c>
      <c r="G210" t="s">
        <v>66</v>
      </c>
      <c r="H210" t="s">
        <v>15</v>
      </c>
      <c r="I210">
        <v>7.8268128191043451E-2</v>
      </c>
      <c r="J210" t="s">
        <v>6</v>
      </c>
      <c r="L210" t="s">
        <v>67</v>
      </c>
      <c r="M210" t="s">
        <v>15</v>
      </c>
      <c r="N210">
        <v>6.5352364488946185E-2</v>
      </c>
      <c r="O210" t="s">
        <v>6</v>
      </c>
    </row>
    <row r="211" spans="2:15" x14ac:dyDescent="0.45">
      <c r="B211" t="s">
        <v>65</v>
      </c>
      <c r="C211" t="s">
        <v>16</v>
      </c>
      <c r="D211">
        <v>2.5356000224751533E-2</v>
      </c>
      <c r="E211" t="s">
        <v>6</v>
      </c>
      <c r="G211" t="s">
        <v>66</v>
      </c>
      <c r="H211" t="s">
        <v>16</v>
      </c>
      <c r="I211">
        <v>4.7071314581673566E-2</v>
      </c>
      <c r="J211" t="s">
        <v>6</v>
      </c>
      <c r="L211" t="s">
        <v>67</v>
      </c>
      <c r="M211" t="s">
        <v>16</v>
      </c>
      <c r="N211">
        <v>5.2556245033017771E-2</v>
      </c>
      <c r="O211" t="s">
        <v>6</v>
      </c>
    </row>
    <row r="212" spans="2:15" x14ac:dyDescent="0.45">
      <c r="B212" t="s">
        <v>65</v>
      </c>
      <c r="C212" t="s">
        <v>17</v>
      </c>
      <c r="D212">
        <v>3.0261521112327932E-5</v>
      </c>
      <c r="E212" t="s">
        <v>6</v>
      </c>
      <c r="G212" t="s">
        <v>66</v>
      </c>
      <c r="H212" t="s">
        <v>17</v>
      </c>
      <c r="I212">
        <v>8.9989750835030941E-2</v>
      </c>
      <c r="J212" t="s">
        <v>6</v>
      </c>
      <c r="L212" t="s">
        <v>67</v>
      </c>
      <c r="M212" t="s">
        <v>17</v>
      </c>
      <c r="N212">
        <v>8.7125066544314234E-2</v>
      </c>
      <c r="O212" t="s">
        <v>6</v>
      </c>
    </row>
    <row r="213" spans="2:15" x14ac:dyDescent="0.45">
      <c r="B213" t="s">
        <v>65</v>
      </c>
      <c r="C213" t="s">
        <v>18</v>
      </c>
      <c r="D213">
        <v>0.19345884258627616</v>
      </c>
      <c r="E213" t="s">
        <v>6</v>
      </c>
      <c r="G213" t="s">
        <v>66</v>
      </c>
      <c r="H213" t="s">
        <v>18</v>
      </c>
      <c r="I213">
        <v>0.1178762944058727</v>
      </c>
      <c r="J213" t="s">
        <v>6</v>
      </c>
      <c r="L213" t="s">
        <v>67</v>
      </c>
      <c r="M213" t="s">
        <v>18</v>
      </c>
      <c r="N213">
        <v>0.10596407243214759</v>
      </c>
      <c r="O213" t="s">
        <v>6</v>
      </c>
    </row>
    <row r="214" spans="2:15" x14ac:dyDescent="0.45">
      <c r="B214" t="s">
        <v>65</v>
      </c>
      <c r="C214" t="s">
        <v>19</v>
      </c>
      <c r="D214">
        <v>3.5983934397470197E-3</v>
      </c>
      <c r="E214" t="s">
        <v>6</v>
      </c>
      <c r="G214" t="s">
        <v>66</v>
      </c>
      <c r="H214" t="s">
        <v>19</v>
      </c>
      <c r="I214">
        <v>7.0238338729838978E-2</v>
      </c>
      <c r="J214" t="s">
        <v>6</v>
      </c>
      <c r="L214" t="s">
        <v>67</v>
      </c>
      <c r="M214" t="s">
        <v>19</v>
      </c>
      <c r="N214">
        <v>6.4934156730041825E-2</v>
      </c>
      <c r="O214" t="s">
        <v>6</v>
      </c>
    </row>
    <row r="215" spans="2:15" x14ac:dyDescent="0.45">
      <c r="B215" t="s">
        <v>68</v>
      </c>
      <c r="C215" t="s">
        <v>5</v>
      </c>
      <c r="D215">
        <v>0</v>
      </c>
      <c r="E215" t="s">
        <v>6</v>
      </c>
      <c r="G215" t="s">
        <v>69</v>
      </c>
      <c r="H215" t="s">
        <v>5</v>
      </c>
      <c r="I215">
        <v>0.11094005932716473</v>
      </c>
      <c r="J215" t="s">
        <v>6</v>
      </c>
    </row>
    <row r="216" spans="2:15" x14ac:dyDescent="0.45">
      <c r="B216" t="s">
        <v>68</v>
      </c>
      <c r="C216" t="s">
        <v>9</v>
      </c>
      <c r="D216">
        <v>0.17575495438224634</v>
      </c>
      <c r="E216" t="s">
        <v>6</v>
      </c>
      <c r="G216" t="s">
        <v>69</v>
      </c>
      <c r="H216" t="s">
        <v>9</v>
      </c>
      <c r="I216">
        <v>0.12389143851945786</v>
      </c>
      <c r="J216" t="s">
        <v>6</v>
      </c>
    </row>
    <row r="217" spans="2:15" x14ac:dyDescent="0.45">
      <c r="B217" t="s">
        <v>68</v>
      </c>
      <c r="C217" t="s">
        <v>10</v>
      </c>
      <c r="D217">
        <v>8.891821333435766E-4</v>
      </c>
      <c r="E217" t="s">
        <v>6</v>
      </c>
      <c r="G217" t="s">
        <v>69</v>
      </c>
      <c r="H217" t="s">
        <v>10</v>
      </c>
      <c r="I217">
        <v>8.0069831325663435E-2</v>
      </c>
      <c r="J217" t="s">
        <v>6</v>
      </c>
    </row>
    <row r="218" spans="2:15" x14ac:dyDescent="0.45">
      <c r="B218" t="s">
        <v>68</v>
      </c>
      <c r="C218" t="s">
        <v>11</v>
      </c>
      <c r="D218">
        <v>2.1970982789787509E-3</v>
      </c>
      <c r="E218" t="s">
        <v>6</v>
      </c>
      <c r="G218" t="s">
        <v>69</v>
      </c>
      <c r="H218" t="s">
        <v>11</v>
      </c>
      <c r="I218">
        <v>8.7490209637466357E-2</v>
      </c>
      <c r="J218" t="s">
        <v>6</v>
      </c>
    </row>
    <row r="219" spans="2:15" x14ac:dyDescent="0.45">
      <c r="B219" t="s">
        <v>68</v>
      </c>
      <c r="C219" t="s">
        <v>12</v>
      </c>
      <c r="D219">
        <v>0.263465247946231</v>
      </c>
      <c r="E219" t="s">
        <v>6</v>
      </c>
      <c r="G219" t="s">
        <v>69</v>
      </c>
      <c r="H219" t="s">
        <v>12</v>
      </c>
      <c r="I219">
        <v>9.3730475487833739E-2</v>
      </c>
      <c r="J219" t="s">
        <v>6</v>
      </c>
    </row>
    <row r="220" spans="2:15" x14ac:dyDescent="0.45">
      <c r="B220" t="s">
        <v>68</v>
      </c>
      <c r="C220" t="s">
        <v>13</v>
      </c>
      <c r="D220">
        <v>8.9616068180658256E-3</v>
      </c>
      <c r="E220" t="s">
        <v>6</v>
      </c>
      <c r="G220" t="s">
        <v>69</v>
      </c>
      <c r="H220" t="s">
        <v>13</v>
      </c>
      <c r="I220">
        <v>6.3047233074278897E-2</v>
      </c>
      <c r="J220" t="s">
        <v>6</v>
      </c>
    </row>
    <row r="221" spans="2:15" x14ac:dyDescent="0.45">
      <c r="B221" t="s">
        <v>68</v>
      </c>
      <c r="C221" t="s">
        <v>14</v>
      </c>
      <c r="D221">
        <v>4.0823260104523532E-3</v>
      </c>
      <c r="E221" t="s">
        <v>6</v>
      </c>
      <c r="G221" t="s">
        <v>69</v>
      </c>
      <c r="H221" t="s">
        <v>14</v>
      </c>
      <c r="I221">
        <v>6.1285864694180764E-2</v>
      </c>
      <c r="J221" t="s">
        <v>6</v>
      </c>
    </row>
    <row r="222" spans="2:15" x14ac:dyDescent="0.45">
      <c r="B222" t="s">
        <v>68</v>
      </c>
      <c r="C222" t="s">
        <v>15</v>
      </c>
      <c r="D222">
        <v>0.30982640113800519</v>
      </c>
      <c r="E222" t="s">
        <v>6</v>
      </c>
      <c r="G222" t="s">
        <v>69</v>
      </c>
      <c r="H222" t="s">
        <v>15</v>
      </c>
      <c r="I222">
        <v>5.9765121376445851E-2</v>
      </c>
      <c r="J222" t="s">
        <v>6</v>
      </c>
    </row>
    <row r="223" spans="2:15" x14ac:dyDescent="0.45">
      <c r="B223" t="s">
        <v>68</v>
      </c>
      <c r="C223" t="s">
        <v>16</v>
      </c>
      <c r="D223">
        <v>1.4654977517222124E-2</v>
      </c>
      <c r="E223" t="s">
        <v>6</v>
      </c>
      <c r="G223" t="s">
        <v>69</v>
      </c>
      <c r="H223" t="s">
        <v>16</v>
      </c>
      <c r="I223">
        <v>4.6462030776811249E-2</v>
      </c>
      <c r="J223" t="s">
        <v>6</v>
      </c>
    </row>
    <row r="224" spans="2:15" x14ac:dyDescent="0.45">
      <c r="B224" t="s">
        <v>68</v>
      </c>
      <c r="C224" t="s">
        <v>17</v>
      </c>
      <c r="D224">
        <v>3.3898796818479515E-4</v>
      </c>
      <c r="E224" t="s">
        <v>6</v>
      </c>
      <c r="G224" t="s">
        <v>69</v>
      </c>
      <c r="H224" t="s">
        <v>17</v>
      </c>
      <c r="I224">
        <v>9.0274895675534414E-2</v>
      </c>
      <c r="J224" t="s">
        <v>6</v>
      </c>
    </row>
    <row r="225" spans="2:10" x14ac:dyDescent="0.45">
      <c r="B225" t="s">
        <v>68</v>
      </c>
      <c r="C225" t="s">
        <v>18</v>
      </c>
      <c r="D225">
        <v>0.2177382595316549</v>
      </c>
      <c r="E225" t="s">
        <v>6</v>
      </c>
      <c r="G225" t="s">
        <v>69</v>
      </c>
      <c r="H225" t="s">
        <v>18</v>
      </c>
      <c r="I225">
        <v>0.11010769173427916</v>
      </c>
      <c r="J225" t="s">
        <v>6</v>
      </c>
    </row>
    <row r="226" spans="2:10" x14ac:dyDescent="0.45">
      <c r="B226" t="s">
        <v>68</v>
      </c>
      <c r="C226" t="s">
        <v>19</v>
      </c>
      <c r="D226">
        <v>2.0909582756160798E-3</v>
      </c>
      <c r="E226" t="s">
        <v>6</v>
      </c>
      <c r="G226" t="s">
        <v>69</v>
      </c>
      <c r="H226" t="s">
        <v>19</v>
      </c>
      <c r="I226">
        <v>7.293514837088251E-2</v>
      </c>
      <c r="J226" t="s">
        <v>6</v>
      </c>
    </row>
    <row r="227" spans="2:10" x14ac:dyDescent="0.45">
      <c r="B227" t="s">
        <v>70</v>
      </c>
      <c r="C227" t="s">
        <v>5</v>
      </c>
      <c r="D227">
        <v>0</v>
      </c>
      <c r="E227" t="s">
        <v>6</v>
      </c>
      <c r="G227" t="s">
        <v>71</v>
      </c>
      <c r="H227" t="s">
        <v>5</v>
      </c>
      <c r="I227">
        <v>0.11242110962953815</v>
      </c>
      <c r="J227" t="s">
        <v>6</v>
      </c>
    </row>
    <row r="228" spans="2:10" x14ac:dyDescent="0.45">
      <c r="B228" t="s">
        <v>70</v>
      </c>
      <c r="C228" t="s">
        <v>9</v>
      </c>
      <c r="D228">
        <v>0.19509469512591096</v>
      </c>
      <c r="E228" t="s">
        <v>6</v>
      </c>
      <c r="G228" t="s">
        <v>71</v>
      </c>
      <c r="H228" t="s">
        <v>9</v>
      </c>
      <c r="I228">
        <v>0.11718989017047651</v>
      </c>
      <c r="J228" t="s">
        <v>6</v>
      </c>
    </row>
    <row r="229" spans="2:10" x14ac:dyDescent="0.45">
      <c r="B229" t="s">
        <v>70</v>
      </c>
      <c r="C229" t="s">
        <v>10</v>
      </c>
      <c r="D229">
        <v>1.5506502241675565E-3</v>
      </c>
      <c r="E229" t="s">
        <v>6</v>
      </c>
      <c r="G229" t="s">
        <v>71</v>
      </c>
      <c r="H229" t="s">
        <v>10</v>
      </c>
      <c r="I229">
        <v>7.9822409222822507E-2</v>
      </c>
      <c r="J229" t="s">
        <v>6</v>
      </c>
    </row>
    <row r="230" spans="2:10" x14ac:dyDescent="0.45">
      <c r="B230" t="s">
        <v>70</v>
      </c>
      <c r="C230" t="s">
        <v>11</v>
      </c>
      <c r="D230">
        <v>1.5593815961097383E-3</v>
      </c>
      <c r="E230" t="s">
        <v>6</v>
      </c>
      <c r="G230" t="s">
        <v>71</v>
      </c>
      <c r="H230" t="s">
        <v>11</v>
      </c>
      <c r="I230">
        <v>8.8201016881285649E-2</v>
      </c>
      <c r="J230" t="s">
        <v>6</v>
      </c>
    </row>
    <row r="231" spans="2:10" x14ac:dyDescent="0.45">
      <c r="B231" t="s">
        <v>70</v>
      </c>
      <c r="C231" t="s">
        <v>12</v>
      </c>
      <c r="D231">
        <v>0.26002477121806133</v>
      </c>
      <c r="E231" t="s">
        <v>6</v>
      </c>
      <c r="G231" t="s">
        <v>71</v>
      </c>
      <c r="H231" t="s">
        <v>12</v>
      </c>
      <c r="I231">
        <v>0.10234453397839732</v>
      </c>
      <c r="J231" t="s">
        <v>6</v>
      </c>
    </row>
    <row r="232" spans="2:10" x14ac:dyDescent="0.45">
      <c r="B232" t="s">
        <v>70</v>
      </c>
      <c r="C232" t="s">
        <v>13</v>
      </c>
      <c r="D232">
        <v>1.1156525402627132E-2</v>
      </c>
      <c r="E232" t="s">
        <v>6</v>
      </c>
      <c r="G232" t="s">
        <v>71</v>
      </c>
      <c r="H232" t="s">
        <v>13</v>
      </c>
      <c r="I232">
        <v>6.9438051518360383E-2</v>
      </c>
      <c r="J232" t="s">
        <v>6</v>
      </c>
    </row>
    <row r="233" spans="2:10" x14ac:dyDescent="0.45">
      <c r="B233" t="s">
        <v>70</v>
      </c>
      <c r="C233" t="s">
        <v>14</v>
      </c>
      <c r="D233">
        <v>3.0147121435744962E-3</v>
      </c>
      <c r="E233" t="s">
        <v>6</v>
      </c>
      <c r="G233" t="s">
        <v>71</v>
      </c>
      <c r="H233" t="s">
        <v>14</v>
      </c>
      <c r="I233">
        <v>5.7983461964983017E-2</v>
      </c>
      <c r="J233" t="s">
        <v>6</v>
      </c>
    </row>
    <row r="234" spans="2:10" x14ac:dyDescent="0.45">
      <c r="B234" t="s">
        <v>70</v>
      </c>
      <c r="C234" t="s">
        <v>15</v>
      </c>
      <c r="D234">
        <v>0.30317915266921053</v>
      </c>
      <c r="E234" t="s">
        <v>6</v>
      </c>
      <c r="G234" t="s">
        <v>71</v>
      </c>
      <c r="H234" t="s">
        <v>15</v>
      </c>
      <c r="I234">
        <v>5.0799149412670781E-2</v>
      </c>
      <c r="J234" t="s">
        <v>6</v>
      </c>
    </row>
    <row r="235" spans="2:10" x14ac:dyDescent="0.45">
      <c r="B235" t="s">
        <v>70</v>
      </c>
      <c r="C235" t="s">
        <v>16</v>
      </c>
      <c r="D235">
        <v>1.7186245998228749E-2</v>
      </c>
      <c r="E235" t="s">
        <v>6</v>
      </c>
      <c r="G235" t="s">
        <v>71</v>
      </c>
      <c r="H235" t="s">
        <v>16</v>
      </c>
      <c r="I235">
        <v>5.0081508823969396E-2</v>
      </c>
      <c r="J235" t="s">
        <v>6</v>
      </c>
    </row>
    <row r="236" spans="2:10" x14ac:dyDescent="0.45">
      <c r="B236" t="s">
        <v>70</v>
      </c>
      <c r="C236" t="s">
        <v>17</v>
      </c>
      <c r="D236">
        <v>1.0703076087108892E-4</v>
      </c>
      <c r="E236" t="s">
        <v>6</v>
      </c>
      <c r="G236" t="s">
        <v>71</v>
      </c>
      <c r="H236" t="s">
        <v>17</v>
      </c>
      <c r="I236">
        <v>9.3449928626126097E-2</v>
      </c>
      <c r="J236" t="s">
        <v>6</v>
      </c>
    </row>
    <row r="237" spans="2:10" x14ac:dyDescent="0.45">
      <c r="B237" t="s">
        <v>70</v>
      </c>
      <c r="C237" t="s">
        <v>18</v>
      </c>
      <c r="D237">
        <v>0.20419594611278039</v>
      </c>
      <c r="E237" t="s">
        <v>6</v>
      </c>
      <c r="G237" t="s">
        <v>71</v>
      </c>
      <c r="H237" t="s">
        <v>18</v>
      </c>
      <c r="I237">
        <v>0.10536202368159801</v>
      </c>
      <c r="J237" t="s">
        <v>6</v>
      </c>
    </row>
    <row r="238" spans="2:10" x14ac:dyDescent="0.45">
      <c r="B238" t="s">
        <v>70</v>
      </c>
      <c r="C238" t="s">
        <v>19</v>
      </c>
      <c r="D238">
        <v>2.9308887484562405E-3</v>
      </c>
      <c r="E238" t="s">
        <v>6</v>
      </c>
      <c r="G238" t="s">
        <v>71</v>
      </c>
      <c r="H238" t="s">
        <v>19</v>
      </c>
      <c r="I238">
        <v>7.2906916089769666E-2</v>
      </c>
      <c r="J238" t="s">
        <v>6</v>
      </c>
    </row>
    <row r="239" spans="2:10" x14ac:dyDescent="0.45">
      <c r="B239" t="s">
        <v>72</v>
      </c>
      <c r="C239" t="s">
        <v>5</v>
      </c>
      <c r="D239">
        <v>0</v>
      </c>
      <c r="E239" t="s">
        <v>6</v>
      </c>
      <c r="G239" t="s">
        <v>73</v>
      </c>
      <c r="H239" t="s">
        <v>5</v>
      </c>
      <c r="I239">
        <v>0.11225043068608521</v>
      </c>
      <c r="J239" t="s">
        <v>6</v>
      </c>
    </row>
    <row r="240" spans="2:10" x14ac:dyDescent="0.45">
      <c r="B240" t="s">
        <v>72</v>
      </c>
      <c r="C240" t="s">
        <v>9</v>
      </c>
      <c r="D240">
        <v>0.19479771191611212</v>
      </c>
      <c r="E240" t="s">
        <v>6</v>
      </c>
      <c r="G240" t="s">
        <v>73</v>
      </c>
      <c r="H240" t="s">
        <v>9</v>
      </c>
      <c r="I240">
        <v>0.12905039425022422</v>
      </c>
      <c r="J240" t="s">
        <v>6</v>
      </c>
    </row>
    <row r="241" spans="2:10" x14ac:dyDescent="0.45">
      <c r="B241" t="s">
        <v>72</v>
      </c>
      <c r="C241" t="s">
        <v>10</v>
      </c>
      <c r="D241">
        <v>3.1747727161734406E-3</v>
      </c>
      <c r="E241" t="s">
        <v>6</v>
      </c>
      <c r="G241" t="s">
        <v>73</v>
      </c>
      <c r="H241" t="s">
        <v>10</v>
      </c>
      <c r="I241">
        <v>8.100837676999742E-2</v>
      </c>
      <c r="J241" t="s">
        <v>6</v>
      </c>
    </row>
    <row r="242" spans="2:10" x14ac:dyDescent="0.45">
      <c r="B242" t="s">
        <v>72</v>
      </c>
      <c r="C242" t="s">
        <v>11</v>
      </c>
      <c r="D242">
        <v>6.2031981319792288E-4</v>
      </c>
      <c r="E242" t="s">
        <v>6</v>
      </c>
      <c r="G242" t="s">
        <v>73</v>
      </c>
      <c r="H242" t="s">
        <v>11</v>
      </c>
      <c r="I242">
        <v>0.10086909565119059</v>
      </c>
      <c r="J242" t="s">
        <v>6</v>
      </c>
    </row>
    <row r="243" spans="2:10" x14ac:dyDescent="0.45">
      <c r="B243" t="s">
        <v>72</v>
      </c>
      <c r="C243" t="s">
        <v>12</v>
      </c>
      <c r="D243">
        <v>0.25388512484221681</v>
      </c>
      <c r="E243" t="s">
        <v>6</v>
      </c>
      <c r="G243" t="s">
        <v>73</v>
      </c>
      <c r="H243" t="s">
        <v>12</v>
      </c>
      <c r="I243">
        <v>0.12482950508400005</v>
      </c>
      <c r="J243" t="s">
        <v>6</v>
      </c>
    </row>
    <row r="244" spans="2:10" x14ac:dyDescent="0.45">
      <c r="B244" t="s">
        <v>72</v>
      </c>
      <c r="C244" t="s">
        <v>13</v>
      </c>
      <c r="D244">
        <v>1.4587361941898729E-2</v>
      </c>
      <c r="E244" t="s">
        <v>6</v>
      </c>
      <c r="G244" t="s">
        <v>73</v>
      </c>
      <c r="H244" t="s">
        <v>13</v>
      </c>
      <c r="I244">
        <v>8.329930159718861E-2</v>
      </c>
      <c r="J244" t="s">
        <v>6</v>
      </c>
    </row>
    <row r="245" spans="2:10" x14ac:dyDescent="0.45">
      <c r="B245" t="s">
        <v>72</v>
      </c>
      <c r="C245" t="s">
        <v>14</v>
      </c>
      <c r="D245">
        <v>1.3954836557695147E-3</v>
      </c>
      <c r="E245" t="s">
        <v>6</v>
      </c>
      <c r="G245" t="s">
        <v>73</v>
      </c>
      <c r="H245" t="s">
        <v>14</v>
      </c>
      <c r="I245">
        <v>4.672056274591297E-2</v>
      </c>
      <c r="J245" t="s">
        <v>6</v>
      </c>
    </row>
    <row r="246" spans="2:10" x14ac:dyDescent="0.45">
      <c r="B246" t="s">
        <v>72</v>
      </c>
      <c r="C246" t="s">
        <v>15</v>
      </c>
      <c r="D246">
        <v>0.28849342778226705</v>
      </c>
      <c r="E246" t="s">
        <v>6</v>
      </c>
      <c r="G246" t="s">
        <v>73</v>
      </c>
      <c r="H246" t="s">
        <v>15</v>
      </c>
      <c r="I246">
        <v>5.0083147133247942E-2</v>
      </c>
      <c r="J246" t="s">
        <v>6</v>
      </c>
    </row>
    <row r="247" spans="2:10" x14ac:dyDescent="0.45">
      <c r="B247" t="s">
        <v>72</v>
      </c>
      <c r="C247" t="s">
        <v>16</v>
      </c>
      <c r="D247">
        <v>2.0998657103631885E-2</v>
      </c>
      <c r="E247" t="s">
        <v>6</v>
      </c>
      <c r="G247" t="s">
        <v>73</v>
      </c>
      <c r="H247" t="s">
        <v>16</v>
      </c>
      <c r="I247">
        <v>3.9730848297333921E-2</v>
      </c>
      <c r="J247" t="s">
        <v>6</v>
      </c>
    </row>
    <row r="248" spans="2:10" x14ac:dyDescent="0.45">
      <c r="B248" t="s">
        <v>72</v>
      </c>
      <c r="C248" t="s">
        <v>17</v>
      </c>
      <c r="D248">
        <v>7.8417123058445129E-6</v>
      </c>
      <c r="E248" t="s">
        <v>6</v>
      </c>
      <c r="G248" t="s">
        <v>73</v>
      </c>
      <c r="H248" t="s">
        <v>17</v>
      </c>
      <c r="I248">
        <v>7.9285508282826808E-2</v>
      </c>
      <c r="J248" t="s">
        <v>6</v>
      </c>
    </row>
    <row r="249" spans="2:10" x14ac:dyDescent="0.45">
      <c r="B249" t="s">
        <v>72</v>
      </c>
      <c r="C249" t="s">
        <v>18</v>
      </c>
      <c r="D249">
        <v>0.21698023260960975</v>
      </c>
      <c r="E249" t="s">
        <v>6</v>
      </c>
      <c r="G249" t="s">
        <v>73</v>
      </c>
      <c r="H249" t="s">
        <v>18</v>
      </c>
      <c r="I249">
        <v>8.833376484015798E-2</v>
      </c>
      <c r="J249" t="s">
        <v>6</v>
      </c>
    </row>
    <row r="250" spans="2:10" x14ac:dyDescent="0.45">
      <c r="B250" t="s">
        <v>72</v>
      </c>
      <c r="C250" t="s">
        <v>19</v>
      </c>
      <c r="D250">
        <v>5.0590659068182999E-3</v>
      </c>
      <c r="E250" t="s">
        <v>6</v>
      </c>
      <c r="G250" t="s">
        <v>73</v>
      </c>
      <c r="H250" t="s">
        <v>19</v>
      </c>
      <c r="I250">
        <v>6.4539064661837189E-2</v>
      </c>
      <c r="J250" t="s">
        <v>6</v>
      </c>
    </row>
    <row r="251" spans="2:10" x14ac:dyDescent="0.45">
      <c r="B251" t="s">
        <v>74</v>
      </c>
      <c r="C251" t="s">
        <v>5</v>
      </c>
      <c r="D251">
        <v>0</v>
      </c>
      <c r="E251" t="s">
        <v>6</v>
      </c>
      <c r="G251" t="s">
        <v>75</v>
      </c>
      <c r="H251" t="s">
        <v>5</v>
      </c>
      <c r="I251">
        <v>0.110299568959333</v>
      </c>
      <c r="J251" t="s">
        <v>6</v>
      </c>
    </row>
    <row r="252" spans="2:10" x14ac:dyDescent="0.45">
      <c r="B252" t="s">
        <v>74</v>
      </c>
      <c r="C252" t="s">
        <v>9</v>
      </c>
      <c r="D252">
        <v>0.18629725009840595</v>
      </c>
      <c r="E252" t="s">
        <v>6</v>
      </c>
      <c r="G252" t="s">
        <v>75</v>
      </c>
      <c r="H252" t="s">
        <v>9</v>
      </c>
      <c r="I252">
        <v>0.11444294499988605</v>
      </c>
      <c r="J252" t="s">
        <v>6</v>
      </c>
    </row>
    <row r="253" spans="2:10" x14ac:dyDescent="0.45">
      <c r="B253" t="s">
        <v>74</v>
      </c>
      <c r="C253" t="s">
        <v>10</v>
      </c>
      <c r="D253">
        <v>2.4094940198470314E-3</v>
      </c>
      <c r="E253" t="s">
        <v>6</v>
      </c>
      <c r="G253" t="s">
        <v>75</v>
      </c>
      <c r="H253" t="s">
        <v>10</v>
      </c>
      <c r="I253">
        <v>7.8504915218990598E-2</v>
      </c>
      <c r="J253" t="s">
        <v>6</v>
      </c>
    </row>
    <row r="254" spans="2:10" x14ac:dyDescent="0.45">
      <c r="B254" t="s">
        <v>74</v>
      </c>
      <c r="C254" t="s">
        <v>11</v>
      </c>
      <c r="D254">
        <v>9.5638408179583129E-4</v>
      </c>
      <c r="E254" t="s">
        <v>6</v>
      </c>
      <c r="G254" t="s">
        <v>75</v>
      </c>
      <c r="H254" t="s">
        <v>11</v>
      </c>
      <c r="I254">
        <v>9.8567133380212196E-2</v>
      </c>
      <c r="J254" t="s">
        <v>6</v>
      </c>
    </row>
    <row r="255" spans="2:10" x14ac:dyDescent="0.45">
      <c r="B255" t="s">
        <v>74</v>
      </c>
      <c r="C255" t="s">
        <v>12</v>
      </c>
      <c r="D255">
        <v>0.25259786664893508</v>
      </c>
      <c r="E255" t="s">
        <v>6</v>
      </c>
      <c r="G255" t="s">
        <v>75</v>
      </c>
      <c r="H255" t="s">
        <v>12</v>
      </c>
      <c r="I255">
        <v>0.11381148208579453</v>
      </c>
      <c r="J255" t="s">
        <v>6</v>
      </c>
    </row>
    <row r="256" spans="2:10" x14ac:dyDescent="0.45">
      <c r="B256" t="s">
        <v>74</v>
      </c>
      <c r="C256" t="s">
        <v>13</v>
      </c>
      <c r="D256">
        <v>1.3418813423042974E-2</v>
      </c>
      <c r="E256" t="s">
        <v>6</v>
      </c>
      <c r="G256" t="s">
        <v>75</v>
      </c>
      <c r="H256" t="s">
        <v>13</v>
      </c>
      <c r="I256">
        <v>7.8597113624130271E-2</v>
      </c>
      <c r="J256" t="s">
        <v>6</v>
      </c>
    </row>
    <row r="257" spans="2:10" x14ac:dyDescent="0.45">
      <c r="B257" t="s">
        <v>74</v>
      </c>
      <c r="C257" t="s">
        <v>14</v>
      </c>
      <c r="D257">
        <v>2.0184360937561267E-3</v>
      </c>
      <c r="E257" t="s">
        <v>6</v>
      </c>
      <c r="G257" t="s">
        <v>75</v>
      </c>
      <c r="H257" t="s">
        <v>14</v>
      </c>
      <c r="I257">
        <v>5.0364652386004391E-2</v>
      </c>
      <c r="J257" t="s">
        <v>6</v>
      </c>
    </row>
    <row r="258" spans="2:10" x14ac:dyDescent="0.45">
      <c r="B258" t="s">
        <v>74</v>
      </c>
      <c r="C258" t="s">
        <v>15</v>
      </c>
      <c r="D258">
        <v>0.3140063730201022</v>
      </c>
      <c r="E258" t="s">
        <v>6</v>
      </c>
      <c r="G258" t="s">
        <v>75</v>
      </c>
      <c r="H258" t="s">
        <v>15</v>
      </c>
      <c r="I258">
        <v>4.6667622959853564E-2</v>
      </c>
      <c r="J258" t="s">
        <v>6</v>
      </c>
    </row>
    <row r="259" spans="2:10" x14ac:dyDescent="0.45">
      <c r="B259" t="s">
        <v>74</v>
      </c>
      <c r="C259" t="s">
        <v>16</v>
      </c>
      <c r="D259">
        <v>2.0997757112174744E-2</v>
      </c>
      <c r="E259" t="s">
        <v>6</v>
      </c>
      <c r="G259" t="s">
        <v>75</v>
      </c>
      <c r="H259" t="s">
        <v>16</v>
      </c>
      <c r="I259">
        <v>4.8063605978500894E-2</v>
      </c>
      <c r="J259" t="s">
        <v>6</v>
      </c>
    </row>
    <row r="260" spans="2:10" x14ac:dyDescent="0.45">
      <c r="B260" t="s">
        <v>74</v>
      </c>
      <c r="C260" t="s">
        <v>17</v>
      </c>
      <c r="D260">
        <v>2.9388893186078444E-5</v>
      </c>
      <c r="E260" t="s">
        <v>6</v>
      </c>
      <c r="G260" t="s">
        <v>75</v>
      </c>
      <c r="H260" t="s">
        <v>17</v>
      </c>
      <c r="I260">
        <v>9.1302736635497247E-2</v>
      </c>
      <c r="J260" t="s">
        <v>6</v>
      </c>
    </row>
    <row r="261" spans="2:10" x14ac:dyDescent="0.45">
      <c r="B261" t="s">
        <v>74</v>
      </c>
      <c r="C261" t="s">
        <v>18</v>
      </c>
      <c r="D261">
        <v>0.2034137117463071</v>
      </c>
      <c r="E261" t="s">
        <v>6</v>
      </c>
      <c r="G261" t="s">
        <v>75</v>
      </c>
      <c r="H261" t="s">
        <v>18</v>
      </c>
      <c r="I261">
        <v>9.8701821573788387E-2</v>
      </c>
      <c r="J261" t="s">
        <v>6</v>
      </c>
    </row>
    <row r="262" spans="2:10" x14ac:dyDescent="0.45">
      <c r="B262" t="s">
        <v>74</v>
      </c>
      <c r="C262" t="s">
        <v>19</v>
      </c>
      <c r="D262">
        <v>3.8545248624450679E-3</v>
      </c>
      <c r="E262" t="s">
        <v>6</v>
      </c>
      <c r="G262" t="s">
        <v>75</v>
      </c>
      <c r="H262" t="s">
        <v>19</v>
      </c>
      <c r="I262">
        <v>7.0676402198009719E-2</v>
      </c>
      <c r="J262" t="s">
        <v>6</v>
      </c>
    </row>
    <row r="263" spans="2:10" x14ac:dyDescent="0.45">
      <c r="B263" t="s">
        <v>76</v>
      </c>
      <c r="C263" t="s">
        <v>5</v>
      </c>
      <c r="D263">
        <v>0</v>
      </c>
      <c r="E263" t="s">
        <v>6</v>
      </c>
      <c r="G263" t="s">
        <v>77</v>
      </c>
      <c r="H263" t="s">
        <v>5</v>
      </c>
      <c r="I263">
        <v>9.3879643018103448E-2</v>
      </c>
      <c r="J263" t="s">
        <v>6</v>
      </c>
    </row>
    <row r="264" spans="2:10" x14ac:dyDescent="0.45">
      <c r="B264" t="s">
        <v>76</v>
      </c>
      <c r="C264" t="s">
        <v>9</v>
      </c>
      <c r="D264">
        <v>0.17634461823268532</v>
      </c>
      <c r="E264" t="s">
        <v>6</v>
      </c>
      <c r="G264" t="s">
        <v>77</v>
      </c>
      <c r="H264" t="s">
        <v>9</v>
      </c>
      <c r="I264">
        <v>0.11428667839801676</v>
      </c>
      <c r="J264" t="s">
        <v>6</v>
      </c>
    </row>
    <row r="265" spans="2:10" x14ac:dyDescent="0.45">
      <c r="B265" t="s">
        <v>76</v>
      </c>
      <c r="C265" t="s">
        <v>10</v>
      </c>
      <c r="D265">
        <v>3.058118561756959E-3</v>
      </c>
      <c r="E265" t="s">
        <v>6</v>
      </c>
      <c r="G265" t="s">
        <v>77</v>
      </c>
      <c r="H265" t="s">
        <v>10</v>
      </c>
      <c r="I265">
        <v>7.4065869421618608E-2</v>
      </c>
      <c r="J265" t="s">
        <v>6</v>
      </c>
    </row>
    <row r="266" spans="2:10" x14ac:dyDescent="0.45">
      <c r="B266" t="s">
        <v>76</v>
      </c>
      <c r="C266" t="s">
        <v>11</v>
      </c>
      <c r="D266">
        <v>5.8042943404948378E-4</v>
      </c>
      <c r="E266" t="s">
        <v>6</v>
      </c>
      <c r="G266" t="s">
        <v>77</v>
      </c>
      <c r="H266" t="s">
        <v>11</v>
      </c>
      <c r="I266">
        <v>8.8100219761712548E-2</v>
      </c>
      <c r="J266" t="s">
        <v>6</v>
      </c>
    </row>
    <row r="267" spans="2:10" x14ac:dyDescent="0.45">
      <c r="B267" t="s">
        <v>76</v>
      </c>
      <c r="C267" t="s">
        <v>12</v>
      </c>
      <c r="D267">
        <v>0.2666850340204438</v>
      </c>
      <c r="E267" t="s">
        <v>6</v>
      </c>
      <c r="G267" t="s">
        <v>77</v>
      </c>
      <c r="H267" t="s">
        <v>12</v>
      </c>
      <c r="I267">
        <v>0.11165380177339612</v>
      </c>
      <c r="J267" t="s">
        <v>6</v>
      </c>
    </row>
    <row r="268" spans="2:10" x14ac:dyDescent="0.45">
      <c r="B268" t="s">
        <v>76</v>
      </c>
      <c r="C268" t="s">
        <v>13</v>
      </c>
      <c r="D268">
        <v>1.6069552354624619E-2</v>
      </c>
      <c r="E268" t="s">
        <v>6</v>
      </c>
      <c r="G268" t="s">
        <v>77</v>
      </c>
      <c r="H268" t="s">
        <v>13</v>
      </c>
      <c r="I268">
        <v>7.2479599008210119E-2</v>
      </c>
      <c r="J268" t="s">
        <v>6</v>
      </c>
    </row>
    <row r="269" spans="2:10" x14ac:dyDescent="0.45">
      <c r="B269" t="s">
        <v>76</v>
      </c>
      <c r="C269" t="s">
        <v>14</v>
      </c>
      <c r="D269">
        <v>1.315453825465587E-3</v>
      </c>
      <c r="E269" t="s">
        <v>6</v>
      </c>
      <c r="G269" t="s">
        <v>77</v>
      </c>
      <c r="H269" t="s">
        <v>14</v>
      </c>
      <c r="I269">
        <v>5.5934550732028909E-2</v>
      </c>
      <c r="J269" t="s">
        <v>6</v>
      </c>
    </row>
    <row r="270" spans="2:10" x14ac:dyDescent="0.45">
      <c r="B270" t="s">
        <v>76</v>
      </c>
      <c r="C270" t="s">
        <v>15</v>
      </c>
      <c r="D270">
        <v>0.31337431979564384</v>
      </c>
      <c r="E270" t="s">
        <v>6</v>
      </c>
      <c r="G270" t="s">
        <v>77</v>
      </c>
      <c r="H270" t="s">
        <v>15</v>
      </c>
      <c r="I270">
        <v>5.9470166424600297E-2</v>
      </c>
      <c r="J270" t="s">
        <v>6</v>
      </c>
    </row>
    <row r="271" spans="2:10" x14ac:dyDescent="0.45">
      <c r="B271" t="s">
        <v>76</v>
      </c>
      <c r="C271" t="s">
        <v>16</v>
      </c>
      <c r="D271">
        <v>2.4313494892158435E-2</v>
      </c>
      <c r="E271" t="s">
        <v>6</v>
      </c>
      <c r="G271" t="s">
        <v>77</v>
      </c>
      <c r="H271" t="s">
        <v>16</v>
      </c>
      <c r="I271">
        <v>4.5115072129043483E-2</v>
      </c>
      <c r="J271" t="s">
        <v>6</v>
      </c>
    </row>
    <row r="272" spans="2:10" x14ac:dyDescent="0.45">
      <c r="B272" t="s">
        <v>76</v>
      </c>
      <c r="C272" t="s">
        <v>17</v>
      </c>
      <c r="D272">
        <v>3.0227460705182998E-6</v>
      </c>
      <c r="E272" t="s">
        <v>6</v>
      </c>
      <c r="G272" t="s">
        <v>77</v>
      </c>
      <c r="H272" t="s">
        <v>17</v>
      </c>
      <c r="I272">
        <v>9.5416398851892958E-2</v>
      </c>
      <c r="J272" t="s">
        <v>6</v>
      </c>
    </row>
    <row r="273" spans="2:10" x14ac:dyDescent="0.45">
      <c r="B273" t="s">
        <v>76</v>
      </c>
      <c r="C273" t="s">
        <v>18</v>
      </c>
      <c r="D273">
        <v>0.19314046177235586</v>
      </c>
      <c r="E273" t="s">
        <v>6</v>
      </c>
      <c r="G273" t="s">
        <v>77</v>
      </c>
      <c r="H273" t="s">
        <v>18</v>
      </c>
      <c r="I273">
        <v>0.11509508046325478</v>
      </c>
      <c r="J273" t="s">
        <v>6</v>
      </c>
    </row>
    <row r="274" spans="2:10" x14ac:dyDescent="0.45">
      <c r="B274" t="s">
        <v>76</v>
      </c>
      <c r="C274" t="s">
        <v>19</v>
      </c>
      <c r="D274">
        <v>5.1154943647461447E-3</v>
      </c>
      <c r="E274" t="s">
        <v>6</v>
      </c>
      <c r="G274" t="s">
        <v>77</v>
      </c>
      <c r="H274" t="s">
        <v>19</v>
      </c>
      <c r="I274">
        <v>7.450292001812267E-2</v>
      </c>
      <c r="J274" t="s">
        <v>6</v>
      </c>
    </row>
    <row r="275" spans="2:10" x14ac:dyDescent="0.45">
      <c r="B275" t="s">
        <v>78</v>
      </c>
      <c r="C275" t="s">
        <v>5</v>
      </c>
      <c r="D275">
        <v>0</v>
      </c>
      <c r="E275" t="s">
        <v>6</v>
      </c>
      <c r="G275" t="s">
        <v>79</v>
      </c>
      <c r="H275" t="s">
        <v>5</v>
      </c>
      <c r="I275">
        <v>0.10671628251323097</v>
      </c>
      <c r="J275" t="s">
        <v>6</v>
      </c>
    </row>
    <row r="276" spans="2:10" x14ac:dyDescent="0.45">
      <c r="B276" t="s">
        <v>78</v>
      </c>
      <c r="C276" t="s">
        <v>9</v>
      </c>
      <c r="D276">
        <v>0.18033755075628641</v>
      </c>
      <c r="E276" t="s">
        <v>6</v>
      </c>
      <c r="G276" t="s">
        <v>79</v>
      </c>
      <c r="H276" t="s">
        <v>9</v>
      </c>
      <c r="I276">
        <v>0.13667000428365317</v>
      </c>
      <c r="J276" t="s">
        <v>6</v>
      </c>
    </row>
    <row r="277" spans="2:10" x14ac:dyDescent="0.45">
      <c r="B277" t="s">
        <v>78</v>
      </c>
      <c r="C277" t="s">
        <v>10</v>
      </c>
      <c r="D277">
        <v>3.5461787696992103E-3</v>
      </c>
      <c r="E277" t="s">
        <v>6</v>
      </c>
      <c r="G277" t="s">
        <v>79</v>
      </c>
      <c r="H277" t="s">
        <v>10</v>
      </c>
      <c r="I277">
        <v>7.4668628147423408E-2</v>
      </c>
      <c r="J277" t="s">
        <v>6</v>
      </c>
    </row>
    <row r="278" spans="2:10" x14ac:dyDescent="0.45">
      <c r="B278" t="s">
        <v>78</v>
      </c>
      <c r="C278" t="s">
        <v>11</v>
      </c>
      <c r="D278">
        <v>4.3501338972303048E-4</v>
      </c>
      <c r="E278" t="s">
        <v>6</v>
      </c>
      <c r="G278" t="s">
        <v>79</v>
      </c>
      <c r="H278" t="s">
        <v>11</v>
      </c>
      <c r="I278">
        <v>7.4585839114153688E-2</v>
      </c>
      <c r="J278" t="s">
        <v>6</v>
      </c>
    </row>
    <row r="279" spans="2:10" x14ac:dyDescent="0.45">
      <c r="B279" t="s">
        <v>78</v>
      </c>
      <c r="C279" t="s">
        <v>12</v>
      </c>
      <c r="D279">
        <v>0.25805330989371222</v>
      </c>
      <c r="E279" t="s">
        <v>6</v>
      </c>
      <c r="G279" t="s">
        <v>79</v>
      </c>
      <c r="H279" t="s">
        <v>12</v>
      </c>
      <c r="I279">
        <v>0.13864704340560083</v>
      </c>
      <c r="J279" t="s">
        <v>6</v>
      </c>
    </row>
    <row r="280" spans="2:10" x14ac:dyDescent="0.45">
      <c r="B280" t="s">
        <v>78</v>
      </c>
      <c r="C280" t="s">
        <v>13</v>
      </c>
      <c r="D280">
        <v>1.8369169030234115E-2</v>
      </c>
      <c r="E280" t="s">
        <v>6</v>
      </c>
      <c r="G280" t="s">
        <v>79</v>
      </c>
      <c r="H280" t="s">
        <v>13</v>
      </c>
      <c r="I280">
        <v>6.5283915850703506E-2</v>
      </c>
      <c r="J280" t="s">
        <v>6</v>
      </c>
    </row>
    <row r="281" spans="2:10" x14ac:dyDescent="0.45">
      <c r="B281" t="s">
        <v>78</v>
      </c>
      <c r="C281" t="s">
        <v>14</v>
      </c>
      <c r="D281">
        <v>1.0408699791178053E-3</v>
      </c>
      <c r="E281" t="s">
        <v>6</v>
      </c>
      <c r="G281" t="s">
        <v>79</v>
      </c>
      <c r="H281" t="s">
        <v>14</v>
      </c>
      <c r="I281">
        <v>2.6541774752904725E-2</v>
      </c>
      <c r="J281" t="s">
        <v>6</v>
      </c>
    </row>
    <row r="282" spans="2:10" x14ac:dyDescent="0.45">
      <c r="B282" t="s">
        <v>78</v>
      </c>
      <c r="C282" t="s">
        <v>15</v>
      </c>
      <c r="D282">
        <v>0.30474918950123864</v>
      </c>
      <c r="E282" t="s">
        <v>6</v>
      </c>
      <c r="G282" t="s">
        <v>79</v>
      </c>
      <c r="H282" t="s">
        <v>15</v>
      </c>
      <c r="I282">
        <v>5.7127651444739323E-2</v>
      </c>
      <c r="J282" t="s">
        <v>6</v>
      </c>
    </row>
    <row r="283" spans="2:10" x14ac:dyDescent="0.45">
      <c r="B283" t="s">
        <v>78</v>
      </c>
      <c r="C283" t="s">
        <v>16</v>
      </c>
      <c r="D283">
        <v>2.7157671698522852E-2</v>
      </c>
      <c r="E283" t="s">
        <v>6</v>
      </c>
      <c r="G283" t="s">
        <v>79</v>
      </c>
      <c r="H283" t="s">
        <v>16</v>
      </c>
      <c r="I283">
        <v>3.0341996569987175E-2</v>
      </c>
      <c r="J283" t="s">
        <v>6</v>
      </c>
    </row>
    <row r="284" spans="2:10" x14ac:dyDescent="0.45">
      <c r="B284" t="s">
        <v>78</v>
      </c>
      <c r="C284" t="s">
        <v>17</v>
      </c>
      <c r="D284">
        <v>0</v>
      </c>
      <c r="E284" t="s">
        <v>6</v>
      </c>
      <c r="G284" t="s">
        <v>79</v>
      </c>
      <c r="H284" t="s">
        <v>17</v>
      </c>
      <c r="I284">
        <v>9.2919747269051625E-2</v>
      </c>
      <c r="J284" t="s">
        <v>6</v>
      </c>
    </row>
    <row r="285" spans="2:10" x14ac:dyDescent="0.45">
      <c r="B285" t="s">
        <v>78</v>
      </c>
      <c r="C285" t="s">
        <v>18</v>
      </c>
      <c r="D285">
        <v>0.20005654728894073</v>
      </c>
      <c r="E285" t="s">
        <v>6</v>
      </c>
      <c r="G285" t="s">
        <v>79</v>
      </c>
      <c r="H285" t="s">
        <v>18</v>
      </c>
      <c r="I285">
        <v>0.12578688810626878</v>
      </c>
      <c r="J285" t="s">
        <v>6</v>
      </c>
    </row>
    <row r="286" spans="2:10" x14ac:dyDescent="0.45">
      <c r="B286" t="s">
        <v>78</v>
      </c>
      <c r="C286" t="s">
        <v>19</v>
      </c>
      <c r="D286">
        <v>6.2544996925261893E-3</v>
      </c>
      <c r="E286" t="s">
        <v>6</v>
      </c>
      <c r="G286" t="s">
        <v>79</v>
      </c>
      <c r="H286" t="s">
        <v>19</v>
      </c>
      <c r="I286">
        <v>7.0710228542280096E-2</v>
      </c>
      <c r="J286" t="s">
        <v>6</v>
      </c>
    </row>
    <row r="287" spans="2:10" x14ac:dyDescent="0.45">
      <c r="B287" t="s">
        <v>80</v>
      </c>
      <c r="C287" t="s">
        <v>5</v>
      </c>
      <c r="D287">
        <v>0</v>
      </c>
      <c r="E287" t="s">
        <v>6</v>
      </c>
      <c r="G287" t="s">
        <v>81</v>
      </c>
      <c r="H287" t="s">
        <v>5</v>
      </c>
      <c r="I287">
        <v>9.8261556854545296E-2</v>
      </c>
      <c r="J287" t="s">
        <v>6</v>
      </c>
    </row>
    <row r="288" spans="2:10" x14ac:dyDescent="0.45">
      <c r="B288" t="s">
        <v>80</v>
      </c>
      <c r="C288" t="s">
        <v>9</v>
      </c>
      <c r="D288">
        <v>0.17179386543057634</v>
      </c>
      <c r="E288" t="s">
        <v>6</v>
      </c>
      <c r="G288" t="s">
        <v>81</v>
      </c>
      <c r="H288" t="s">
        <v>9</v>
      </c>
      <c r="I288">
        <v>0.14349675314473526</v>
      </c>
      <c r="J288" t="s">
        <v>6</v>
      </c>
    </row>
    <row r="289" spans="2:10" x14ac:dyDescent="0.45">
      <c r="B289" t="s">
        <v>80</v>
      </c>
      <c r="C289" t="s">
        <v>10</v>
      </c>
      <c r="D289">
        <v>3.3510912933466435E-3</v>
      </c>
      <c r="E289" t="s">
        <v>6</v>
      </c>
      <c r="G289" t="s">
        <v>81</v>
      </c>
      <c r="H289" t="s">
        <v>10</v>
      </c>
      <c r="I289">
        <v>7.3966386158034497E-2</v>
      </c>
      <c r="J289" t="s">
        <v>6</v>
      </c>
    </row>
    <row r="290" spans="2:10" x14ac:dyDescent="0.45">
      <c r="B290" t="s">
        <v>80</v>
      </c>
      <c r="C290" t="s">
        <v>11</v>
      </c>
      <c r="D290">
        <v>5.2800097082386524E-4</v>
      </c>
      <c r="E290" t="s">
        <v>6</v>
      </c>
      <c r="G290" t="s">
        <v>81</v>
      </c>
      <c r="H290" t="s">
        <v>11</v>
      </c>
      <c r="I290">
        <v>7.7672267571436554E-2</v>
      </c>
      <c r="J290" t="s">
        <v>6</v>
      </c>
    </row>
    <row r="291" spans="2:10" x14ac:dyDescent="0.45">
      <c r="B291" t="s">
        <v>80</v>
      </c>
      <c r="C291" t="s">
        <v>12</v>
      </c>
      <c r="D291">
        <v>0.26681348621241513</v>
      </c>
      <c r="E291" t="s">
        <v>6</v>
      </c>
      <c r="G291" t="s">
        <v>81</v>
      </c>
      <c r="H291" t="s">
        <v>12</v>
      </c>
      <c r="I291">
        <v>0.12348921378515892</v>
      </c>
      <c r="J291" t="s">
        <v>6</v>
      </c>
    </row>
    <row r="292" spans="2:10" x14ac:dyDescent="0.45">
      <c r="B292" t="s">
        <v>80</v>
      </c>
      <c r="C292" t="s">
        <v>13</v>
      </c>
      <c r="D292">
        <v>1.8512151850958954E-2</v>
      </c>
      <c r="E292" t="s">
        <v>6</v>
      </c>
      <c r="G292" t="s">
        <v>81</v>
      </c>
      <c r="H292" t="s">
        <v>13</v>
      </c>
      <c r="I292">
        <v>6.8611535867062493E-2</v>
      </c>
      <c r="J292" t="s">
        <v>6</v>
      </c>
    </row>
    <row r="293" spans="2:10" x14ac:dyDescent="0.45">
      <c r="B293" t="s">
        <v>80</v>
      </c>
      <c r="C293" t="s">
        <v>14</v>
      </c>
      <c r="D293">
        <v>1.1679222387139803E-3</v>
      </c>
      <c r="E293" t="s">
        <v>6</v>
      </c>
      <c r="G293" t="s">
        <v>81</v>
      </c>
      <c r="H293" t="s">
        <v>14</v>
      </c>
      <c r="I293">
        <v>4.4443461865733919E-2</v>
      </c>
      <c r="J293" t="s">
        <v>6</v>
      </c>
    </row>
    <row r="294" spans="2:10" x14ac:dyDescent="0.45">
      <c r="B294" t="s">
        <v>80</v>
      </c>
      <c r="C294" t="s">
        <v>15</v>
      </c>
      <c r="D294">
        <v>0.31047300967511726</v>
      </c>
      <c r="E294" t="s">
        <v>6</v>
      </c>
      <c r="G294" t="s">
        <v>81</v>
      </c>
      <c r="H294" t="s">
        <v>15</v>
      </c>
      <c r="I294">
        <v>6.0037323273076676E-2</v>
      </c>
      <c r="J294" t="s">
        <v>6</v>
      </c>
    </row>
    <row r="295" spans="2:10" x14ac:dyDescent="0.45">
      <c r="B295" t="s">
        <v>80</v>
      </c>
      <c r="C295" t="s">
        <v>16</v>
      </c>
      <c r="D295">
        <v>2.7494743036209912E-2</v>
      </c>
      <c r="E295" t="s">
        <v>6</v>
      </c>
      <c r="G295" t="s">
        <v>81</v>
      </c>
      <c r="H295" t="s">
        <v>16</v>
      </c>
      <c r="I295">
        <v>3.7338775325984321E-2</v>
      </c>
      <c r="J295" t="s">
        <v>6</v>
      </c>
    </row>
    <row r="296" spans="2:10" x14ac:dyDescent="0.45">
      <c r="B296" t="s">
        <v>80</v>
      </c>
      <c r="C296" t="s">
        <v>17</v>
      </c>
      <c r="D296">
        <v>1.2456898402755023E-7</v>
      </c>
      <c r="E296" t="s">
        <v>6</v>
      </c>
      <c r="G296" t="s">
        <v>81</v>
      </c>
      <c r="H296" t="s">
        <v>17</v>
      </c>
      <c r="I296">
        <v>8.7274161291787292E-2</v>
      </c>
      <c r="J296" t="s">
        <v>6</v>
      </c>
    </row>
    <row r="297" spans="2:10" x14ac:dyDescent="0.45">
      <c r="B297" t="s">
        <v>80</v>
      </c>
      <c r="C297" t="s">
        <v>18</v>
      </c>
      <c r="D297">
        <v>0.19400992368417033</v>
      </c>
      <c r="E297" t="s">
        <v>6</v>
      </c>
      <c r="G297" t="s">
        <v>81</v>
      </c>
      <c r="H297" t="s">
        <v>18</v>
      </c>
      <c r="I297">
        <v>0.11425044360852932</v>
      </c>
      <c r="J297" t="s">
        <v>6</v>
      </c>
    </row>
    <row r="298" spans="2:10" x14ac:dyDescent="0.45">
      <c r="B298" t="s">
        <v>80</v>
      </c>
      <c r="C298" t="s">
        <v>19</v>
      </c>
      <c r="D298">
        <v>5.8556810386841103E-3</v>
      </c>
      <c r="E298" t="s">
        <v>6</v>
      </c>
      <c r="G298" t="s">
        <v>81</v>
      </c>
      <c r="H298" t="s">
        <v>19</v>
      </c>
      <c r="I298">
        <v>7.1158121253918474E-2</v>
      </c>
      <c r="J298" t="s">
        <v>6</v>
      </c>
    </row>
    <row r="299" spans="2:10" x14ac:dyDescent="0.45">
      <c r="B299" t="s">
        <v>82</v>
      </c>
      <c r="C299" t="s">
        <v>5</v>
      </c>
      <c r="D299">
        <v>0</v>
      </c>
      <c r="E299" t="s">
        <v>6</v>
      </c>
      <c r="G299" t="s">
        <v>83</v>
      </c>
      <c r="H299" t="s">
        <v>5</v>
      </c>
      <c r="I299">
        <v>0.10279691365485742</v>
      </c>
      <c r="J299" t="s">
        <v>6</v>
      </c>
    </row>
    <row r="300" spans="2:10" x14ac:dyDescent="0.45">
      <c r="B300" t="s">
        <v>82</v>
      </c>
      <c r="C300" t="s">
        <v>9</v>
      </c>
      <c r="D300">
        <v>0.16347864806926624</v>
      </c>
      <c r="E300" t="s">
        <v>6</v>
      </c>
      <c r="G300" t="s">
        <v>83</v>
      </c>
      <c r="H300" t="s">
        <v>9</v>
      </c>
      <c r="I300">
        <v>0.12004119147559261</v>
      </c>
      <c r="J300" t="s">
        <v>6</v>
      </c>
    </row>
    <row r="301" spans="2:10" x14ac:dyDescent="0.45">
      <c r="B301" t="s">
        <v>82</v>
      </c>
      <c r="C301" t="s">
        <v>10</v>
      </c>
      <c r="D301">
        <v>2.8175698453602907E-3</v>
      </c>
      <c r="E301" t="s">
        <v>6</v>
      </c>
      <c r="G301" t="s">
        <v>83</v>
      </c>
      <c r="H301" t="s">
        <v>10</v>
      </c>
      <c r="I301">
        <v>7.7754453123187031E-2</v>
      </c>
      <c r="J301" t="s">
        <v>6</v>
      </c>
    </row>
    <row r="302" spans="2:10" x14ac:dyDescent="0.45">
      <c r="B302" t="s">
        <v>82</v>
      </c>
      <c r="C302" t="s">
        <v>11</v>
      </c>
      <c r="D302">
        <v>7.1355898161237752E-4</v>
      </c>
      <c r="E302" t="s">
        <v>6</v>
      </c>
      <c r="G302" t="s">
        <v>83</v>
      </c>
      <c r="H302" t="s">
        <v>11</v>
      </c>
      <c r="I302">
        <v>7.8837116911119345E-2</v>
      </c>
      <c r="J302" t="s">
        <v>6</v>
      </c>
    </row>
    <row r="303" spans="2:10" x14ac:dyDescent="0.45">
      <c r="B303" t="s">
        <v>82</v>
      </c>
      <c r="C303" t="s">
        <v>12</v>
      </c>
      <c r="D303">
        <v>0.26528981269971502</v>
      </c>
      <c r="E303" t="s">
        <v>6</v>
      </c>
      <c r="G303" t="s">
        <v>83</v>
      </c>
      <c r="H303" t="s">
        <v>12</v>
      </c>
      <c r="I303">
        <v>0.10092230276386627</v>
      </c>
      <c r="J303" t="s">
        <v>6</v>
      </c>
    </row>
    <row r="304" spans="2:10" x14ac:dyDescent="0.45">
      <c r="B304" t="s">
        <v>82</v>
      </c>
      <c r="C304" t="s">
        <v>13</v>
      </c>
      <c r="D304">
        <v>1.6189225991651617E-2</v>
      </c>
      <c r="E304" t="s">
        <v>6</v>
      </c>
      <c r="G304" t="s">
        <v>83</v>
      </c>
      <c r="H304" t="s">
        <v>13</v>
      </c>
      <c r="I304">
        <v>6.2611784793886766E-2</v>
      </c>
      <c r="J304" t="s">
        <v>6</v>
      </c>
    </row>
    <row r="305" spans="2:10" x14ac:dyDescent="0.45">
      <c r="B305" t="s">
        <v>82</v>
      </c>
      <c r="C305" t="s">
        <v>14</v>
      </c>
      <c r="D305">
        <v>1.6290079540705585E-3</v>
      </c>
      <c r="E305" t="s">
        <v>6</v>
      </c>
      <c r="G305" t="s">
        <v>83</v>
      </c>
      <c r="H305" t="s">
        <v>14</v>
      </c>
      <c r="I305">
        <v>5.5735317296414434E-2</v>
      </c>
      <c r="J305" t="s">
        <v>6</v>
      </c>
    </row>
    <row r="306" spans="2:10" x14ac:dyDescent="0.45">
      <c r="B306" t="s">
        <v>82</v>
      </c>
      <c r="C306" t="s">
        <v>15</v>
      </c>
      <c r="D306">
        <v>0.32470334436865894</v>
      </c>
      <c r="E306" t="s">
        <v>6</v>
      </c>
      <c r="G306" t="s">
        <v>83</v>
      </c>
      <c r="H306" t="s">
        <v>15</v>
      </c>
      <c r="I306">
        <v>5.4254593590604083E-2</v>
      </c>
      <c r="J306" t="s">
        <v>6</v>
      </c>
    </row>
    <row r="307" spans="2:10" x14ac:dyDescent="0.45">
      <c r="B307" t="s">
        <v>82</v>
      </c>
      <c r="C307" t="s">
        <v>16</v>
      </c>
      <c r="D307">
        <v>2.5331853117857971E-2</v>
      </c>
      <c r="E307" t="s">
        <v>6</v>
      </c>
      <c r="G307" t="s">
        <v>83</v>
      </c>
      <c r="H307" t="s">
        <v>16</v>
      </c>
      <c r="I307">
        <v>4.0652177505892881E-2</v>
      </c>
      <c r="J307" t="s">
        <v>6</v>
      </c>
    </row>
    <row r="308" spans="2:10" x14ac:dyDescent="0.45">
      <c r="B308" t="s">
        <v>82</v>
      </c>
      <c r="C308" t="s">
        <v>17</v>
      </c>
      <c r="D308">
        <v>7.9331360717155205E-6</v>
      </c>
      <c r="E308" t="s">
        <v>6</v>
      </c>
      <c r="G308" t="s">
        <v>83</v>
      </c>
      <c r="H308" t="s">
        <v>17</v>
      </c>
      <c r="I308">
        <v>0.10482359284500913</v>
      </c>
      <c r="J308" t="s">
        <v>6</v>
      </c>
    </row>
    <row r="309" spans="2:10" x14ac:dyDescent="0.45">
      <c r="B309" t="s">
        <v>82</v>
      </c>
      <c r="C309" t="s">
        <v>18</v>
      </c>
      <c r="D309">
        <v>0.19539986355970398</v>
      </c>
      <c r="E309" t="s">
        <v>6</v>
      </c>
      <c r="G309" t="s">
        <v>83</v>
      </c>
      <c r="H309" t="s">
        <v>18</v>
      </c>
      <c r="I309">
        <v>0.12195989316596846</v>
      </c>
      <c r="J309" t="s">
        <v>6</v>
      </c>
    </row>
    <row r="310" spans="2:10" x14ac:dyDescent="0.45">
      <c r="B310" t="s">
        <v>82</v>
      </c>
      <c r="C310" t="s">
        <v>19</v>
      </c>
      <c r="D310">
        <v>4.4391822760318908E-3</v>
      </c>
      <c r="E310" t="s">
        <v>6</v>
      </c>
      <c r="G310" t="s">
        <v>83</v>
      </c>
      <c r="H310" t="s">
        <v>19</v>
      </c>
      <c r="I310">
        <v>7.9610662873604479E-2</v>
      </c>
      <c r="J310" t="s">
        <v>6</v>
      </c>
    </row>
    <row r="311" spans="2:10" x14ac:dyDescent="0.45">
      <c r="B311" t="s">
        <v>84</v>
      </c>
      <c r="C311" t="s">
        <v>5</v>
      </c>
      <c r="D311">
        <v>0</v>
      </c>
      <c r="E311" t="s">
        <v>6</v>
      </c>
      <c r="G311" t="s">
        <v>85</v>
      </c>
      <c r="H311" t="s">
        <v>5</v>
      </c>
      <c r="I311">
        <v>0.10127103871061241</v>
      </c>
      <c r="J311" t="s">
        <v>6</v>
      </c>
    </row>
    <row r="312" spans="2:10" x14ac:dyDescent="0.45">
      <c r="B312" t="s">
        <v>84</v>
      </c>
      <c r="C312" t="s">
        <v>9</v>
      </c>
      <c r="D312">
        <v>0.16743606459940469</v>
      </c>
      <c r="E312" t="s">
        <v>6</v>
      </c>
      <c r="G312" t="s">
        <v>85</v>
      </c>
      <c r="H312" t="s">
        <v>9</v>
      </c>
      <c r="I312">
        <v>0.12433628275700165</v>
      </c>
      <c r="J312" t="s">
        <v>6</v>
      </c>
    </row>
    <row r="313" spans="2:10" x14ac:dyDescent="0.45">
      <c r="B313" t="s">
        <v>84</v>
      </c>
      <c r="C313" t="s">
        <v>10</v>
      </c>
      <c r="D313">
        <v>3.0446384815695305E-3</v>
      </c>
      <c r="E313" t="s">
        <v>6</v>
      </c>
      <c r="G313" t="s">
        <v>85</v>
      </c>
      <c r="H313" t="s">
        <v>10</v>
      </c>
      <c r="I313">
        <v>7.8827655769191679E-2</v>
      </c>
      <c r="J313" t="s">
        <v>6</v>
      </c>
    </row>
    <row r="314" spans="2:10" x14ac:dyDescent="0.45">
      <c r="B314" t="s">
        <v>84</v>
      </c>
      <c r="C314" t="s">
        <v>11</v>
      </c>
      <c r="D314">
        <v>6.9043446799083128E-4</v>
      </c>
      <c r="E314" t="s">
        <v>6</v>
      </c>
      <c r="G314" t="s">
        <v>85</v>
      </c>
      <c r="H314" t="s">
        <v>11</v>
      </c>
      <c r="I314">
        <v>7.9964711009485448E-2</v>
      </c>
      <c r="J314" t="s">
        <v>6</v>
      </c>
    </row>
    <row r="315" spans="2:10" x14ac:dyDescent="0.45">
      <c r="B315" t="s">
        <v>84</v>
      </c>
      <c r="C315" t="s">
        <v>12</v>
      </c>
      <c r="D315">
        <v>0.26715405892466931</v>
      </c>
      <c r="E315" t="s">
        <v>6</v>
      </c>
      <c r="G315" t="s">
        <v>85</v>
      </c>
      <c r="H315" t="s">
        <v>12</v>
      </c>
      <c r="I315">
        <v>9.1753130990996148E-2</v>
      </c>
      <c r="J315" t="s">
        <v>6</v>
      </c>
    </row>
    <row r="316" spans="2:10" x14ac:dyDescent="0.45">
      <c r="B316" t="s">
        <v>84</v>
      </c>
      <c r="C316" t="s">
        <v>13</v>
      </c>
      <c r="D316">
        <v>1.7258794232123405E-2</v>
      </c>
      <c r="E316" t="s">
        <v>6</v>
      </c>
      <c r="G316" t="s">
        <v>85</v>
      </c>
      <c r="H316" t="s">
        <v>13</v>
      </c>
      <c r="I316">
        <v>6.506267746722566E-2</v>
      </c>
      <c r="J316" t="s">
        <v>6</v>
      </c>
    </row>
    <row r="317" spans="2:10" x14ac:dyDescent="0.45">
      <c r="B317" t="s">
        <v>84</v>
      </c>
      <c r="C317" t="s">
        <v>14</v>
      </c>
      <c r="D317">
        <v>1.5689140906195575E-3</v>
      </c>
      <c r="E317" t="s">
        <v>6</v>
      </c>
      <c r="G317" t="s">
        <v>85</v>
      </c>
      <c r="H317" t="s">
        <v>14</v>
      </c>
      <c r="I317">
        <v>5.2708547775091229E-2</v>
      </c>
      <c r="J317" t="s">
        <v>6</v>
      </c>
    </row>
    <row r="318" spans="2:10" x14ac:dyDescent="0.45">
      <c r="B318" t="s">
        <v>84</v>
      </c>
      <c r="C318" t="s">
        <v>15</v>
      </c>
      <c r="D318">
        <v>0.32210446454763564</v>
      </c>
      <c r="E318" t="s">
        <v>6</v>
      </c>
      <c r="G318" t="s">
        <v>85</v>
      </c>
      <c r="H318" t="s">
        <v>15</v>
      </c>
      <c r="I318">
        <v>5.7124897904057829E-2</v>
      </c>
      <c r="J318" t="s">
        <v>6</v>
      </c>
    </row>
    <row r="319" spans="2:10" x14ac:dyDescent="0.45">
      <c r="B319" t="s">
        <v>84</v>
      </c>
      <c r="C319" t="s">
        <v>16</v>
      </c>
      <c r="D319">
        <v>2.6529433875375014E-2</v>
      </c>
      <c r="E319" t="s">
        <v>6</v>
      </c>
      <c r="G319" t="s">
        <v>85</v>
      </c>
      <c r="H319" t="s">
        <v>16</v>
      </c>
      <c r="I319">
        <v>4.2821070934426088E-2</v>
      </c>
      <c r="J319" t="s">
        <v>6</v>
      </c>
    </row>
    <row r="320" spans="2:10" x14ac:dyDescent="0.45">
      <c r="B320" t="s">
        <v>84</v>
      </c>
      <c r="C320" t="s">
        <v>17</v>
      </c>
      <c r="D320">
        <v>3.7182927134489323E-6</v>
      </c>
      <c r="E320" t="s">
        <v>6</v>
      </c>
      <c r="G320" t="s">
        <v>85</v>
      </c>
      <c r="H320" t="s">
        <v>17</v>
      </c>
      <c r="I320">
        <v>0.10677629592465196</v>
      </c>
      <c r="J320" t="s">
        <v>6</v>
      </c>
    </row>
    <row r="321" spans="2:10" x14ac:dyDescent="0.45">
      <c r="B321" t="s">
        <v>84</v>
      </c>
      <c r="C321" t="s">
        <v>18</v>
      </c>
      <c r="D321">
        <v>0.18927004646551845</v>
      </c>
      <c r="E321" t="s">
        <v>6</v>
      </c>
      <c r="G321" t="s">
        <v>85</v>
      </c>
      <c r="H321" t="s">
        <v>18</v>
      </c>
      <c r="I321">
        <v>0.11984869325013049</v>
      </c>
      <c r="J321" t="s">
        <v>6</v>
      </c>
    </row>
    <row r="322" spans="2:10" x14ac:dyDescent="0.45">
      <c r="B322" t="s">
        <v>84</v>
      </c>
      <c r="C322" t="s">
        <v>19</v>
      </c>
      <c r="D322">
        <v>4.9394320223791963E-3</v>
      </c>
      <c r="E322" t="s">
        <v>6</v>
      </c>
      <c r="G322" t="s">
        <v>85</v>
      </c>
      <c r="H322" t="s">
        <v>19</v>
      </c>
      <c r="I322">
        <v>7.9504997507132677E-2</v>
      </c>
      <c r="J322" t="s">
        <v>6</v>
      </c>
    </row>
    <row r="323" spans="2:10" x14ac:dyDescent="0.45">
      <c r="B323" t="s">
        <v>86</v>
      </c>
      <c r="C323" t="s">
        <v>5</v>
      </c>
      <c r="D323">
        <v>0</v>
      </c>
      <c r="E323" t="s">
        <v>6</v>
      </c>
      <c r="G323" t="s">
        <v>87</v>
      </c>
      <c r="H323" t="s">
        <v>5</v>
      </c>
      <c r="I323">
        <v>9.4101477866758362E-2</v>
      </c>
      <c r="J323" t="s">
        <v>6</v>
      </c>
    </row>
    <row r="324" spans="2:10" x14ac:dyDescent="0.45">
      <c r="B324" t="s">
        <v>86</v>
      </c>
      <c r="C324" t="s">
        <v>9</v>
      </c>
      <c r="D324">
        <v>0.1870188073476734</v>
      </c>
      <c r="E324" t="s">
        <v>6</v>
      </c>
      <c r="G324" t="s">
        <v>87</v>
      </c>
      <c r="H324" t="s">
        <v>9</v>
      </c>
      <c r="I324">
        <v>0.11088611686039676</v>
      </c>
      <c r="J324" t="s">
        <v>6</v>
      </c>
    </row>
    <row r="325" spans="2:10" x14ac:dyDescent="0.45">
      <c r="B325" t="s">
        <v>86</v>
      </c>
      <c r="C325" t="s">
        <v>10</v>
      </c>
      <c r="D325">
        <v>1.4831019950723825E-3</v>
      </c>
      <c r="E325" t="s">
        <v>6</v>
      </c>
      <c r="G325" t="s">
        <v>87</v>
      </c>
      <c r="H325" t="s">
        <v>10</v>
      </c>
      <c r="I325">
        <v>7.8718401535080723E-2</v>
      </c>
      <c r="J325" t="s">
        <v>6</v>
      </c>
    </row>
    <row r="326" spans="2:10" x14ac:dyDescent="0.45">
      <c r="B326" t="s">
        <v>86</v>
      </c>
      <c r="C326" t="s">
        <v>11</v>
      </c>
      <c r="D326">
        <v>1.4563938362689743E-3</v>
      </c>
      <c r="E326" t="s">
        <v>6</v>
      </c>
      <c r="G326" t="s">
        <v>87</v>
      </c>
      <c r="H326" t="s">
        <v>11</v>
      </c>
      <c r="I326">
        <v>7.1990275209215582E-2</v>
      </c>
      <c r="J326" t="s">
        <v>6</v>
      </c>
    </row>
    <row r="327" spans="2:10" x14ac:dyDescent="0.45">
      <c r="B327" t="s">
        <v>86</v>
      </c>
      <c r="C327" t="s">
        <v>12</v>
      </c>
      <c r="D327">
        <v>0.26258786874251711</v>
      </c>
      <c r="E327" t="s">
        <v>6</v>
      </c>
      <c r="G327" t="s">
        <v>87</v>
      </c>
      <c r="H327" t="s">
        <v>12</v>
      </c>
      <c r="I327">
        <v>8.5625979586452336E-2</v>
      </c>
      <c r="J327" t="s">
        <v>6</v>
      </c>
    </row>
    <row r="328" spans="2:10" x14ac:dyDescent="0.45">
      <c r="B328" t="s">
        <v>86</v>
      </c>
      <c r="C328" t="s">
        <v>13</v>
      </c>
      <c r="D328">
        <v>1.133308965360012E-2</v>
      </c>
      <c r="E328" t="s">
        <v>6</v>
      </c>
      <c r="G328" t="s">
        <v>87</v>
      </c>
      <c r="H328" t="s">
        <v>13</v>
      </c>
      <c r="I328">
        <v>6.4997839174014679E-2</v>
      </c>
      <c r="J328" t="s">
        <v>6</v>
      </c>
    </row>
    <row r="329" spans="2:10" x14ac:dyDescent="0.45">
      <c r="B329" t="s">
        <v>86</v>
      </c>
      <c r="C329" t="s">
        <v>14</v>
      </c>
      <c r="D329">
        <v>3.1856212211210651E-3</v>
      </c>
      <c r="E329" t="s">
        <v>6</v>
      </c>
      <c r="G329" t="s">
        <v>87</v>
      </c>
      <c r="H329" t="s">
        <v>14</v>
      </c>
      <c r="I329">
        <v>5.5064126970421019E-2</v>
      </c>
      <c r="J329" t="s">
        <v>6</v>
      </c>
    </row>
    <row r="330" spans="2:10" x14ac:dyDescent="0.45">
      <c r="B330" t="s">
        <v>86</v>
      </c>
      <c r="C330" t="s">
        <v>15</v>
      </c>
      <c r="D330">
        <v>0.30995070252677348</v>
      </c>
      <c r="E330" t="s">
        <v>6</v>
      </c>
      <c r="G330" t="s">
        <v>87</v>
      </c>
      <c r="H330" t="s">
        <v>15</v>
      </c>
      <c r="I330">
        <v>6.6271549427698292E-2</v>
      </c>
      <c r="J330" t="s">
        <v>6</v>
      </c>
    </row>
    <row r="331" spans="2:10" x14ac:dyDescent="0.45">
      <c r="B331" t="s">
        <v>86</v>
      </c>
      <c r="C331" t="s">
        <v>16</v>
      </c>
      <c r="D331">
        <v>1.8662355073663192E-2</v>
      </c>
      <c r="E331" t="s">
        <v>6</v>
      </c>
      <c r="G331" t="s">
        <v>87</v>
      </c>
      <c r="H331" t="s">
        <v>16</v>
      </c>
      <c r="I331">
        <v>5.4345279531418017E-2</v>
      </c>
      <c r="J331" t="s">
        <v>6</v>
      </c>
    </row>
    <row r="332" spans="2:10" x14ac:dyDescent="0.45">
      <c r="B332" t="s">
        <v>86</v>
      </c>
      <c r="C332" t="s">
        <v>17</v>
      </c>
      <c r="D332">
        <v>7.5589041769621532E-5</v>
      </c>
      <c r="E332" t="s">
        <v>6</v>
      </c>
      <c r="G332" t="s">
        <v>87</v>
      </c>
      <c r="H332" t="s">
        <v>17</v>
      </c>
      <c r="I332">
        <v>0.10928934827991188</v>
      </c>
      <c r="J332" t="s">
        <v>6</v>
      </c>
    </row>
    <row r="333" spans="2:10" x14ac:dyDescent="0.45">
      <c r="B333" t="s">
        <v>86</v>
      </c>
      <c r="C333" t="s">
        <v>18</v>
      </c>
      <c r="D333">
        <v>0.20147272999023777</v>
      </c>
      <c r="E333" t="s">
        <v>6</v>
      </c>
      <c r="G333" t="s">
        <v>87</v>
      </c>
      <c r="H333" t="s">
        <v>18</v>
      </c>
      <c r="I333">
        <v>0.12658489515271695</v>
      </c>
      <c r="J333" t="s">
        <v>6</v>
      </c>
    </row>
    <row r="334" spans="2:10" x14ac:dyDescent="0.45">
      <c r="B334" t="s">
        <v>86</v>
      </c>
      <c r="C334" t="s">
        <v>19</v>
      </c>
      <c r="D334">
        <v>2.7737405713022722E-3</v>
      </c>
      <c r="E334" t="s">
        <v>6</v>
      </c>
      <c r="G334" t="s">
        <v>87</v>
      </c>
      <c r="H334" t="s">
        <v>19</v>
      </c>
      <c r="I334">
        <v>8.2124710405913959E-2</v>
      </c>
      <c r="J334" t="s">
        <v>6</v>
      </c>
    </row>
    <row r="335" spans="2:10" x14ac:dyDescent="0.45">
      <c r="B335" t="s">
        <v>88</v>
      </c>
      <c r="C335" t="s">
        <v>5</v>
      </c>
      <c r="D335">
        <v>0</v>
      </c>
      <c r="E335" t="s">
        <v>6</v>
      </c>
      <c r="G335" t="s">
        <v>89</v>
      </c>
      <c r="H335" t="s">
        <v>5</v>
      </c>
      <c r="I335">
        <v>8.9712577531560103E-2</v>
      </c>
      <c r="J335" t="s">
        <v>6</v>
      </c>
    </row>
    <row r="336" spans="2:10" x14ac:dyDescent="0.45">
      <c r="B336" t="s">
        <v>88</v>
      </c>
      <c r="C336" t="s">
        <v>9</v>
      </c>
      <c r="D336">
        <v>0.17095164621649037</v>
      </c>
      <c r="E336" t="s">
        <v>6</v>
      </c>
      <c r="G336" t="s">
        <v>89</v>
      </c>
      <c r="H336" t="s">
        <v>9</v>
      </c>
      <c r="I336">
        <v>0.11722295286021828</v>
      </c>
      <c r="J336" t="s">
        <v>6</v>
      </c>
    </row>
    <row r="337" spans="2:10" x14ac:dyDescent="0.45">
      <c r="B337" t="s">
        <v>88</v>
      </c>
      <c r="C337" t="s">
        <v>10</v>
      </c>
      <c r="D337">
        <v>1.3505299497668928E-3</v>
      </c>
      <c r="E337" t="s">
        <v>6</v>
      </c>
      <c r="G337" t="s">
        <v>89</v>
      </c>
      <c r="H337" t="s">
        <v>10</v>
      </c>
      <c r="I337">
        <v>7.3322616402094642E-2</v>
      </c>
      <c r="J337" t="s">
        <v>6</v>
      </c>
    </row>
    <row r="338" spans="2:10" x14ac:dyDescent="0.45">
      <c r="B338" t="s">
        <v>88</v>
      </c>
      <c r="C338" t="s">
        <v>11</v>
      </c>
      <c r="D338">
        <v>1.4229816362139045E-3</v>
      </c>
      <c r="E338" t="s">
        <v>6</v>
      </c>
      <c r="G338" t="s">
        <v>89</v>
      </c>
      <c r="H338" t="s">
        <v>11</v>
      </c>
      <c r="I338">
        <v>7.0949873808453939E-2</v>
      </c>
      <c r="J338" t="s">
        <v>6</v>
      </c>
    </row>
    <row r="339" spans="2:10" x14ac:dyDescent="0.45">
      <c r="B339" t="s">
        <v>88</v>
      </c>
      <c r="C339" t="s">
        <v>12</v>
      </c>
      <c r="D339">
        <v>0.25939179401751356</v>
      </c>
      <c r="E339" t="s">
        <v>6</v>
      </c>
      <c r="G339" t="s">
        <v>89</v>
      </c>
      <c r="H339" t="s">
        <v>12</v>
      </c>
      <c r="I339">
        <v>0.10928852657609672</v>
      </c>
      <c r="J339" t="s">
        <v>6</v>
      </c>
    </row>
    <row r="340" spans="2:10" x14ac:dyDescent="0.45">
      <c r="B340" t="s">
        <v>88</v>
      </c>
      <c r="C340" t="s">
        <v>13</v>
      </c>
      <c r="D340">
        <v>1.1035487940880589E-2</v>
      </c>
      <c r="E340" t="s">
        <v>6</v>
      </c>
      <c r="G340" t="s">
        <v>89</v>
      </c>
      <c r="H340" t="s">
        <v>13</v>
      </c>
      <c r="I340">
        <v>6.5808690566577233E-2</v>
      </c>
      <c r="J340" t="s">
        <v>6</v>
      </c>
    </row>
    <row r="341" spans="2:10" x14ac:dyDescent="0.45">
      <c r="B341" t="s">
        <v>88</v>
      </c>
      <c r="C341" t="s">
        <v>14</v>
      </c>
      <c r="D341">
        <v>3.5457995501757779E-3</v>
      </c>
      <c r="E341" t="s">
        <v>6</v>
      </c>
      <c r="G341" t="s">
        <v>89</v>
      </c>
      <c r="H341" t="s">
        <v>14</v>
      </c>
      <c r="I341">
        <v>4.8523338782589714E-2</v>
      </c>
      <c r="J341" t="s">
        <v>6</v>
      </c>
    </row>
    <row r="342" spans="2:10" x14ac:dyDescent="0.45">
      <c r="B342" t="s">
        <v>88</v>
      </c>
      <c r="C342" t="s">
        <v>15</v>
      </c>
      <c r="D342">
        <v>0.33260817486098143</v>
      </c>
      <c r="E342" t="s">
        <v>6</v>
      </c>
      <c r="G342" t="s">
        <v>89</v>
      </c>
      <c r="H342" t="s">
        <v>15</v>
      </c>
      <c r="I342">
        <v>7.3044883655667886E-2</v>
      </c>
      <c r="J342" t="s">
        <v>6</v>
      </c>
    </row>
    <row r="343" spans="2:10" x14ac:dyDescent="0.45">
      <c r="B343" t="s">
        <v>88</v>
      </c>
      <c r="C343" t="s">
        <v>16</v>
      </c>
      <c r="D343">
        <v>2.0175876594287764E-2</v>
      </c>
      <c r="E343" t="s">
        <v>6</v>
      </c>
      <c r="G343" t="s">
        <v>89</v>
      </c>
      <c r="H343" t="s">
        <v>16</v>
      </c>
      <c r="I343">
        <v>4.517392431784182E-2</v>
      </c>
      <c r="J343" t="s">
        <v>6</v>
      </c>
    </row>
    <row r="344" spans="2:10" x14ac:dyDescent="0.45">
      <c r="B344" t="s">
        <v>88</v>
      </c>
      <c r="C344" t="s">
        <v>17</v>
      </c>
      <c r="D344">
        <v>7.7138325045927192E-5</v>
      </c>
      <c r="E344" t="s">
        <v>6</v>
      </c>
      <c r="G344" t="s">
        <v>89</v>
      </c>
      <c r="H344" t="s">
        <v>17</v>
      </c>
      <c r="I344">
        <v>9.9979382002413325E-2</v>
      </c>
      <c r="J344" t="s">
        <v>6</v>
      </c>
    </row>
    <row r="345" spans="2:10" x14ac:dyDescent="0.45">
      <c r="B345" t="s">
        <v>88</v>
      </c>
      <c r="C345" t="s">
        <v>18</v>
      </c>
      <c r="D345">
        <v>0.19674435152955039</v>
      </c>
      <c r="E345" t="s">
        <v>6</v>
      </c>
      <c r="G345" t="s">
        <v>89</v>
      </c>
      <c r="H345" t="s">
        <v>18</v>
      </c>
      <c r="I345">
        <v>0.12906367343278005</v>
      </c>
      <c r="J345" t="s">
        <v>6</v>
      </c>
    </row>
    <row r="346" spans="2:10" x14ac:dyDescent="0.45">
      <c r="B346" t="s">
        <v>88</v>
      </c>
      <c r="C346" t="s">
        <v>19</v>
      </c>
      <c r="D346">
        <v>2.696219379093757E-3</v>
      </c>
      <c r="E346" t="s">
        <v>6</v>
      </c>
      <c r="G346" t="s">
        <v>89</v>
      </c>
      <c r="H346" t="s">
        <v>19</v>
      </c>
      <c r="I346">
        <v>7.7909560063708472E-2</v>
      </c>
      <c r="J346" t="s">
        <v>6</v>
      </c>
    </row>
    <row r="347" spans="2:10" x14ac:dyDescent="0.45">
      <c r="B347" t="s">
        <v>90</v>
      </c>
      <c r="C347" t="s">
        <v>5</v>
      </c>
      <c r="D347">
        <v>0</v>
      </c>
      <c r="E347" t="s">
        <v>6</v>
      </c>
    </row>
    <row r="348" spans="2:10" x14ac:dyDescent="0.45">
      <c r="B348" t="s">
        <v>90</v>
      </c>
      <c r="C348" t="s">
        <v>9</v>
      </c>
      <c r="D348">
        <v>0.17507252739140963</v>
      </c>
      <c r="E348" t="s">
        <v>6</v>
      </c>
    </row>
    <row r="349" spans="2:10" x14ac:dyDescent="0.45">
      <c r="B349" t="s">
        <v>90</v>
      </c>
      <c r="C349" t="s">
        <v>10</v>
      </c>
      <c r="D349">
        <v>2.2120862021273238E-3</v>
      </c>
      <c r="E349" t="s">
        <v>6</v>
      </c>
    </row>
    <row r="350" spans="2:10" x14ac:dyDescent="0.45">
      <c r="B350" t="s">
        <v>90</v>
      </c>
      <c r="C350" t="s">
        <v>11</v>
      </c>
      <c r="D350">
        <v>9.767818189680374E-4</v>
      </c>
      <c r="E350" t="s">
        <v>6</v>
      </c>
    </row>
    <row r="351" spans="2:10" x14ac:dyDescent="0.45">
      <c r="B351" t="s">
        <v>90</v>
      </c>
      <c r="C351" t="s">
        <v>12</v>
      </c>
      <c r="D351">
        <v>0.25712418378075091</v>
      </c>
      <c r="E351" t="s">
        <v>6</v>
      </c>
    </row>
    <row r="352" spans="2:10" x14ac:dyDescent="0.45">
      <c r="B352" t="s">
        <v>90</v>
      </c>
      <c r="C352" t="s">
        <v>13</v>
      </c>
      <c r="D352">
        <v>1.3522091470773823E-2</v>
      </c>
      <c r="E352" t="s">
        <v>6</v>
      </c>
    </row>
    <row r="353" spans="2:5" x14ac:dyDescent="0.45">
      <c r="B353" t="s">
        <v>90</v>
      </c>
      <c r="C353" t="s">
        <v>14</v>
      </c>
      <c r="D353">
        <v>2.2827388000812832E-3</v>
      </c>
      <c r="E353" t="s">
        <v>6</v>
      </c>
    </row>
    <row r="354" spans="2:5" x14ac:dyDescent="0.45">
      <c r="B354" t="s">
        <v>90</v>
      </c>
      <c r="C354" t="s">
        <v>15</v>
      </c>
      <c r="D354">
        <v>0.3287554725923339</v>
      </c>
      <c r="E354" t="s">
        <v>6</v>
      </c>
    </row>
    <row r="355" spans="2:5" x14ac:dyDescent="0.45">
      <c r="B355" t="s">
        <v>90</v>
      </c>
      <c r="C355" t="s">
        <v>16</v>
      </c>
      <c r="D355">
        <v>2.2932587845208609E-2</v>
      </c>
      <c r="E355" t="s">
        <v>6</v>
      </c>
    </row>
    <row r="356" spans="2:5" x14ac:dyDescent="0.45">
      <c r="B356" t="s">
        <v>90</v>
      </c>
      <c r="C356" t="s">
        <v>17</v>
      </c>
      <c r="D356">
        <v>2.8138245355449744E-5</v>
      </c>
      <c r="E356" t="s">
        <v>6</v>
      </c>
    </row>
    <row r="357" spans="2:5" x14ac:dyDescent="0.45">
      <c r="B357" t="s">
        <v>90</v>
      </c>
      <c r="C357" t="s">
        <v>18</v>
      </c>
      <c r="D357">
        <v>0.19340172072922263</v>
      </c>
      <c r="E357" t="s">
        <v>6</v>
      </c>
    </row>
    <row r="358" spans="2:5" x14ac:dyDescent="0.45">
      <c r="B358" t="s">
        <v>90</v>
      </c>
      <c r="C358" t="s">
        <v>19</v>
      </c>
      <c r="D358">
        <v>3.6916711237677097E-3</v>
      </c>
      <c r="E358" t="s">
        <v>6</v>
      </c>
    </row>
    <row r="359" spans="2:5" x14ac:dyDescent="0.45">
      <c r="B359" t="s">
        <v>91</v>
      </c>
      <c r="C359" t="s">
        <v>5</v>
      </c>
      <c r="D359">
        <v>0</v>
      </c>
      <c r="E359" t="s">
        <v>6</v>
      </c>
    </row>
    <row r="360" spans="2:5" x14ac:dyDescent="0.45">
      <c r="B360" t="s">
        <v>91</v>
      </c>
      <c r="C360" t="s">
        <v>9</v>
      </c>
      <c r="D360">
        <v>0.15814349777216885</v>
      </c>
      <c r="E360" t="s">
        <v>6</v>
      </c>
    </row>
    <row r="361" spans="2:5" x14ac:dyDescent="0.45">
      <c r="B361" t="s">
        <v>91</v>
      </c>
      <c r="C361" t="s">
        <v>10</v>
      </c>
      <c r="D361">
        <v>1.7224837255653013E-3</v>
      </c>
      <c r="E361" t="s">
        <v>6</v>
      </c>
    </row>
    <row r="362" spans="2:5" x14ac:dyDescent="0.45">
      <c r="B362" t="s">
        <v>91</v>
      </c>
      <c r="C362" t="s">
        <v>11</v>
      </c>
      <c r="D362">
        <v>1.1740431273293658E-3</v>
      </c>
      <c r="E362" t="s">
        <v>6</v>
      </c>
    </row>
    <row r="363" spans="2:5" x14ac:dyDescent="0.45">
      <c r="B363" t="s">
        <v>91</v>
      </c>
      <c r="C363" t="s">
        <v>12</v>
      </c>
      <c r="D363">
        <v>0.26254169581618503</v>
      </c>
      <c r="E363" t="s">
        <v>6</v>
      </c>
    </row>
    <row r="364" spans="2:5" x14ac:dyDescent="0.45">
      <c r="B364" t="s">
        <v>91</v>
      </c>
      <c r="C364" t="s">
        <v>13</v>
      </c>
      <c r="D364">
        <v>1.3444928033639423E-2</v>
      </c>
      <c r="E364" t="s">
        <v>6</v>
      </c>
    </row>
    <row r="365" spans="2:5" x14ac:dyDescent="0.45">
      <c r="B365" t="s">
        <v>91</v>
      </c>
      <c r="C365" t="s">
        <v>14</v>
      </c>
      <c r="D365">
        <v>2.7477778242644712E-3</v>
      </c>
      <c r="E365" t="s">
        <v>6</v>
      </c>
    </row>
    <row r="366" spans="2:5" x14ac:dyDescent="0.45">
      <c r="B366" t="s">
        <v>91</v>
      </c>
      <c r="C366" t="s">
        <v>15</v>
      </c>
      <c r="D366">
        <v>0.33888752743274342</v>
      </c>
      <c r="E366" t="s">
        <v>6</v>
      </c>
    </row>
    <row r="367" spans="2:5" x14ac:dyDescent="0.45">
      <c r="B367" t="s">
        <v>91</v>
      </c>
      <c r="C367" t="s">
        <v>16</v>
      </c>
      <c r="D367">
        <v>2.3574564517676151E-2</v>
      </c>
      <c r="E367" t="s">
        <v>6</v>
      </c>
    </row>
    <row r="368" spans="2:5" x14ac:dyDescent="0.45">
      <c r="B368" t="s">
        <v>91</v>
      </c>
      <c r="C368" t="s">
        <v>17</v>
      </c>
      <c r="D368">
        <v>3.4861767242160196E-5</v>
      </c>
      <c r="E368" t="s">
        <v>6</v>
      </c>
    </row>
    <row r="369" spans="2:5" x14ac:dyDescent="0.45">
      <c r="B369" t="s">
        <v>91</v>
      </c>
      <c r="C369" t="s">
        <v>18</v>
      </c>
      <c r="D369">
        <v>0.19412258539711666</v>
      </c>
      <c r="E369" t="s">
        <v>6</v>
      </c>
    </row>
    <row r="370" spans="2:5" x14ac:dyDescent="0.45">
      <c r="B370" t="s">
        <v>91</v>
      </c>
      <c r="C370" t="s">
        <v>19</v>
      </c>
      <c r="D370">
        <v>3.6060345860707338E-3</v>
      </c>
      <c r="E37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CB15E-1FC9-4FB4-A49D-990225581367}">
  <dimension ref="B9:CI85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region=FRA")</f>
        <v>~TFM_DINS-TSL: attribute=FLO_EMIS; other_indexes=ACT; region=FRA</v>
      </c>
      <c r="Q9" t="str">
        <f>IF(A11="x","DeActivated","~TFM_DINS-TSL: attribute=FLO_SHAR; limtype=FX; region=FRA")</f>
        <v>~TFM_DINS-TSL: attribute=FLO_SHAR; limtype=FX; region=FRA</v>
      </c>
      <c r="AF9" t="str">
        <f>IF(A11="x","DeActivated","~TFM_DINS-TSL: attribute=FLO_SHAR; limtype=FX; region=FRA")</f>
        <v>~TFM_DINS-TSL: attribute=FLO_SHAR; limtype=FX; region=FRA</v>
      </c>
      <c r="AU9" t="str">
        <f>IF(A11="x","DeActivated","~TFM_DINS-TSL: attribute=FLO_SHAR; limtype=FX; region=FRA")</f>
        <v>~TFM_DINS-TSL: attribute=FLO_SHAR; limtype=FX; region=FRA</v>
      </c>
      <c r="BJ9" t="str">
        <f>IF(A11="x","DeActivated","~TFM_INS: region=FRA")</f>
        <v>~TFM_INS: region=FRA</v>
      </c>
      <c r="BR9" t="str">
        <f>IF(A11="x","DeActivated","~TFM_DINS-TSL: attribute=NCAP_PKCNT; region=FRA")</f>
        <v>~TFM_DINS-TSL: attribute=NCAP_PKCNT; region=FRA</v>
      </c>
      <c r="CF9" t="str">
        <f>IF(A11="x","DeActivated","~TFM_DINS-AT: region=FRA")</f>
        <v>~TFM_DINS-AT: region=FRA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98</v>
      </c>
      <c r="C11" t="s">
        <v>99</v>
      </c>
      <c r="D11">
        <v>0</v>
      </c>
      <c r="E11">
        <v>0.41056199310799318</v>
      </c>
      <c r="F11">
        <v>0.93141223804953488</v>
      </c>
      <c r="G11">
        <v>0.91386783250113568</v>
      </c>
      <c r="H11">
        <v>0.24654140672705585</v>
      </c>
      <c r="I11">
        <v>0.6735141619509053</v>
      </c>
      <c r="J11">
        <v>0.82210426240523138</v>
      </c>
      <c r="K11">
        <v>0.19162082934042335</v>
      </c>
      <c r="L11">
        <v>0.61315347547652166</v>
      </c>
      <c r="M11">
        <v>0.98738371292355009</v>
      </c>
      <c r="N11">
        <v>0.34163937705478609</v>
      </c>
      <c r="O11">
        <v>0.85538972287633308</v>
      </c>
      <c r="Q11" t="s">
        <v>98</v>
      </c>
      <c r="R11" t="s">
        <v>100</v>
      </c>
      <c r="S11">
        <v>0</v>
      </c>
      <c r="T11">
        <v>0.22469574372978227</v>
      </c>
      <c r="U11">
        <v>0.21743297940220419</v>
      </c>
      <c r="V11">
        <v>0.84636154757768978</v>
      </c>
      <c r="W11">
        <v>0.12829337691557963</v>
      </c>
      <c r="X11">
        <v>0.32887000221627333</v>
      </c>
      <c r="Y11">
        <v>0.70707851569208069</v>
      </c>
      <c r="Z11">
        <v>9.7526535554403951E-2</v>
      </c>
      <c r="AA11">
        <v>0.26616409171679994</v>
      </c>
      <c r="AB11">
        <v>0.97576577999161596</v>
      </c>
      <c r="AC11">
        <v>0.18298174686399604</v>
      </c>
      <c r="AD11">
        <v>0.24523474111974372</v>
      </c>
      <c r="AF11" t="s">
        <v>98</v>
      </c>
      <c r="AG11" t="s">
        <v>101</v>
      </c>
      <c r="AH11">
        <v>0</v>
      </c>
      <c r="AI11">
        <v>4.1718736778969576E-2</v>
      </c>
      <c r="AJ11">
        <v>0.65387479612887767</v>
      </c>
      <c r="AK11">
        <v>0</v>
      </c>
      <c r="AL11">
        <v>1.633713645121071E-2</v>
      </c>
      <c r="AM11">
        <v>0.18076875092156133</v>
      </c>
      <c r="AN11">
        <v>0</v>
      </c>
      <c r="AO11">
        <v>6.7776834835415909E-3</v>
      </c>
      <c r="AP11">
        <v>0.16700658537717197</v>
      </c>
      <c r="AQ11">
        <v>0</v>
      </c>
      <c r="AR11">
        <v>3.5232746617237042E-2</v>
      </c>
      <c r="AS11">
        <v>0.5067251519289977</v>
      </c>
      <c r="AU11" t="s">
        <v>98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98</v>
      </c>
      <c r="BS11">
        <v>0</v>
      </c>
      <c r="BT11">
        <v>0.19277242870298048</v>
      </c>
      <c r="BU11">
        <v>4.9052548760509657E-3</v>
      </c>
      <c r="BV11">
        <v>1.3628170696324794E-3</v>
      </c>
      <c r="BW11">
        <v>0.34073372674206204</v>
      </c>
      <c r="BX11">
        <v>3.4093153103018227E-2</v>
      </c>
      <c r="BY11">
        <v>3.320157710317581E-3</v>
      </c>
      <c r="BZ11">
        <v>0.42235884347982017</v>
      </c>
      <c r="CA11">
        <v>5.6344230130584982E-2</v>
      </c>
      <c r="CB11">
        <v>1.949012299091501E-5</v>
      </c>
      <c r="CC11">
        <v>0.23818639104028408</v>
      </c>
      <c r="CD11">
        <v>9.3191812815637404E-3</v>
      </c>
      <c r="CF11" t="s">
        <v>98</v>
      </c>
      <c r="CG11" t="s">
        <v>108</v>
      </c>
      <c r="CH11" t="s">
        <v>109</v>
      </c>
      <c r="CI11">
        <v>0.4000846280537434</v>
      </c>
    </row>
    <row r="12" spans="2:87" x14ac:dyDescent="0.45">
      <c r="B12" t="s">
        <v>110</v>
      </c>
      <c r="C12" t="s">
        <v>99</v>
      </c>
      <c r="D12">
        <v>0</v>
      </c>
      <c r="E12">
        <v>0.37865367095617514</v>
      </c>
      <c r="F12">
        <v>0.90406314177777747</v>
      </c>
      <c r="G12">
        <v>0.93306089210087606</v>
      </c>
      <c r="H12">
        <v>0.23080586046323709</v>
      </c>
      <c r="I12">
        <v>0.65205168741685815</v>
      </c>
      <c r="J12">
        <v>0.86194653280514189</v>
      </c>
      <c r="K12">
        <v>0.1921651614994187</v>
      </c>
      <c r="L12">
        <v>0.60840737671884404</v>
      </c>
      <c r="M12">
        <v>0</v>
      </c>
      <c r="N12">
        <v>0.31603484293204248</v>
      </c>
      <c r="O12">
        <v>0.83044426319500819</v>
      </c>
      <c r="Q12" t="s">
        <v>110</v>
      </c>
      <c r="R12" t="s">
        <v>100</v>
      </c>
      <c r="S12">
        <v>0</v>
      </c>
      <c r="T12">
        <v>0.20618310079004079</v>
      </c>
      <c r="U12">
        <v>0.22111789745385024</v>
      </c>
      <c r="V12">
        <v>0.87581938458562747</v>
      </c>
      <c r="W12">
        <v>0.11492075106722861</v>
      </c>
      <c r="X12">
        <v>0.23342719849866608</v>
      </c>
      <c r="Y12">
        <v>0.76647131768818921</v>
      </c>
      <c r="Z12">
        <v>9.5333125436585092E-2</v>
      </c>
      <c r="AA12">
        <v>0.21302843350535791</v>
      </c>
      <c r="AB12">
        <v>0</v>
      </c>
      <c r="AC12">
        <v>0.16266317689960641</v>
      </c>
      <c r="AD12">
        <v>0.23089872405002451</v>
      </c>
      <c r="AF12" t="s">
        <v>110</v>
      </c>
      <c r="AG12" t="s">
        <v>101</v>
      </c>
      <c r="AH12">
        <v>0</v>
      </c>
      <c r="AI12">
        <v>3.2655440544005779E-2</v>
      </c>
      <c r="AJ12">
        <v>0.60175408253337681</v>
      </c>
      <c r="AK12">
        <v>0</v>
      </c>
      <c r="AL12">
        <v>1.6397517493981478E-2</v>
      </c>
      <c r="AM12">
        <v>0.24680272362494532</v>
      </c>
      <c r="AN12">
        <v>0</v>
      </c>
      <c r="AO12">
        <v>6.8274730726979272E-3</v>
      </c>
      <c r="AP12">
        <v>0.20875968748262574</v>
      </c>
      <c r="AQ12">
        <v>0</v>
      </c>
      <c r="AR12">
        <v>3.1444818716856074E-2</v>
      </c>
      <c r="AS12">
        <v>0.47967590925244946</v>
      </c>
      <c r="AU12" t="s">
        <v>110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110</v>
      </c>
      <c r="BS12">
        <v>0</v>
      </c>
      <c r="BT12">
        <v>0.22998394720703091</v>
      </c>
      <c r="BU12">
        <v>7.8924866701192593E-3</v>
      </c>
      <c r="BV12">
        <v>9.6390618651220135E-4</v>
      </c>
      <c r="BW12">
        <v>0.37723152144331462</v>
      </c>
      <c r="BX12">
        <v>4.6281027195901672E-2</v>
      </c>
      <c r="BY12">
        <v>2.2720448659084755E-3</v>
      </c>
      <c r="BZ12">
        <v>0.43096487446399812</v>
      </c>
      <c r="CA12">
        <v>6.9024537999828703E-2</v>
      </c>
      <c r="CB12">
        <v>0</v>
      </c>
      <c r="CC12">
        <v>0.2690190171626668</v>
      </c>
      <c r="CD12">
        <v>1.4823371587757954E-2</v>
      </c>
      <c r="CF12" t="s">
        <v>110</v>
      </c>
      <c r="CG12" t="s">
        <v>108</v>
      </c>
      <c r="CH12" t="s">
        <v>109</v>
      </c>
      <c r="CI12">
        <v>0.41262784140655751</v>
      </c>
    </row>
    <row r="13" spans="2:87" x14ac:dyDescent="0.45">
      <c r="B13" t="s">
        <v>111</v>
      </c>
      <c r="C13" t="s">
        <v>99</v>
      </c>
      <c r="D13">
        <v>0</v>
      </c>
      <c r="E13">
        <v>0.39795855712479128</v>
      </c>
      <c r="F13">
        <v>0.92023701576587291</v>
      </c>
      <c r="G13">
        <v>0.92339062799626082</v>
      </c>
      <c r="H13">
        <v>0.24718525256550378</v>
      </c>
      <c r="I13">
        <v>0.66432947688864397</v>
      </c>
      <c r="J13">
        <v>0.83579873150100081</v>
      </c>
      <c r="K13">
        <v>0.19640601524085666</v>
      </c>
      <c r="L13">
        <v>0.60589681777800664</v>
      </c>
      <c r="M13">
        <v>0.99450549450549464</v>
      </c>
      <c r="N13">
        <v>0.33764817998695251</v>
      </c>
      <c r="O13">
        <v>0.84730286977797931</v>
      </c>
      <c r="Q13" t="s">
        <v>111</v>
      </c>
      <c r="R13" t="s">
        <v>100</v>
      </c>
      <c r="S13">
        <v>0</v>
      </c>
      <c r="T13">
        <v>0.22204831119053117</v>
      </c>
      <c r="U13">
        <v>0.29671495330401226</v>
      </c>
      <c r="V13">
        <v>0.86035404546309735</v>
      </c>
      <c r="W13">
        <v>0.12391455582695608</v>
      </c>
      <c r="X13">
        <v>0.2510640053394359</v>
      </c>
      <c r="Y13">
        <v>0.73159901363074187</v>
      </c>
      <c r="Z13">
        <v>9.8064538946712132E-2</v>
      </c>
      <c r="AA13">
        <v>0.23844617957450712</v>
      </c>
      <c r="AB13">
        <v>0.989041178601618</v>
      </c>
      <c r="AC13">
        <v>0.17486351685208076</v>
      </c>
      <c r="AD13">
        <v>0.21726779633787827</v>
      </c>
      <c r="AF13" t="s">
        <v>111</v>
      </c>
      <c r="AG13" t="s">
        <v>101</v>
      </c>
      <c r="AH13">
        <v>0</v>
      </c>
      <c r="AI13">
        <v>3.5219872215637549E-2</v>
      </c>
      <c r="AJ13">
        <v>0.55521116139944005</v>
      </c>
      <c r="AK13">
        <v>0</v>
      </c>
      <c r="AL13">
        <v>1.7930191894038945E-2</v>
      </c>
      <c r="AM13">
        <v>0.24329881170967982</v>
      </c>
      <c r="AN13">
        <v>0</v>
      </c>
      <c r="AO13">
        <v>7.6606221521689803E-3</v>
      </c>
      <c r="AP13">
        <v>0.18328339158549264</v>
      </c>
      <c r="AQ13">
        <v>0</v>
      </c>
      <c r="AR13">
        <v>3.5681653208012094E-2</v>
      </c>
      <c r="AS13">
        <v>0.51998003107914126</v>
      </c>
      <c r="AU13" t="s">
        <v>111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111</v>
      </c>
      <c r="BS13">
        <v>0</v>
      </c>
      <c r="BT13">
        <v>0.20020901569055582</v>
      </c>
      <c r="BU13">
        <v>6.1176719845220341E-3</v>
      </c>
      <c r="BV13">
        <v>1.2025893054897888E-3</v>
      </c>
      <c r="BW13">
        <v>0.35639741818421461</v>
      </c>
      <c r="BX13">
        <v>3.911005637030196E-2</v>
      </c>
      <c r="BY13">
        <v>2.8316873491401593E-3</v>
      </c>
      <c r="BZ13">
        <v>0.41949870097608999</v>
      </c>
      <c r="CA13">
        <v>6.2757988040262724E-2</v>
      </c>
      <c r="CB13">
        <v>2.8051854741692366E-6</v>
      </c>
      <c r="CC13">
        <v>0.24592410831410919</v>
      </c>
      <c r="CD13">
        <v>1.1502205222077549E-2</v>
      </c>
      <c r="CF13" t="s">
        <v>111</v>
      </c>
      <c r="CG13" t="s">
        <v>108</v>
      </c>
      <c r="CH13" t="s">
        <v>109</v>
      </c>
      <c r="CI13">
        <v>0.40481775345140741</v>
      </c>
    </row>
    <row r="14" spans="2:87" x14ac:dyDescent="0.45">
      <c r="B14" t="s">
        <v>112</v>
      </c>
      <c r="C14" t="s">
        <v>99</v>
      </c>
      <c r="D14">
        <v>0</v>
      </c>
      <c r="E14">
        <v>0.40268044728566676</v>
      </c>
      <c r="F14">
        <v>0.91043614534686557</v>
      </c>
      <c r="G14">
        <v>0.92303046261653321</v>
      </c>
      <c r="H14">
        <v>0.24238725039829287</v>
      </c>
      <c r="I14">
        <v>0.65629929830432532</v>
      </c>
      <c r="J14">
        <v>0.84208151169689949</v>
      </c>
      <c r="K14">
        <v>0.20292375331711257</v>
      </c>
      <c r="L14">
        <v>0.59677701557658158</v>
      </c>
      <c r="M14">
        <v>0.99450549450549441</v>
      </c>
      <c r="N14">
        <v>0.31861391438606429</v>
      </c>
      <c r="O14">
        <v>0.83527440562307487</v>
      </c>
      <c r="Q14" t="s">
        <v>112</v>
      </c>
      <c r="R14" t="s">
        <v>100</v>
      </c>
      <c r="S14">
        <v>0</v>
      </c>
      <c r="T14">
        <v>0.2257464598996109</v>
      </c>
      <c r="U14">
        <v>0.23839433779812938</v>
      </c>
      <c r="V14">
        <v>0.85990628436720196</v>
      </c>
      <c r="W14">
        <v>0.11997543716316726</v>
      </c>
      <c r="X14">
        <v>0.22072318231679119</v>
      </c>
      <c r="Y14">
        <v>0.7390885505140532</v>
      </c>
      <c r="Z14">
        <v>0.10337896137711858</v>
      </c>
      <c r="AA14">
        <v>0.17900268217951518</v>
      </c>
      <c r="AB14">
        <v>0.98904117860161811</v>
      </c>
      <c r="AC14">
        <v>0.16625578607072614</v>
      </c>
      <c r="AD14">
        <v>0.24892725286996548</v>
      </c>
      <c r="AF14" t="s">
        <v>112</v>
      </c>
      <c r="AG14" t="s">
        <v>101</v>
      </c>
      <c r="AH14">
        <v>0</v>
      </c>
      <c r="AI14">
        <v>3.5693414038843747E-2</v>
      </c>
      <c r="AJ14">
        <v>0.60371335920865421</v>
      </c>
      <c r="AK14">
        <v>0</v>
      </c>
      <c r="AL14">
        <v>2.2058564053647374E-2</v>
      </c>
      <c r="AM14">
        <v>0.26837866586771231</v>
      </c>
      <c r="AN14">
        <v>0</v>
      </c>
      <c r="AO14">
        <v>8.3854150412745795E-3</v>
      </c>
      <c r="AP14">
        <v>0.23088741889768141</v>
      </c>
      <c r="AQ14">
        <v>0</v>
      </c>
      <c r="AR14">
        <v>2.8936547926578474E-2</v>
      </c>
      <c r="AS14">
        <v>0.46560405610258421</v>
      </c>
      <c r="AU14" t="s">
        <v>112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112</v>
      </c>
      <c r="BS14">
        <v>0</v>
      </c>
      <c r="BT14">
        <v>0.18570231179462313</v>
      </c>
      <c r="BU14">
        <v>5.8806038853404614E-3</v>
      </c>
      <c r="BV14">
        <v>1.1005032300819739E-3</v>
      </c>
      <c r="BW14">
        <v>0.35350779847807084</v>
      </c>
      <c r="BX14">
        <v>4.2052713421912302E-2</v>
      </c>
      <c r="BY14">
        <v>2.6014225675643201E-3</v>
      </c>
      <c r="BZ14">
        <v>0.41025917172624893</v>
      </c>
      <c r="CA14">
        <v>6.7841641930775923E-2</v>
      </c>
      <c r="CB14">
        <v>1.4147988759947238E-6</v>
      </c>
      <c r="CC14">
        <v>0.25590564591091952</v>
      </c>
      <c r="CD14">
        <v>1.3431882434113125E-2</v>
      </c>
      <c r="CF14" t="s">
        <v>112</v>
      </c>
      <c r="CG14" t="s">
        <v>108</v>
      </c>
      <c r="CH14" t="s">
        <v>109</v>
      </c>
      <c r="CI14">
        <v>0.39826602572866998</v>
      </c>
    </row>
    <row r="15" spans="2:87" x14ac:dyDescent="0.45">
      <c r="B15" t="s">
        <v>113</v>
      </c>
      <c r="C15" t="s">
        <v>99</v>
      </c>
      <c r="D15">
        <v>0</v>
      </c>
      <c r="E15">
        <v>0.43462604212356665</v>
      </c>
      <c r="F15">
        <v>0.93986276674070923</v>
      </c>
      <c r="G15">
        <v>0.90800542646156623</v>
      </c>
      <c r="H15">
        <v>0.24924233369620669</v>
      </c>
      <c r="I15">
        <v>0.67199700224711034</v>
      </c>
      <c r="J15">
        <v>0.81815599871025224</v>
      </c>
      <c r="K15">
        <v>0.19632906242842715</v>
      </c>
      <c r="L15">
        <v>0.60624608231869415</v>
      </c>
      <c r="M15">
        <v>0.98626373626373598</v>
      </c>
      <c r="N15">
        <v>0.3408894718197909</v>
      </c>
      <c r="O15">
        <v>0.85946195209608978</v>
      </c>
      <c r="Q15" t="s">
        <v>113</v>
      </c>
      <c r="R15" t="s">
        <v>100</v>
      </c>
      <c r="S15">
        <v>0</v>
      </c>
      <c r="T15">
        <v>0.25201885627160298</v>
      </c>
      <c r="U15">
        <v>0.31152737271065539</v>
      </c>
      <c r="V15">
        <v>0.83564298874708454</v>
      </c>
      <c r="W15">
        <v>0.12998486064520573</v>
      </c>
      <c r="X15">
        <v>0.29189180791650698</v>
      </c>
      <c r="Y15">
        <v>0.69346533459519155</v>
      </c>
      <c r="Z15">
        <v>0.1024006316258347</v>
      </c>
      <c r="AA15">
        <v>0.27186116283908662</v>
      </c>
      <c r="AB15">
        <v>0.97315236325920962</v>
      </c>
      <c r="AC15">
        <v>0.1819281785193485</v>
      </c>
      <c r="AD15">
        <v>0.29579296643489372</v>
      </c>
      <c r="AF15" t="s">
        <v>113</v>
      </c>
      <c r="AG15" t="s">
        <v>101</v>
      </c>
      <c r="AH15">
        <v>0</v>
      </c>
      <c r="AI15">
        <v>4.0482418883844018E-2</v>
      </c>
      <c r="AJ15">
        <v>0.57595162579984627</v>
      </c>
      <c r="AK15">
        <v>0</v>
      </c>
      <c r="AL15">
        <v>2.0277461586048519E-2</v>
      </c>
      <c r="AM15">
        <v>0.21863677682711277</v>
      </c>
      <c r="AN15">
        <v>0</v>
      </c>
      <c r="AO15">
        <v>6.6909902177199896E-3</v>
      </c>
      <c r="AP15">
        <v>0.15407613059544731</v>
      </c>
      <c r="AQ15">
        <v>0</v>
      </c>
      <c r="AR15">
        <v>3.3036549717813286E-2</v>
      </c>
      <c r="AS15">
        <v>0.46239817796140242</v>
      </c>
      <c r="AU15" t="s">
        <v>113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113</v>
      </c>
      <c r="BS15">
        <v>0</v>
      </c>
      <c r="BT15">
        <v>0.16464785117027633</v>
      </c>
      <c r="BU15">
        <v>3.5403489903831154E-3</v>
      </c>
      <c r="BV15">
        <v>1.5826175333683024E-3</v>
      </c>
      <c r="BW15">
        <v>0.3350328779297051</v>
      </c>
      <c r="BX15">
        <v>3.3434639656538132E-2</v>
      </c>
      <c r="BY15">
        <v>3.5740604059656704E-3</v>
      </c>
      <c r="BZ15">
        <v>0.4119825953803738</v>
      </c>
      <c r="CA15">
        <v>5.5524795130407617E-2</v>
      </c>
      <c r="CB15">
        <v>1.9382405511037115E-5</v>
      </c>
      <c r="CC15">
        <v>0.23312804412371008</v>
      </c>
      <c r="CD15">
        <v>8.8998037487476207E-3</v>
      </c>
      <c r="CF15" t="s">
        <v>113</v>
      </c>
      <c r="CG15" t="s">
        <v>108</v>
      </c>
      <c r="CH15" t="s">
        <v>109</v>
      </c>
      <c r="CI15">
        <v>0.39358845485541655</v>
      </c>
    </row>
    <row r="16" spans="2:87" x14ac:dyDescent="0.45">
      <c r="B16" t="s">
        <v>114</v>
      </c>
      <c r="C16" t="s">
        <v>99</v>
      </c>
      <c r="D16">
        <v>0</v>
      </c>
      <c r="E16">
        <v>0.42646932048430569</v>
      </c>
      <c r="F16">
        <v>0.94608866217331711</v>
      </c>
      <c r="G16">
        <v>0.90167892334924349</v>
      </c>
      <c r="H16">
        <v>0.24140661770063437</v>
      </c>
      <c r="I16">
        <v>0.67068658205749254</v>
      </c>
      <c r="J16">
        <v>0.81074302527012654</v>
      </c>
      <c r="K16">
        <v>0.19821019079353414</v>
      </c>
      <c r="L16">
        <v>0.60312900673293501</v>
      </c>
      <c r="M16">
        <v>0.98489010989010961</v>
      </c>
      <c r="N16">
        <v>0.33491786628857001</v>
      </c>
      <c r="O16">
        <v>0.8619306027349074</v>
      </c>
      <c r="Q16" t="s">
        <v>114</v>
      </c>
      <c r="R16" t="s">
        <v>100</v>
      </c>
      <c r="S16">
        <v>0</v>
      </c>
      <c r="T16">
        <v>0.250960805703068</v>
      </c>
      <c r="U16">
        <v>0.34907203978389101</v>
      </c>
      <c r="V16">
        <v>0.82646033239274819</v>
      </c>
      <c r="W16">
        <v>0.12492200288515801</v>
      </c>
      <c r="X16">
        <v>0.33989571522046003</v>
      </c>
      <c r="Y16">
        <v>0.68245213580706532</v>
      </c>
      <c r="Z16">
        <v>9.7296149808283564E-2</v>
      </c>
      <c r="AA16">
        <v>0.25057837809630445</v>
      </c>
      <c r="AB16">
        <v>0.97034629501297465</v>
      </c>
      <c r="AC16">
        <v>0.18096653233404106</v>
      </c>
      <c r="AD16">
        <v>0.23736823314417857</v>
      </c>
      <c r="AF16" t="s">
        <v>114</v>
      </c>
      <c r="AG16" t="s">
        <v>101</v>
      </c>
      <c r="AH16">
        <v>0</v>
      </c>
      <c r="AI16">
        <v>3.5451048587109443E-2</v>
      </c>
      <c r="AJ16">
        <v>0.54914944414910272</v>
      </c>
      <c r="AK16">
        <v>0</v>
      </c>
      <c r="AL16">
        <v>1.9021117690277208E-2</v>
      </c>
      <c r="AM16">
        <v>0.17348034792811812</v>
      </c>
      <c r="AN16">
        <v>0</v>
      </c>
      <c r="AO16">
        <v>1.2025473798342196E-2</v>
      </c>
      <c r="AP16">
        <v>0.17289781414488689</v>
      </c>
      <c r="AQ16">
        <v>0</v>
      </c>
      <c r="AR16">
        <v>3.4257473999430146E-2</v>
      </c>
      <c r="AS16">
        <v>0.51849226885519573</v>
      </c>
      <c r="AU16" t="s">
        <v>114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114</v>
      </c>
      <c r="BS16">
        <v>0</v>
      </c>
      <c r="BT16">
        <v>0.15190576067889811</v>
      </c>
      <c r="BU16">
        <v>2.7708439937749315E-3</v>
      </c>
      <c r="BV16">
        <v>1.8167657214092237E-3</v>
      </c>
      <c r="BW16">
        <v>0.32867452846555678</v>
      </c>
      <c r="BX16">
        <v>3.145060024737157E-2</v>
      </c>
      <c r="BY16">
        <v>3.9075315076803592E-3</v>
      </c>
      <c r="BZ16">
        <v>0.40118911464332296</v>
      </c>
      <c r="CA16">
        <v>5.3755230508672175E-2</v>
      </c>
      <c r="CB16">
        <v>3.244827846156543E-5</v>
      </c>
      <c r="CC16">
        <v>0.22587082306931719</v>
      </c>
      <c r="CD16">
        <v>8.2251845378664874E-3</v>
      </c>
      <c r="CF16" t="s">
        <v>114</v>
      </c>
      <c r="CG16" t="s">
        <v>108</v>
      </c>
      <c r="CH16" t="s">
        <v>109</v>
      </c>
      <c r="CI16">
        <v>0.38688783076898015</v>
      </c>
    </row>
    <row r="17" spans="2:87" x14ac:dyDescent="0.45">
      <c r="B17" t="s">
        <v>115</v>
      </c>
      <c r="C17" t="s">
        <v>99</v>
      </c>
      <c r="D17">
        <v>0</v>
      </c>
      <c r="E17">
        <v>0.4182740282450137</v>
      </c>
      <c r="F17">
        <v>0.95041073355139916</v>
      </c>
      <c r="G17">
        <v>0.88856519737676765</v>
      </c>
      <c r="H17">
        <v>0.24323019373836341</v>
      </c>
      <c r="I17">
        <v>0.67860023066502373</v>
      </c>
      <c r="J17">
        <v>0.80058709888527579</v>
      </c>
      <c r="K17">
        <v>0.19699582783041616</v>
      </c>
      <c r="L17">
        <v>0.60159852177973394</v>
      </c>
      <c r="M17">
        <v>0.98076923076923084</v>
      </c>
      <c r="N17">
        <v>0.34541613303633978</v>
      </c>
      <c r="O17">
        <v>0.8776793042711255</v>
      </c>
      <c r="Q17" t="s">
        <v>115</v>
      </c>
      <c r="R17" t="s">
        <v>100</v>
      </c>
      <c r="S17">
        <v>0</v>
      </c>
      <c r="T17">
        <v>0.24601897634106579</v>
      </c>
      <c r="U17">
        <v>0.32587824050720743</v>
      </c>
      <c r="V17">
        <v>0.80578332099924577</v>
      </c>
      <c r="W17">
        <v>0.12746241867006006</v>
      </c>
      <c r="X17">
        <v>0.33996248564812892</v>
      </c>
      <c r="Y17">
        <v>0.66024698785116898</v>
      </c>
      <c r="Z17">
        <v>9.6177855776966123E-2</v>
      </c>
      <c r="AA17">
        <v>0.29381469379024133</v>
      </c>
      <c r="AB17">
        <v>0.9619082840236689</v>
      </c>
      <c r="AC17">
        <v>0.18458218323157743</v>
      </c>
      <c r="AD17">
        <v>0.28529524218084529</v>
      </c>
      <c r="AF17" t="s">
        <v>115</v>
      </c>
      <c r="AG17" t="s">
        <v>101</v>
      </c>
      <c r="AH17">
        <v>0</v>
      </c>
      <c r="AI17">
        <v>2.5035044761193087E-2</v>
      </c>
      <c r="AJ17">
        <v>0.58053199612051565</v>
      </c>
      <c r="AK17">
        <v>0</v>
      </c>
      <c r="AL17">
        <v>1.7975308176629338E-2</v>
      </c>
      <c r="AM17">
        <v>0.17874588250789483</v>
      </c>
      <c r="AN17">
        <v>0</v>
      </c>
      <c r="AO17">
        <v>1.4913331730783828E-2</v>
      </c>
      <c r="AP17">
        <v>0.13625137828663855</v>
      </c>
      <c r="AQ17">
        <v>0</v>
      </c>
      <c r="AR17">
        <v>3.1919493304179668E-2</v>
      </c>
      <c r="AS17">
        <v>0.48697205775508728</v>
      </c>
      <c r="AU17" t="s">
        <v>115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1.5447116068555851E-2</v>
      </c>
      <c r="BR17" t="s">
        <v>115</v>
      </c>
      <c r="BS17">
        <v>0</v>
      </c>
      <c r="BT17">
        <v>0.14905868047251639</v>
      </c>
      <c r="BU17">
        <v>1.941472100000807E-3</v>
      </c>
      <c r="BV17">
        <v>2.1427247809181495E-3</v>
      </c>
      <c r="BW17">
        <v>0.31582003575721485</v>
      </c>
      <c r="BX17">
        <v>2.8793519211642533E-2</v>
      </c>
      <c r="BY17">
        <v>4.8955773304362486E-3</v>
      </c>
      <c r="BZ17">
        <v>0.3840361154980389</v>
      </c>
      <c r="CA17">
        <v>5.084978306474297E-2</v>
      </c>
      <c r="CB17">
        <v>6.0447240238464991E-5</v>
      </c>
      <c r="CC17">
        <v>0.2163804975730701</v>
      </c>
      <c r="CD17">
        <v>6.404568673264696E-3</v>
      </c>
      <c r="CF17" t="s">
        <v>115</v>
      </c>
      <c r="CG17" t="s">
        <v>108</v>
      </c>
      <c r="CH17" t="s">
        <v>109</v>
      </c>
      <c r="CI17">
        <v>0.3662966781743377</v>
      </c>
    </row>
    <row r="18" spans="2:87" x14ac:dyDescent="0.45">
      <c r="B18" t="s">
        <v>116</v>
      </c>
      <c r="C18" t="s">
        <v>99</v>
      </c>
      <c r="D18">
        <v>0</v>
      </c>
      <c r="E18">
        <v>0.41961565488764396</v>
      </c>
      <c r="F18">
        <v>0.94500351161459262</v>
      </c>
      <c r="G18">
        <v>0.89964392395514614</v>
      </c>
      <c r="H18">
        <v>0.23867044772511342</v>
      </c>
      <c r="I18">
        <v>0.67311811107936326</v>
      </c>
      <c r="J18">
        <v>0.81018486884048369</v>
      </c>
      <c r="K18">
        <v>0.19826331112734261</v>
      </c>
      <c r="L18">
        <v>0.59838131404926953</v>
      </c>
      <c r="M18">
        <v>0.98593171319189588</v>
      </c>
      <c r="N18">
        <v>0.33081322636194338</v>
      </c>
      <c r="O18">
        <v>0.86155270380777693</v>
      </c>
      <c r="Q18" t="s">
        <v>116</v>
      </c>
      <c r="R18" t="s">
        <v>100</v>
      </c>
      <c r="S18">
        <v>0</v>
      </c>
      <c r="T18">
        <v>0.24962391302085643</v>
      </c>
      <c r="U18">
        <v>0.38963302307923436</v>
      </c>
      <c r="V18">
        <v>0.82112101797660542</v>
      </c>
      <c r="W18">
        <v>0.12187899179464014</v>
      </c>
      <c r="X18">
        <v>0.2794229510335236</v>
      </c>
      <c r="Y18">
        <v>0.67759343335805999</v>
      </c>
      <c r="Z18">
        <v>9.8142022725301287E-2</v>
      </c>
      <c r="AA18">
        <v>0.23258926965046423</v>
      </c>
      <c r="AB18">
        <v>0.97238869515354598</v>
      </c>
      <c r="AC18">
        <v>0.1719097933028873</v>
      </c>
      <c r="AD18">
        <v>0.25781917061384385</v>
      </c>
      <c r="AF18" t="s">
        <v>116</v>
      </c>
      <c r="AG18" t="s">
        <v>101</v>
      </c>
      <c r="AH18">
        <v>0</v>
      </c>
      <c r="AI18">
        <v>2.459379604235443E-2</v>
      </c>
      <c r="AJ18">
        <v>0.50637030645163883</v>
      </c>
      <c r="AK18">
        <v>0</v>
      </c>
      <c r="AL18">
        <v>1.7480585596098365E-2</v>
      </c>
      <c r="AM18">
        <v>0.23173921491810526</v>
      </c>
      <c r="AN18">
        <v>0</v>
      </c>
      <c r="AO18">
        <v>1.0392588795394748E-2</v>
      </c>
      <c r="AP18">
        <v>0.18794855245016284</v>
      </c>
      <c r="AQ18">
        <v>0</v>
      </c>
      <c r="AR18">
        <v>3.47141005181376E-2</v>
      </c>
      <c r="AS18">
        <v>0.4921750598513624</v>
      </c>
      <c r="AU18" t="s">
        <v>116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6.236759800910617E-3</v>
      </c>
      <c r="BR18" t="s">
        <v>116</v>
      </c>
      <c r="BS18">
        <v>0</v>
      </c>
      <c r="BT18">
        <v>0.15571874866598712</v>
      </c>
      <c r="BU18">
        <v>2.7768133887643995E-3</v>
      </c>
      <c r="BV18">
        <v>1.7415908502654287E-3</v>
      </c>
      <c r="BW18">
        <v>0.33236970382879016</v>
      </c>
      <c r="BX18">
        <v>3.4917667742540848E-2</v>
      </c>
      <c r="BY18">
        <v>4.0149301830289339E-3</v>
      </c>
      <c r="BZ18">
        <v>0.39382799598511492</v>
      </c>
      <c r="CA18">
        <v>5.8082624255146681E-2</v>
      </c>
      <c r="CB18">
        <v>3.0675716783952614E-5</v>
      </c>
      <c r="CC18">
        <v>0.2162008099023808</v>
      </c>
      <c r="CD18">
        <v>8.5929704983969905E-3</v>
      </c>
      <c r="CF18" t="s">
        <v>116</v>
      </c>
      <c r="CG18" t="s">
        <v>108</v>
      </c>
      <c r="CH18" t="s">
        <v>109</v>
      </c>
      <c r="CI18">
        <v>0.3784412028648943</v>
      </c>
    </row>
    <row r="19" spans="2:87" x14ac:dyDescent="0.45">
      <c r="B19" t="s">
        <v>117</v>
      </c>
      <c r="C19" t="s">
        <v>99</v>
      </c>
      <c r="D19">
        <v>0</v>
      </c>
      <c r="E19">
        <v>0.41104187953575505</v>
      </c>
      <c r="F19">
        <v>0.89077863624114628</v>
      </c>
      <c r="G19">
        <v>0.93317633533111966</v>
      </c>
      <c r="H19">
        <v>0.24411202989761413</v>
      </c>
      <c r="I19">
        <v>0.65086635038477569</v>
      </c>
      <c r="J19">
        <v>0.86116927619656214</v>
      </c>
      <c r="K19">
        <v>0.19720758001470262</v>
      </c>
      <c r="L19">
        <v>0.58318954241083876</v>
      </c>
      <c r="M19">
        <v>0</v>
      </c>
      <c r="N19">
        <v>0.31873399853822293</v>
      </c>
      <c r="O19">
        <v>0.81911370574866882</v>
      </c>
      <c r="Q19" t="s">
        <v>117</v>
      </c>
      <c r="R19" t="s">
        <v>100</v>
      </c>
      <c r="S19">
        <v>0</v>
      </c>
      <c r="T19">
        <v>0.22723432625111969</v>
      </c>
      <c r="U19">
        <v>9.596463935515516E-2</v>
      </c>
      <c r="V19">
        <v>0.87790509091721025</v>
      </c>
      <c r="W19">
        <v>0.11893582433913161</v>
      </c>
      <c r="X19">
        <v>0.13167605475787691</v>
      </c>
      <c r="Y19">
        <v>0.77082277805603083</v>
      </c>
      <c r="Z19">
        <v>9.7157590301203869E-2</v>
      </c>
      <c r="AA19">
        <v>0.17424878060942056</v>
      </c>
      <c r="AB19">
        <v>0</v>
      </c>
      <c r="AC19">
        <v>0.15725898292508844</v>
      </c>
      <c r="AD19">
        <v>0.18777586674375443</v>
      </c>
      <c r="AF19" t="s">
        <v>117</v>
      </c>
      <c r="AG19" t="s">
        <v>101</v>
      </c>
      <c r="AH19">
        <v>0</v>
      </c>
      <c r="AI19">
        <v>3.8176046242326768E-2</v>
      </c>
      <c r="AJ19">
        <v>0.71221658171908486</v>
      </c>
      <c r="AK19">
        <v>0</v>
      </c>
      <c r="AL19">
        <v>1.5278057182047694E-2</v>
      </c>
      <c r="AM19">
        <v>0.3512002021810568</v>
      </c>
      <c r="AN19">
        <v>0</v>
      </c>
      <c r="AO19">
        <v>8.2487227694936407E-3</v>
      </c>
      <c r="AP19">
        <v>0.22908418408204584</v>
      </c>
      <c r="AQ19">
        <v>0</v>
      </c>
      <c r="AR19">
        <v>2.8932666467762033E-2</v>
      </c>
      <c r="AS19">
        <v>0.50924739566421195</v>
      </c>
      <c r="AU19" t="s">
        <v>117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117</v>
      </c>
      <c r="BS19">
        <v>0</v>
      </c>
      <c r="BT19">
        <v>0.17978784665020839</v>
      </c>
      <c r="BU19">
        <v>7.6221795378581944E-3</v>
      </c>
      <c r="BV19">
        <v>8.8775955812818365E-4</v>
      </c>
      <c r="BW19">
        <v>0.37187620926024445</v>
      </c>
      <c r="BX19">
        <v>5.3277762910414236E-2</v>
      </c>
      <c r="BY19">
        <v>2.1337405801902794E-3</v>
      </c>
      <c r="BZ19">
        <v>0.42014053437658727</v>
      </c>
      <c r="CA19">
        <v>7.9349077719012534E-2</v>
      </c>
      <c r="CB19">
        <v>0</v>
      </c>
      <c r="CC19">
        <v>0.2626900575011431</v>
      </c>
      <c r="CD19">
        <v>1.7492783454339637E-2</v>
      </c>
      <c r="CF19" t="s">
        <v>117</v>
      </c>
      <c r="CG19" t="s">
        <v>108</v>
      </c>
      <c r="CH19" t="s">
        <v>109</v>
      </c>
      <c r="CI19">
        <v>0.39715850466399755</v>
      </c>
    </row>
    <row r="20" spans="2:87" x14ac:dyDescent="0.45">
      <c r="B20" t="s">
        <v>118</v>
      </c>
      <c r="C20" t="s">
        <v>99</v>
      </c>
      <c r="D20">
        <v>0</v>
      </c>
      <c r="E20">
        <v>0.43435642368454142</v>
      </c>
      <c r="F20">
        <v>0.93086708366237714</v>
      </c>
      <c r="G20">
        <v>0.91445149821933924</v>
      </c>
      <c r="H20">
        <v>0.24963417078838085</v>
      </c>
      <c r="I20">
        <v>0.6638544902880319</v>
      </c>
      <c r="J20">
        <v>0.82539281972430667</v>
      </c>
      <c r="K20">
        <v>0.20606204026588737</v>
      </c>
      <c r="L20">
        <v>0.59569856341509786</v>
      </c>
      <c r="M20">
        <v>0.99313186813186816</v>
      </c>
      <c r="N20">
        <v>0.33476835003993538</v>
      </c>
      <c r="O20">
        <v>0.84609794181959685</v>
      </c>
      <c r="Q20" t="s">
        <v>118</v>
      </c>
      <c r="R20" t="s">
        <v>100</v>
      </c>
      <c r="S20">
        <v>0</v>
      </c>
      <c r="T20">
        <v>0.25469730215154107</v>
      </c>
      <c r="U20">
        <v>0.21999783531654837</v>
      </c>
      <c r="V20">
        <v>0.84628165592435212</v>
      </c>
      <c r="W20">
        <v>0.12294928797684353</v>
      </c>
      <c r="X20">
        <v>0.2355467643380928</v>
      </c>
      <c r="Y20">
        <v>0.71327795620404377</v>
      </c>
      <c r="Z20">
        <v>0.10299036669492315</v>
      </c>
      <c r="AA20">
        <v>0.21316801495694124</v>
      </c>
      <c r="AB20">
        <v>0.98631090749909434</v>
      </c>
      <c r="AC20">
        <v>0.1821979849055384</v>
      </c>
      <c r="AD20">
        <v>0.25227137809220518</v>
      </c>
      <c r="AF20" t="s">
        <v>118</v>
      </c>
      <c r="AG20" t="s">
        <v>101</v>
      </c>
      <c r="AH20">
        <v>0</v>
      </c>
      <c r="AI20">
        <v>3.5565285385973179E-2</v>
      </c>
      <c r="AJ20">
        <v>0.65227550987533078</v>
      </c>
      <c r="AK20">
        <v>0</v>
      </c>
      <c r="AL20">
        <v>2.5311587946132873E-2</v>
      </c>
      <c r="AM20">
        <v>0.26877678263168009</v>
      </c>
      <c r="AN20">
        <v>0</v>
      </c>
      <c r="AO20">
        <v>1.1654328958722643E-2</v>
      </c>
      <c r="AP20">
        <v>0.20100179741923052</v>
      </c>
      <c r="AQ20">
        <v>0</v>
      </c>
      <c r="AR20">
        <v>2.9389597972463797E-2</v>
      </c>
      <c r="AS20">
        <v>0.47971906326768143</v>
      </c>
      <c r="AU20" t="s">
        <v>118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118</v>
      </c>
      <c r="BS20">
        <v>0</v>
      </c>
      <c r="BT20">
        <v>0.16332299048502208</v>
      </c>
      <c r="BU20">
        <v>4.302880866229551E-3</v>
      </c>
      <c r="BV20">
        <v>1.3300515096781517E-3</v>
      </c>
      <c r="BW20">
        <v>0.34188336920491746</v>
      </c>
      <c r="BX20">
        <v>4.0898645538753574E-2</v>
      </c>
      <c r="BY20">
        <v>3.1056645961022762E-3</v>
      </c>
      <c r="BZ20">
        <v>0.3997132104030186</v>
      </c>
      <c r="CA20">
        <v>6.5139800574948933E-2</v>
      </c>
      <c r="CB20">
        <v>4.3791980019182915E-6</v>
      </c>
      <c r="CC20">
        <v>0.23097518284378651</v>
      </c>
      <c r="CD20">
        <v>1.217300519415504E-2</v>
      </c>
      <c r="CF20" t="s">
        <v>118</v>
      </c>
      <c r="CG20" t="s">
        <v>108</v>
      </c>
      <c r="CH20" t="s">
        <v>109</v>
      </c>
      <c r="CI20">
        <v>0.38672431410412805</v>
      </c>
    </row>
    <row r="21" spans="2:87" x14ac:dyDescent="0.45">
      <c r="B21" t="s">
        <v>119</v>
      </c>
      <c r="C21" t="s">
        <v>99</v>
      </c>
      <c r="D21">
        <v>0</v>
      </c>
      <c r="E21">
        <v>0.42455601766090367</v>
      </c>
      <c r="F21">
        <v>0.92811413258176845</v>
      </c>
      <c r="G21">
        <v>0.91080416758819571</v>
      </c>
      <c r="H21">
        <v>0.24946906208198097</v>
      </c>
      <c r="I21">
        <v>0.6632683013853965</v>
      </c>
      <c r="J21">
        <v>0.82158676125880059</v>
      </c>
      <c r="K21">
        <v>0.20129886070217484</v>
      </c>
      <c r="L21">
        <v>0.59364396400783925</v>
      </c>
      <c r="M21">
        <v>0.99313186813186816</v>
      </c>
      <c r="N21">
        <v>0.32976295188816118</v>
      </c>
      <c r="O21">
        <v>0.84409358330541229</v>
      </c>
      <c r="Q21" t="s">
        <v>119</v>
      </c>
      <c r="R21" t="s">
        <v>100</v>
      </c>
      <c r="S21">
        <v>0</v>
      </c>
      <c r="T21">
        <v>0.24866402507055546</v>
      </c>
      <c r="U21">
        <v>0.13471659329771632</v>
      </c>
      <c r="V21">
        <v>0.84106011435530181</v>
      </c>
      <c r="W21">
        <v>0.12243990261890549</v>
      </c>
      <c r="X21">
        <v>0.19345652380033138</v>
      </c>
      <c r="Y21">
        <v>0.70544985583918762</v>
      </c>
      <c r="Z21">
        <v>0.10118546118445863</v>
      </c>
      <c r="AA21">
        <v>0.15643222999563108</v>
      </c>
      <c r="AB21">
        <v>0.98631090749909434</v>
      </c>
      <c r="AC21">
        <v>0.17177464871510723</v>
      </c>
      <c r="AD21">
        <v>0.27131328404123034</v>
      </c>
      <c r="AF21" t="s">
        <v>119</v>
      </c>
      <c r="AG21" t="s">
        <v>101</v>
      </c>
      <c r="AH21">
        <v>0</v>
      </c>
      <c r="AI21">
        <v>3.4220570312744003E-2</v>
      </c>
      <c r="AJ21">
        <v>0.73516854360506101</v>
      </c>
      <c r="AK21">
        <v>0</v>
      </c>
      <c r="AL21">
        <v>1.6694122126935964E-2</v>
      </c>
      <c r="AM21">
        <v>0.31115733481395225</v>
      </c>
      <c r="AN21">
        <v>0</v>
      </c>
      <c r="AO21">
        <v>7.6384027256809935E-3</v>
      </c>
      <c r="AP21">
        <v>0.25684969253447709</v>
      </c>
      <c r="AQ21">
        <v>0</v>
      </c>
      <c r="AR21">
        <v>2.8204974524656035E-2</v>
      </c>
      <c r="AS21">
        <v>0.46192333475583713</v>
      </c>
      <c r="AU21" t="s">
        <v>119</v>
      </c>
      <c r="AV21" t="s">
        <v>102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119</v>
      </c>
      <c r="BS21">
        <v>0</v>
      </c>
      <c r="BT21">
        <v>0.16333729104802397</v>
      </c>
      <c r="BU21">
        <v>4.1231970930962949E-3</v>
      </c>
      <c r="BV21">
        <v>1.3068435424268795E-3</v>
      </c>
      <c r="BW21">
        <v>0.37168181766853098</v>
      </c>
      <c r="BX21">
        <v>4.665046812708773E-2</v>
      </c>
      <c r="BY21">
        <v>3.1307240342614488E-3</v>
      </c>
      <c r="BZ21">
        <v>0.42442313146465982</v>
      </c>
      <c r="CA21">
        <v>7.2398522584748937E-2</v>
      </c>
      <c r="CB21">
        <v>5.0005067221057498E-6</v>
      </c>
      <c r="CC21">
        <v>0.23461730133859371</v>
      </c>
      <c r="CD21">
        <v>1.2576686807746307E-2</v>
      </c>
      <c r="CF21" t="s">
        <v>119</v>
      </c>
      <c r="CG21" t="s">
        <v>108</v>
      </c>
      <c r="CH21" t="s">
        <v>109</v>
      </c>
      <c r="CI21">
        <v>0.39968745746910495</v>
      </c>
    </row>
    <row r="22" spans="2:87" x14ac:dyDescent="0.45">
      <c r="B22" t="s">
        <v>120</v>
      </c>
      <c r="C22" t="s">
        <v>99</v>
      </c>
      <c r="D22">
        <v>0</v>
      </c>
      <c r="E22">
        <v>0.44260213514373581</v>
      </c>
      <c r="F22">
        <v>0.95908173358471027</v>
      </c>
      <c r="G22">
        <v>0.87860112746624286</v>
      </c>
      <c r="H22">
        <v>0.2572750145003378</v>
      </c>
      <c r="I22">
        <v>0.70724423156512839</v>
      </c>
      <c r="J22">
        <v>0.79545095893979478</v>
      </c>
      <c r="K22">
        <v>0.18683040380429214</v>
      </c>
      <c r="L22">
        <v>0.61958300868611837</v>
      </c>
      <c r="M22">
        <v>0.97382374379983494</v>
      </c>
      <c r="N22">
        <v>0.34720540258249477</v>
      </c>
      <c r="O22">
        <v>0.89489842448627355</v>
      </c>
      <c r="Q22" t="s">
        <v>120</v>
      </c>
      <c r="R22" t="s">
        <v>100</v>
      </c>
      <c r="S22">
        <v>0</v>
      </c>
      <c r="T22">
        <v>0.26575809683711721</v>
      </c>
      <c r="U22">
        <v>0.3807033643694972</v>
      </c>
      <c r="V22">
        <v>0.79038075781848005</v>
      </c>
      <c r="W22">
        <v>0.13970552185964824</v>
      </c>
      <c r="X22">
        <v>0.39179712923901028</v>
      </c>
      <c r="Y22">
        <v>0.65290143195667982</v>
      </c>
      <c r="Z22">
        <v>9.2256217440422006E-2</v>
      </c>
      <c r="AA22">
        <v>0.39308942050968654</v>
      </c>
      <c r="AB22">
        <v>0.94840801422264098</v>
      </c>
      <c r="AC22">
        <v>0.18045156110832233</v>
      </c>
      <c r="AD22">
        <v>0.35035858503372375</v>
      </c>
      <c r="AF22" t="s">
        <v>120</v>
      </c>
      <c r="AG22" t="s">
        <v>101</v>
      </c>
      <c r="AH22">
        <v>0</v>
      </c>
      <c r="AI22">
        <v>2.8589617537392507E-2</v>
      </c>
      <c r="AJ22">
        <v>0.5393046689580584</v>
      </c>
      <c r="AK22">
        <v>0</v>
      </c>
      <c r="AL22">
        <v>1.8217593488323587E-2</v>
      </c>
      <c r="AM22">
        <v>0.16109305148180503</v>
      </c>
      <c r="AN22">
        <v>0</v>
      </c>
      <c r="AO22">
        <v>1.2736437415358895E-2</v>
      </c>
      <c r="AP22">
        <v>5.3835537287248734E-2</v>
      </c>
      <c r="AQ22">
        <v>0</v>
      </c>
      <c r="AR22">
        <v>4.1863711309215415E-2</v>
      </c>
      <c r="AS22">
        <v>0.44996877462115931</v>
      </c>
      <c r="AU22" t="s">
        <v>120</v>
      </c>
      <c r="AV22" t="s">
        <v>102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1.5290140417512539E-2</v>
      </c>
      <c r="BR22" t="s">
        <v>120</v>
      </c>
      <c r="BS22">
        <v>0</v>
      </c>
      <c r="BT22">
        <v>0.13811662811850489</v>
      </c>
      <c r="BU22">
        <v>1.0964725993606876E-3</v>
      </c>
      <c r="BV22">
        <v>2.9339111606266929E-3</v>
      </c>
      <c r="BW22">
        <v>0.33206021269504149</v>
      </c>
      <c r="BX22">
        <v>2.234328535704001E-2</v>
      </c>
      <c r="BY22">
        <v>6.9578982354317172E-3</v>
      </c>
      <c r="BZ22">
        <v>0.40603167370604704</v>
      </c>
      <c r="CA22">
        <v>4.2254582457453928E-2</v>
      </c>
      <c r="CB22">
        <v>1.7108025621926588E-4</v>
      </c>
      <c r="CC22">
        <v>0.210618457066891</v>
      </c>
      <c r="CD22">
        <v>4.7774455396966354E-3</v>
      </c>
      <c r="CF22" t="s">
        <v>120</v>
      </c>
      <c r="CG22" t="s">
        <v>108</v>
      </c>
      <c r="CH22" t="s">
        <v>109</v>
      </c>
      <c r="CI22">
        <v>0.39610589440900151</v>
      </c>
    </row>
    <row r="23" spans="2:87" x14ac:dyDescent="0.45">
      <c r="B23" t="s">
        <v>121</v>
      </c>
      <c r="C23" t="s">
        <v>99</v>
      </c>
      <c r="D23">
        <v>0</v>
      </c>
      <c r="E23">
        <v>0.40581891013066063</v>
      </c>
      <c r="F23">
        <v>0.95722050752355703</v>
      </c>
      <c r="G23">
        <v>0.87529419760123051</v>
      </c>
      <c r="H23">
        <v>0.25186069735768146</v>
      </c>
      <c r="I23">
        <v>0.71425670245720763</v>
      </c>
      <c r="J23">
        <v>0.79667228914397081</v>
      </c>
      <c r="K23">
        <v>0.17733866634758064</v>
      </c>
      <c r="L23">
        <v>0.62597342077279228</v>
      </c>
      <c r="M23">
        <v>0.96887717025172992</v>
      </c>
      <c r="N23">
        <v>0.34600979909484053</v>
      </c>
      <c r="O23">
        <v>0.8950043615308938</v>
      </c>
      <c r="Q23" t="s">
        <v>121</v>
      </c>
      <c r="R23" t="s">
        <v>100</v>
      </c>
      <c r="S23">
        <v>0</v>
      </c>
      <c r="T23">
        <v>0.23573979192923714</v>
      </c>
      <c r="U23">
        <v>0.50191239891282702</v>
      </c>
      <c r="V23">
        <v>0.78386566038627037</v>
      </c>
      <c r="W23">
        <v>0.13886370321513006</v>
      </c>
      <c r="X23">
        <v>0.40713711688417947</v>
      </c>
      <c r="Y23">
        <v>0.65610493670700198</v>
      </c>
      <c r="Z23">
        <v>8.8221377816786503E-2</v>
      </c>
      <c r="AA23">
        <v>0.42402747580280814</v>
      </c>
      <c r="AB23">
        <v>0.93959791510676005</v>
      </c>
      <c r="AC23">
        <v>0.18160245029293146</v>
      </c>
      <c r="AD23">
        <v>0.31007508656218052</v>
      </c>
      <c r="AF23" t="s">
        <v>121</v>
      </c>
      <c r="AG23" t="s">
        <v>101</v>
      </c>
      <c r="AH23">
        <v>0</v>
      </c>
      <c r="AI23">
        <v>2.4131763564446518E-2</v>
      </c>
      <c r="AJ23">
        <v>0.41453760551250446</v>
      </c>
      <c r="AK23">
        <v>0</v>
      </c>
      <c r="AL23">
        <v>1.8594254783368545E-2</v>
      </c>
      <c r="AM23">
        <v>0.15191566141789473</v>
      </c>
      <c r="AN23">
        <v>0</v>
      </c>
      <c r="AO23">
        <v>1.0035105269118895E-2</v>
      </c>
      <c r="AP23">
        <v>2.7400382301940644E-2</v>
      </c>
      <c r="AQ23">
        <v>0</v>
      </c>
      <c r="AR23">
        <v>3.5009183594574556E-2</v>
      </c>
      <c r="AS23">
        <v>0.49770801307185003</v>
      </c>
      <c r="AU23" t="s">
        <v>121</v>
      </c>
      <c r="AV23" t="s">
        <v>102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6.7954633019954094E-3</v>
      </c>
      <c r="BR23" t="s">
        <v>121</v>
      </c>
      <c r="BS23">
        <v>0</v>
      </c>
      <c r="BT23">
        <v>0.17424510316888714</v>
      </c>
      <c r="BU23">
        <v>1.5334445394397257E-3</v>
      </c>
      <c r="BV23">
        <v>3.0081557312747224E-3</v>
      </c>
      <c r="BW23">
        <v>0.32938024500363988</v>
      </c>
      <c r="BX23">
        <v>2.0968304560335053E-2</v>
      </c>
      <c r="BY23">
        <v>7.1338470708533688E-3</v>
      </c>
      <c r="BZ23">
        <v>0.41558946638939687</v>
      </c>
      <c r="CA23">
        <v>4.1438912031915465E-2</v>
      </c>
      <c r="CB23">
        <v>2.0544530521417954E-4</v>
      </c>
      <c r="CC23">
        <v>0.2265109565137306</v>
      </c>
      <c r="CD23">
        <v>4.7375892402541035E-3</v>
      </c>
      <c r="CF23" t="s">
        <v>121</v>
      </c>
      <c r="CG23" t="s">
        <v>108</v>
      </c>
      <c r="CH23" t="s">
        <v>109</v>
      </c>
      <c r="CI23">
        <v>0.40204895933967377</v>
      </c>
    </row>
    <row r="24" spans="2:87" x14ac:dyDescent="0.45">
      <c r="B24" t="s">
        <v>122</v>
      </c>
      <c r="C24" t="s">
        <v>99</v>
      </c>
      <c r="D24">
        <v>0</v>
      </c>
      <c r="E24">
        <v>0.43800497113851172</v>
      </c>
      <c r="F24">
        <v>0.95083077809329131</v>
      </c>
      <c r="G24">
        <v>0.89310689793401976</v>
      </c>
      <c r="H24">
        <v>0.25239036870151765</v>
      </c>
      <c r="I24">
        <v>0.67991156092931104</v>
      </c>
      <c r="J24">
        <v>0.80503596580010006</v>
      </c>
      <c r="K24">
        <v>0.18621023810996212</v>
      </c>
      <c r="L24">
        <v>0.61033059749905016</v>
      </c>
      <c r="M24">
        <v>0.98349441549473815</v>
      </c>
      <c r="N24">
        <v>0.34113606173038341</v>
      </c>
      <c r="O24">
        <v>0.87521954795360779</v>
      </c>
      <c r="Q24" t="s">
        <v>122</v>
      </c>
      <c r="R24" t="s">
        <v>100</v>
      </c>
      <c r="S24">
        <v>0</v>
      </c>
      <c r="T24">
        <v>0.25239563821958433</v>
      </c>
      <c r="U24">
        <v>0.30203139651171595</v>
      </c>
      <c r="V24">
        <v>0.81557013563096925</v>
      </c>
      <c r="W24">
        <v>0.13245621029065885</v>
      </c>
      <c r="X24">
        <v>0.30579360342689071</v>
      </c>
      <c r="Y24">
        <v>0.66969695135304685</v>
      </c>
      <c r="Z24">
        <v>9.3245906081637617E-2</v>
      </c>
      <c r="AA24">
        <v>0.30958212035557808</v>
      </c>
      <c r="AB24">
        <v>0.9672829690854845</v>
      </c>
      <c r="AC24">
        <v>0.17467653964460836</v>
      </c>
      <c r="AD24">
        <v>0.3404688517422183</v>
      </c>
      <c r="AF24" t="s">
        <v>122</v>
      </c>
      <c r="AG24" t="s">
        <v>101</v>
      </c>
      <c r="AH24">
        <v>0</v>
      </c>
      <c r="AI24">
        <v>3.5887415828226236E-2</v>
      </c>
      <c r="AJ24">
        <v>0.6063396564662662</v>
      </c>
      <c r="AK24">
        <v>0</v>
      </c>
      <c r="AL24">
        <v>2.2993657650827296E-2</v>
      </c>
      <c r="AM24">
        <v>0.21957042119579392</v>
      </c>
      <c r="AN24">
        <v>0</v>
      </c>
      <c r="AO24">
        <v>1.0438532102327059E-2</v>
      </c>
      <c r="AP24">
        <v>0.12550621168636764</v>
      </c>
      <c r="AQ24">
        <v>0</v>
      </c>
      <c r="AR24">
        <v>3.6556752212812578E-2</v>
      </c>
      <c r="AS24">
        <v>0.42321824138997594</v>
      </c>
      <c r="AU24" t="s">
        <v>122</v>
      </c>
      <c r="AV24" t="s">
        <v>102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2.3374617939731654E-2</v>
      </c>
      <c r="BR24" t="s">
        <v>122</v>
      </c>
      <c r="BS24">
        <v>0</v>
      </c>
      <c r="BT24">
        <v>0.14983603007164167</v>
      </c>
      <c r="BU24">
        <v>2.2704179944598069E-3</v>
      </c>
      <c r="BV24">
        <v>2.1391914403568711E-3</v>
      </c>
      <c r="BW24">
        <v>0.32596345187321946</v>
      </c>
      <c r="BX24">
        <v>2.7431024276943369E-2</v>
      </c>
      <c r="BY24">
        <v>4.804326219259877E-3</v>
      </c>
      <c r="BZ24">
        <v>0.41234054313024443</v>
      </c>
      <c r="CA24">
        <v>5.0215620943160129E-2</v>
      </c>
      <c r="CB24">
        <v>6.2931443842071641E-5</v>
      </c>
      <c r="CC24">
        <v>0.22379580756426634</v>
      </c>
      <c r="CD24">
        <v>6.340986743405122E-3</v>
      </c>
      <c r="CF24" t="s">
        <v>122</v>
      </c>
      <c r="CG24" t="s">
        <v>108</v>
      </c>
      <c r="CH24" t="s">
        <v>109</v>
      </c>
      <c r="CI24">
        <v>0.39628740584895367</v>
      </c>
    </row>
    <row r="25" spans="2:87" x14ac:dyDescent="0.45">
      <c r="B25" t="s">
        <v>123</v>
      </c>
      <c r="C25" t="s">
        <v>99</v>
      </c>
      <c r="D25">
        <v>0</v>
      </c>
      <c r="E25">
        <v>0.44377185743621356</v>
      </c>
      <c r="F25">
        <v>0.95257693434828494</v>
      </c>
      <c r="G25">
        <v>0.88778891029298945</v>
      </c>
      <c r="H25">
        <v>0.257068429245979</v>
      </c>
      <c r="I25">
        <v>0.69392950409308296</v>
      </c>
      <c r="J25">
        <v>0.79832179395432468</v>
      </c>
      <c r="K25">
        <v>0.19351093552441326</v>
      </c>
      <c r="L25">
        <v>0.61365354664228722</v>
      </c>
      <c r="M25">
        <v>0.97807243450914649</v>
      </c>
      <c r="N25">
        <v>0.34461400238013828</v>
      </c>
      <c r="O25">
        <v>0.8897327549501054</v>
      </c>
      <c r="Q25" t="s">
        <v>123</v>
      </c>
      <c r="R25" t="s">
        <v>100</v>
      </c>
      <c r="S25">
        <v>0</v>
      </c>
      <c r="T25">
        <v>0.26550718936809092</v>
      </c>
      <c r="U25">
        <v>0.42439553418304687</v>
      </c>
      <c r="V25">
        <v>0.80235908186551241</v>
      </c>
      <c r="W25">
        <v>0.13212163578987171</v>
      </c>
      <c r="X25">
        <v>0.31603367216897155</v>
      </c>
      <c r="Y25">
        <v>0.65977752205783424</v>
      </c>
      <c r="Z25">
        <v>9.4856030708083711E-2</v>
      </c>
      <c r="AA25">
        <v>0.3242474898601066</v>
      </c>
      <c r="AB25">
        <v>0.95926334923012424</v>
      </c>
      <c r="AC25">
        <v>0.17293255014775197</v>
      </c>
      <c r="AD25">
        <v>0.30925775072756817</v>
      </c>
      <c r="AF25" t="s">
        <v>123</v>
      </c>
      <c r="AG25" t="s">
        <v>101</v>
      </c>
      <c r="AH25">
        <v>0</v>
      </c>
      <c r="AI25">
        <v>2.9292699870354724E-2</v>
      </c>
      <c r="AJ25">
        <v>0.48408061616763254</v>
      </c>
      <c r="AK25">
        <v>0</v>
      </c>
      <c r="AL25">
        <v>2.4672604611169529E-2</v>
      </c>
      <c r="AM25">
        <v>0.22448147495236248</v>
      </c>
      <c r="AN25">
        <v>0</v>
      </c>
      <c r="AO25">
        <v>1.340708167204825E-2</v>
      </c>
      <c r="AP25">
        <v>0.11734133051387419</v>
      </c>
      <c r="AQ25">
        <v>0</v>
      </c>
      <c r="AR25">
        <v>4.4613436273538129E-2</v>
      </c>
      <c r="AS25">
        <v>0.47017090043296639</v>
      </c>
      <c r="AU25" t="s">
        <v>123</v>
      </c>
      <c r="AV25" t="s">
        <v>102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2.5370709311361615E-2</v>
      </c>
      <c r="BR25" t="s">
        <v>123</v>
      </c>
      <c r="BS25">
        <v>0</v>
      </c>
      <c r="BT25">
        <v>0.14677323388632557</v>
      </c>
      <c r="BU25">
        <v>1.5420312921588975E-3</v>
      </c>
      <c r="BV25">
        <v>2.3232128158089406E-3</v>
      </c>
      <c r="BW25">
        <v>0.32250442520650263</v>
      </c>
      <c r="BX25">
        <v>2.5263463072315383E-2</v>
      </c>
      <c r="BY25">
        <v>5.6000902161359159E-3</v>
      </c>
      <c r="BZ25">
        <v>0.40153267444625479</v>
      </c>
      <c r="CA25">
        <v>4.5737827496265065E-2</v>
      </c>
      <c r="CB25">
        <v>8.4117034376984652E-5</v>
      </c>
      <c r="CC25">
        <v>0.21070598853563274</v>
      </c>
      <c r="CD25">
        <v>5.4190120120872747E-3</v>
      </c>
      <c r="CF25" t="s">
        <v>123</v>
      </c>
      <c r="CG25" t="s">
        <v>108</v>
      </c>
      <c r="CH25" t="s">
        <v>109</v>
      </c>
      <c r="CI25">
        <v>0.3860279744910935</v>
      </c>
    </row>
    <row r="26" spans="2:87" x14ac:dyDescent="0.45">
      <c r="B26" t="s">
        <v>124</v>
      </c>
      <c r="C26" t="s">
        <v>99</v>
      </c>
      <c r="D26">
        <v>0</v>
      </c>
      <c r="E26">
        <v>0.42420801824374677</v>
      </c>
      <c r="F26">
        <v>0.95135407358077917</v>
      </c>
      <c r="G26">
        <v>0.89323267235080661</v>
      </c>
      <c r="H26">
        <v>0.26359683091762026</v>
      </c>
      <c r="I26">
        <v>0.6953860905971001</v>
      </c>
      <c r="J26">
        <v>0.80218362977561308</v>
      </c>
      <c r="K26">
        <v>0.18520116230380804</v>
      </c>
      <c r="L26">
        <v>0.61661304754725077</v>
      </c>
      <c r="M26">
        <v>0.97884614619262877</v>
      </c>
      <c r="N26">
        <v>0.35405662383390935</v>
      </c>
      <c r="O26">
        <v>0.88618334482102068</v>
      </c>
      <c r="Q26" t="s">
        <v>124</v>
      </c>
      <c r="R26" t="s">
        <v>100</v>
      </c>
      <c r="S26">
        <v>0</v>
      </c>
      <c r="T26">
        <v>0.24266578753771786</v>
      </c>
      <c r="U26">
        <v>0.24546476105419424</v>
      </c>
      <c r="V26">
        <v>0.8104916142599583</v>
      </c>
      <c r="W26">
        <v>0.13981269192076912</v>
      </c>
      <c r="X26">
        <v>0.35299523537172556</v>
      </c>
      <c r="Y26">
        <v>0.66579108359288341</v>
      </c>
      <c r="Z26">
        <v>9.2580191428974293E-2</v>
      </c>
      <c r="AA26">
        <v>0.37193483968290958</v>
      </c>
      <c r="AB26">
        <v>0.95867761296063769</v>
      </c>
      <c r="AC26">
        <v>0.18711760382766171</v>
      </c>
      <c r="AD26">
        <v>0.27674956731656614</v>
      </c>
      <c r="AF26" t="s">
        <v>124</v>
      </c>
      <c r="AG26" t="s">
        <v>101</v>
      </c>
      <c r="AH26">
        <v>0</v>
      </c>
      <c r="AI26">
        <v>3.6456074871616111E-2</v>
      </c>
      <c r="AJ26">
        <v>0.66683514076296024</v>
      </c>
      <c r="AK26">
        <v>0</v>
      </c>
      <c r="AL26">
        <v>2.1712123751929949E-2</v>
      </c>
      <c r="AM26">
        <v>0.18941170731542001</v>
      </c>
      <c r="AN26">
        <v>0</v>
      </c>
      <c r="AO26">
        <v>1.1669448550568388E-2</v>
      </c>
      <c r="AP26">
        <v>6.7116476376484421E-2</v>
      </c>
      <c r="AQ26">
        <v>0</v>
      </c>
      <c r="AR26">
        <v>3.9496906618283006E-2</v>
      </c>
      <c r="AS26">
        <v>0.49981501880149576</v>
      </c>
      <c r="AU26" t="s">
        <v>124</v>
      </c>
      <c r="AV26" t="s">
        <v>102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2.5438514737802096E-2</v>
      </c>
      <c r="BR26" t="s">
        <v>124</v>
      </c>
      <c r="BS26">
        <v>0</v>
      </c>
      <c r="BT26">
        <v>0.17519498077540654</v>
      </c>
      <c r="BU26">
        <v>2.5754273122337453E-3</v>
      </c>
      <c r="BV26">
        <v>2.1840011533098957E-3</v>
      </c>
      <c r="BW26">
        <v>0.31993465993952414</v>
      </c>
      <c r="BX26">
        <v>2.4064317746852713E-2</v>
      </c>
      <c r="BY26">
        <v>5.194490174550744E-3</v>
      </c>
      <c r="BZ26">
        <v>0.41812112534377771</v>
      </c>
      <c r="CA26">
        <v>4.6918696272342734E-2</v>
      </c>
      <c r="CB26">
        <v>7.5211608771403319E-5</v>
      </c>
      <c r="CC26">
        <v>0.23077586384597587</v>
      </c>
      <c r="CD26">
        <v>6.1380737700553406E-3</v>
      </c>
      <c r="CF26" t="s">
        <v>124</v>
      </c>
      <c r="CG26" t="s">
        <v>108</v>
      </c>
      <c r="CH26" t="s">
        <v>109</v>
      </c>
      <c r="CI26">
        <v>0.396554103838132</v>
      </c>
    </row>
    <row r="27" spans="2:87" x14ac:dyDescent="0.45">
      <c r="B27" t="s">
        <v>125</v>
      </c>
      <c r="C27" t="s">
        <v>99</v>
      </c>
      <c r="D27">
        <v>0</v>
      </c>
      <c r="E27">
        <v>0.41456901328845031</v>
      </c>
      <c r="F27">
        <v>0.9464886519566702</v>
      </c>
      <c r="G27">
        <v>0.90269595787353796</v>
      </c>
      <c r="H27">
        <v>0.25661669008360649</v>
      </c>
      <c r="I27">
        <v>0.68484176352068171</v>
      </c>
      <c r="J27">
        <v>0.81163853028977162</v>
      </c>
      <c r="K27">
        <v>0.18435612027440124</v>
      </c>
      <c r="L27">
        <v>0.61571956712065101</v>
      </c>
      <c r="M27">
        <v>0.98326004726816063</v>
      </c>
      <c r="N27">
        <v>0.34024542703157495</v>
      </c>
      <c r="O27">
        <v>0.87191430977680007</v>
      </c>
      <c r="Q27" t="s">
        <v>125</v>
      </c>
      <c r="R27" t="s">
        <v>100</v>
      </c>
      <c r="S27">
        <v>0</v>
      </c>
      <c r="T27">
        <v>0.2322230717200304</v>
      </c>
      <c r="U27">
        <v>0.25400614168988817</v>
      </c>
      <c r="V27">
        <v>0.82517310444522296</v>
      </c>
      <c r="W27">
        <v>0.13546872104593941</v>
      </c>
      <c r="X27">
        <v>0.33138906642291022</v>
      </c>
      <c r="Y27">
        <v>0.68263929467001505</v>
      </c>
      <c r="Z27">
        <v>9.3567300104976575E-2</v>
      </c>
      <c r="AA27">
        <v>0.32820253089518575</v>
      </c>
      <c r="AB27">
        <v>0.96705246407143297</v>
      </c>
      <c r="AC27">
        <v>0.18100901224437141</v>
      </c>
      <c r="AD27">
        <v>0.27181625526590286</v>
      </c>
      <c r="AF27" t="s">
        <v>125</v>
      </c>
      <c r="AG27" t="s">
        <v>101</v>
      </c>
      <c r="AH27">
        <v>0</v>
      </c>
      <c r="AI27">
        <v>4.3194431578433411E-2</v>
      </c>
      <c r="AJ27">
        <v>0.6441557812573665</v>
      </c>
      <c r="AK27">
        <v>0</v>
      </c>
      <c r="AL27">
        <v>2.1486766113711264E-2</v>
      </c>
      <c r="AM27">
        <v>0.19777659104696496</v>
      </c>
      <c r="AN27">
        <v>0</v>
      </c>
      <c r="AO27">
        <v>8.853101018933808E-3</v>
      </c>
      <c r="AP27">
        <v>0.10774810003489589</v>
      </c>
      <c r="AQ27">
        <v>0</v>
      </c>
      <c r="AR27">
        <v>3.6084692746116177E-2</v>
      </c>
      <c r="AS27">
        <v>0.49136628140534072</v>
      </c>
      <c r="AU27" t="s">
        <v>125</v>
      </c>
      <c r="AV27" t="s">
        <v>102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1.7475352209266951E-2</v>
      </c>
      <c r="BR27" t="s">
        <v>125</v>
      </c>
      <c r="BS27">
        <v>0</v>
      </c>
      <c r="BT27">
        <v>0.17218910321626774</v>
      </c>
      <c r="BU27">
        <v>3.02617745734862E-3</v>
      </c>
      <c r="BV27">
        <v>1.8034602673835196E-3</v>
      </c>
      <c r="BW27">
        <v>0.3283318003033508</v>
      </c>
      <c r="BX27">
        <v>2.8752821925127816E-2</v>
      </c>
      <c r="BY27">
        <v>4.2416479407386704E-3</v>
      </c>
      <c r="BZ27">
        <v>0.42134117357566125</v>
      </c>
      <c r="CA27">
        <v>5.1196531031957905E-2</v>
      </c>
      <c r="CB27">
        <v>4.6329566956368263E-5</v>
      </c>
      <c r="CC27">
        <v>0.23694418711162807</v>
      </c>
      <c r="CD27">
        <v>7.3453901709389308E-3</v>
      </c>
      <c r="CF27" t="s">
        <v>125</v>
      </c>
      <c r="CG27" t="s">
        <v>108</v>
      </c>
      <c r="CH27" t="s">
        <v>109</v>
      </c>
      <c r="CI27">
        <v>0.40995548603310206</v>
      </c>
    </row>
    <row r="28" spans="2:87" x14ac:dyDescent="0.45">
      <c r="B28" t="s">
        <v>126</v>
      </c>
      <c r="C28" t="s">
        <v>99</v>
      </c>
      <c r="D28">
        <v>0</v>
      </c>
      <c r="E28">
        <v>0.29876088634348874</v>
      </c>
      <c r="F28">
        <v>0.94729055919945393</v>
      </c>
      <c r="G28">
        <v>0.87763515268256076</v>
      </c>
      <c r="H28">
        <v>0.20514102621785058</v>
      </c>
      <c r="I28">
        <v>0.74718523709134754</v>
      </c>
      <c r="J28">
        <v>0.80264488774361875</v>
      </c>
      <c r="K28">
        <v>0.13407611659279103</v>
      </c>
      <c r="L28">
        <v>0.66533607713478482</v>
      </c>
      <c r="M28">
        <v>0.95732824551829265</v>
      </c>
      <c r="N28">
        <v>0.24123920462902818</v>
      </c>
      <c r="O28">
        <v>0.90037627167050649</v>
      </c>
      <c r="Q28" t="s">
        <v>126</v>
      </c>
      <c r="R28" t="s">
        <v>100</v>
      </c>
      <c r="S28">
        <v>0</v>
      </c>
      <c r="T28">
        <v>0.16248114410818371</v>
      </c>
      <c r="U28">
        <v>0.7651244101669159</v>
      </c>
      <c r="V28">
        <v>0.78741638955616067</v>
      </c>
      <c r="W28">
        <v>0.10526075569182404</v>
      </c>
      <c r="X28">
        <v>0.60146807838216554</v>
      </c>
      <c r="Y28">
        <v>0.67266223488996291</v>
      </c>
      <c r="Z28">
        <v>6.8715207186556854E-2</v>
      </c>
      <c r="AA28">
        <v>0.5058345723302925</v>
      </c>
      <c r="AB28">
        <v>0.91656289440418937</v>
      </c>
      <c r="AC28">
        <v>0.12529878018121363</v>
      </c>
      <c r="AD28">
        <v>0.82582172180717706</v>
      </c>
      <c r="AF28" t="s">
        <v>126</v>
      </c>
      <c r="AG28" t="s">
        <v>101</v>
      </c>
      <c r="AH28">
        <v>0</v>
      </c>
      <c r="AI28">
        <v>1.0364435601724063E-2</v>
      </c>
      <c r="AJ28">
        <v>0.1348016210725653</v>
      </c>
      <c r="AK28">
        <v>0</v>
      </c>
      <c r="AL28">
        <v>9.5907518655589177E-3</v>
      </c>
      <c r="AM28">
        <v>0</v>
      </c>
      <c r="AN28">
        <v>0</v>
      </c>
      <c r="AO28">
        <v>1.8128397293351622E-4</v>
      </c>
      <c r="AP28">
        <v>0</v>
      </c>
      <c r="AQ28">
        <v>0</v>
      </c>
      <c r="AR28">
        <v>9.4738302614254775E-3</v>
      </c>
      <c r="AS28">
        <v>0</v>
      </c>
      <c r="AU28" t="s">
        <v>126</v>
      </c>
      <c r="AV28" t="s">
        <v>102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126</v>
      </c>
      <c r="BS28">
        <v>0</v>
      </c>
      <c r="BT28">
        <v>0.2896413022865007</v>
      </c>
      <c r="BU28">
        <v>2.4422627892790897E-3</v>
      </c>
      <c r="BV28">
        <v>4.4275869042017012E-3</v>
      </c>
      <c r="BW28">
        <v>0.42474760193656996</v>
      </c>
      <c r="BX28">
        <v>2.4079209909363474E-2</v>
      </c>
      <c r="BY28">
        <v>8.2266930685332487E-3</v>
      </c>
      <c r="BZ28">
        <v>0.49948910501798888</v>
      </c>
      <c r="CA28">
        <v>3.9376898252534112E-2</v>
      </c>
      <c r="CB28">
        <v>6.9063459532855119E-4</v>
      </c>
      <c r="CC28">
        <v>0.35488592840489497</v>
      </c>
      <c r="CD28">
        <v>5.6799975537451114E-3</v>
      </c>
      <c r="CF28" t="s">
        <v>126</v>
      </c>
      <c r="CG28" t="s">
        <v>108</v>
      </c>
      <c r="CH28" t="s">
        <v>109</v>
      </c>
      <c r="CI28">
        <v>0.43528125846355653</v>
      </c>
    </row>
    <row r="29" spans="2:87" x14ac:dyDescent="0.45">
      <c r="B29" t="s">
        <v>127</v>
      </c>
      <c r="C29" t="s">
        <v>99</v>
      </c>
      <c r="D29">
        <v>0</v>
      </c>
      <c r="E29">
        <v>0.30893126038075641</v>
      </c>
      <c r="F29">
        <v>0.93796753121888665</v>
      </c>
      <c r="G29">
        <v>0.88563390593413627</v>
      </c>
      <c r="H29">
        <v>0.22798558594691717</v>
      </c>
      <c r="I29">
        <v>0.71529963634940119</v>
      </c>
      <c r="J29">
        <v>0.80522154911155308</v>
      </c>
      <c r="K29">
        <v>0.14131798773472029</v>
      </c>
      <c r="L29">
        <v>0.63571548465816929</v>
      </c>
      <c r="M29">
        <v>0.96682470196475812</v>
      </c>
      <c r="N29">
        <v>0.26026911602094327</v>
      </c>
      <c r="O29">
        <v>0.87854404573339084</v>
      </c>
      <c r="Q29" t="s">
        <v>127</v>
      </c>
      <c r="R29" t="s">
        <v>100</v>
      </c>
      <c r="S29">
        <v>0</v>
      </c>
      <c r="T29">
        <v>0.16776759886440104</v>
      </c>
      <c r="U29">
        <v>0.78433107163424598</v>
      </c>
      <c r="V29">
        <v>0.79780177447169132</v>
      </c>
      <c r="W29">
        <v>0.11441958420324282</v>
      </c>
      <c r="X29">
        <v>0.5120174609898972</v>
      </c>
      <c r="Y29">
        <v>0.67136696851307109</v>
      </c>
      <c r="Z29">
        <v>7.1846508567138118E-2</v>
      </c>
      <c r="AA29">
        <v>0.45522766343149557</v>
      </c>
      <c r="AB29">
        <v>0.93495136014174385</v>
      </c>
      <c r="AC29">
        <v>0.13744152321949302</v>
      </c>
      <c r="AD29">
        <v>0.62531593547761422</v>
      </c>
      <c r="AF29" t="s">
        <v>127</v>
      </c>
      <c r="AG29" t="s">
        <v>101</v>
      </c>
      <c r="AH29">
        <v>0</v>
      </c>
      <c r="AI29">
        <v>5.6688305185187138E-3</v>
      </c>
      <c r="AJ29">
        <v>9.6316221565708487E-2</v>
      </c>
      <c r="AK29">
        <v>0</v>
      </c>
      <c r="AL29">
        <v>1.5748803141463059E-2</v>
      </c>
      <c r="AM29">
        <v>6.0082266264261108E-2</v>
      </c>
      <c r="AN29">
        <v>0</v>
      </c>
      <c r="AO29">
        <v>8.9487856801754591E-5</v>
      </c>
      <c r="AP29">
        <v>0</v>
      </c>
      <c r="AQ29">
        <v>0</v>
      </c>
      <c r="AR29">
        <v>1.5755817811582487E-2</v>
      </c>
      <c r="AS29">
        <v>0.16216779441534954</v>
      </c>
      <c r="AU29" t="s">
        <v>127</v>
      </c>
      <c r="AV29" t="s">
        <v>102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127</v>
      </c>
      <c r="BS29">
        <v>0</v>
      </c>
      <c r="BT29">
        <v>0.31656472542567693</v>
      </c>
      <c r="BU29">
        <v>4.1935290460534229E-3</v>
      </c>
      <c r="BV29">
        <v>3.0940986693372176E-3</v>
      </c>
      <c r="BW29">
        <v>0.41274941329442233</v>
      </c>
      <c r="BX29">
        <v>2.9515452782746358E-2</v>
      </c>
      <c r="BY29">
        <v>5.9817410024198938E-3</v>
      </c>
      <c r="BZ29">
        <v>0.48125037011329452</v>
      </c>
      <c r="CA29">
        <v>4.5467546029513362E-2</v>
      </c>
      <c r="CB29">
        <v>2.147023522307798E-4</v>
      </c>
      <c r="CC29">
        <v>0.32769158764895528</v>
      </c>
      <c r="CD29">
        <v>7.8391009998604235E-3</v>
      </c>
      <c r="CF29" t="s">
        <v>127</v>
      </c>
      <c r="CG29" t="s">
        <v>108</v>
      </c>
      <c r="CH29" t="s">
        <v>109</v>
      </c>
      <c r="CI29">
        <v>0.41671326375789958</v>
      </c>
    </row>
    <row r="30" spans="2:87" x14ac:dyDescent="0.45">
      <c r="B30" t="s">
        <v>128</v>
      </c>
      <c r="C30" t="s">
        <v>99</v>
      </c>
      <c r="D30">
        <v>0</v>
      </c>
      <c r="E30">
        <v>0.28853481962982863</v>
      </c>
      <c r="F30">
        <v>0.88690781106034955</v>
      </c>
      <c r="G30">
        <v>0.92238557520111408</v>
      </c>
      <c r="H30">
        <v>0.22126523416346025</v>
      </c>
      <c r="I30">
        <v>0.67728513020719427</v>
      </c>
      <c r="J30">
        <v>0.84598118508974307</v>
      </c>
      <c r="K30">
        <v>0.15701499891418397</v>
      </c>
      <c r="L30">
        <v>0.62135262429298999</v>
      </c>
      <c r="M30">
        <v>0.98763736263736279</v>
      </c>
      <c r="N30">
        <v>0.25011062140659918</v>
      </c>
      <c r="O30">
        <v>0.82596820659278014</v>
      </c>
      <c r="Q30" t="s">
        <v>128</v>
      </c>
      <c r="R30" t="s">
        <v>100</v>
      </c>
      <c r="S30">
        <v>0</v>
      </c>
      <c r="T30">
        <v>0.15595097251207723</v>
      </c>
      <c r="U30">
        <v>0.45074041252603836</v>
      </c>
      <c r="V30">
        <v>0.86002334927781587</v>
      </c>
      <c r="W30">
        <v>0.11031739930361549</v>
      </c>
      <c r="X30">
        <v>0.3575196961358173</v>
      </c>
      <c r="Y30">
        <v>0.74655464700745011</v>
      </c>
      <c r="Z30">
        <v>8.0731281406184324E-2</v>
      </c>
      <c r="AA30">
        <v>0.40990698799196507</v>
      </c>
      <c r="AB30">
        <v>0.97542756007728515</v>
      </c>
      <c r="AC30">
        <v>0.12813895464822297</v>
      </c>
      <c r="AD30">
        <v>0.43906264797234623</v>
      </c>
      <c r="AF30" t="s">
        <v>128</v>
      </c>
      <c r="AG30" t="s">
        <v>101</v>
      </c>
      <c r="AH30">
        <v>0</v>
      </c>
      <c r="AI30">
        <v>5.0436855492995772E-3</v>
      </c>
      <c r="AJ30">
        <v>0.35026795439999259</v>
      </c>
      <c r="AK30">
        <v>0</v>
      </c>
      <c r="AL30">
        <v>1.1490674759018299E-2</v>
      </c>
      <c r="AM30">
        <v>0.15303485493516186</v>
      </c>
      <c r="AN30">
        <v>0</v>
      </c>
      <c r="AO30">
        <v>1.6472498547203335E-3</v>
      </c>
      <c r="AP30">
        <v>2.4169638824477441E-2</v>
      </c>
      <c r="AQ30">
        <v>0</v>
      </c>
      <c r="AR30">
        <v>1.0041786021817687E-2</v>
      </c>
      <c r="AS30">
        <v>0.26778052108800843</v>
      </c>
      <c r="AU30" t="s">
        <v>128</v>
      </c>
      <c r="AV30" t="s">
        <v>102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128</v>
      </c>
      <c r="BS30">
        <v>0</v>
      </c>
      <c r="BT30">
        <v>0.32288782294384077</v>
      </c>
      <c r="BU30">
        <v>8.7705979755740553E-3</v>
      </c>
      <c r="BV30">
        <v>1.2573267731874344E-3</v>
      </c>
      <c r="BW30">
        <v>0.41167998569318931</v>
      </c>
      <c r="BX30">
        <v>3.9422848944474398E-2</v>
      </c>
      <c r="BY30">
        <v>2.8285070452596724E-3</v>
      </c>
      <c r="BZ30">
        <v>0.46779806534862373</v>
      </c>
      <c r="CA30">
        <v>5.6749595323028097E-2</v>
      </c>
      <c r="CB30">
        <v>1.6069036992895158E-5</v>
      </c>
      <c r="CC30">
        <v>0.35570428993495889</v>
      </c>
      <c r="CD30">
        <v>1.3822545218951461E-2</v>
      </c>
      <c r="CF30" t="s">
        <v>128</v>
      </c>
      <c r="CG30" t="s">
        <v>108</v>
      </c>
      <c r="CH30" t="s">
        <v>109</v>
      </c>
      <c r="CI30">
        <v>0.4358023990826293</v>
      </c>
    </row>
    <row r="31" spans="2:87" x14ac:dyDescent="0.45">
      <c r="B31" t="s">
        <v>129</v>
      </c>
      <c r="C31" t="s">
        <v>99</v>
      </c>
      <c r="D31">
        <v>0</v>
      </c>
      <c r="E31">
        <v>0.31508528819730108</v>
      </c>
      <c r="F31">
        <v>0.92571763012039554</v>
      </c>
      <c r="G31">
        <v>0.90100627748819884</v>
      </c>
      <c r="H31">
        <v>0.23464537514851369</v>
      </c>
      <c r="I31">
        <v>0.69515500149150777</v>
      </c>
      <c r="J31">
        <v>0.81707067148904744</v>
      </c>
      <c r="K31">
        <v>0.15235846853546794</v>
      </c>
      <c r="L31">
        <v>0.62826039220284424</v>
      </c>
      <c r="M31">
        <v>0.98069942728156179</v>
      </c>
      <c r="N31">
        <v>0.27188055769548247</v>
      </c>
      <c r="O31">
        <v>0.85466950747747428</v>
      </c>
      <c r="Q31" t="s">
        <v>129</v>
      </c>
      <c r="R31" t="s">
        <v>100</v>
      </c>
      <c r="S31">
        <v>0</v>
      </c>
      <c r="T31">
        <v>0.17224292437359073</v>
      </c>
      <c r="U31">
        <v>0.42171091374676389</v>
      </c>
      <c r="V31">
        <v>0.82293538725112736</v>
      </c>
      <c r="W31">
        <v>0.11387012354792926</v>
      </c>
      <c r="X31">
        <v>0.31952186760804874</v>
      </c>
      <c r="Y31">
        <v>0.69604004618823501</v>
      </c>
      <c r="Z31">
        <v>7.7600968822883601E-2</v>
      </c>
      <c r="AA31">
        <v>0.44455814929970411</v>
      </c>
      <c r="AB31">
        <v>0.96183982291076298</v>
      </c>
      <c r="AC31">
        <v>0.13960634496725197</v>
      </c>
      <c r="AD31">
        <v>0.41082105964566301</v>
      </c>
      <c r="AF31" t="s">
        <v>129</v>
      </c>
      <c r="AG31" t="s">
        <v>101</v>
      </c>
      <c r="AH31">
        <v>0</v>
      </c>
      <c r="AI31">
        <v>9.6746492694768944E-3</v>
      </c>
      <c r="AJ31">
        <v>0.4411893435880867</v>
      </c>
      <c r="AK31">
        <v>0</v>
      </c>
      <c r="AL31">
        <v>1.5814171250554024E-2</v>
      </c>
      <c r="AM31">
        <v>0.21793103495563346</v>
      </c>
      <c r="AN31">
        <v>0</v>
      </c>
      <c r="AO31">
        <v>5.2108142606287395E-4</v>
      </c>
      <c r="AP31">
        <v>0</v>
      </c>
      <c r="AQ31">
        <v>0</v>
      </c>
      <c r="AR31">
        <v>1.9682881244222999E-2</v>
      </c>
      <c r="AS31">
        <v>0.34140465402187481</v>
      </c>
      <c r="AU31" t="s">
        <v>129</v>
      </c>
      <c r="AV31" t="s">
        <v>102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129</v>
      </c>
      <c r="BS31">
        <v>0</v>
      </c>
      <c r="BT31">
        <v>0.29620940094963899</v>
      </c>
      <c r="BU31">
        <v>6.3850895977049967E-3</v>
      </c>
      <c r="BV31">
        <v>1.8594710771156191E-3</v>
      </c>
      <c r="BW31">
        <v>0.39289522786103753</v>
      </c>
      <c r="BX31">
        <v>3.4786436292423888E-2</v>
      </c>
      <c r="BY31">
        <v>3.9243893837068123E-3</v>
      </c>
      <c r="BZ31">
        <v>0.48841111413270577</v>
      </c>
      <c r="CA31">
        <v>5.443380998294084E-2</v>
      </c>
      <c r="CB31">
        <v>5.7767923117790607E-5</v>
      </c>
      <c r="CC31">
        <v>0.31987016555850301</v>
      </c>
      <c r="CD31">
        <v>1.0102133687013303E-2</v>
      </c>
      <c r="CF31" t="s">
        <v>129</v>
      </c>
      <c r="CG31" t="s">
        <v>108</v>
      </c>
      <c r="CH31" t="s">
        <v>109</v>
      </c>
      <c r="CI31">
        <v>0.44273546003840386</v>
      </c>
    </row>
    <row r="32" spans="2:87" x14ac:dyDescent="0.45">
      <c r="B32" t="s">
        <v>130</v>
      </c>
      <c r="C32" t="s">
        <v>99</v>
      </c>
      <c r="D32">
        <v>0</v>
      </c>
      <c r="E32">
        <v>0.35503067931407106</v>
      </c>
      <c r="F32">
        <v>0.90892709466543242</v>
      </c>
      <c r="G32">
        <v>0.92775947975754081</v>
      </c>
      <c r="H32">
        <v>0.2461136494758861</v>
      </c>
      <c r="I32">
        <v>0.68072742530130914</v>
      </c>
      <c r="J32">
        <v>0.8587363752945204</v>
      </c>
      <c r="K32">
        <v>0.18580452395543576</v>
      </c>
      <c r="L32">
        <v>0.62123840039609035</v>
      </c>
      <c r="M32">
        <v>0.99450549450549464</v>
      </c>
      <c r="N32">
        <v>0.3181971986891034</v>
      </c>
      <c r="O32">
        <v>0.8329657266042334</v>
      </c>
      <c r="Q32" t="s">
        <v>130</v>
      </c>
      <c r="R32" t="s">
        <v>100</v>
      </c>
      <c r="S32">
        <v>0</v>
      </c>
      <c r="T32">
        <v>0.19394612356041854</v>
      </c>
      <c r="U32">
        <v>0.34610685380404754</v>
      </c>
      <c r="V32">
        <v>0.8660652055662087</v>
      </c>
      <c r="W32">
        <v>0.12784684862883569</v>
      </c>
      <c r="X32">
        <v>0.33622953346844109</v>
      </c>
      <c r="Y32">
        <v>0.76197800969497376</v>
      </c>
      <c r="Z32">
        <v>9.6095540468763466E-2</v>
      </c>
      <c r="AA32">
        <v>0.31043650047477206</v>
      </c>
      <c r="AB32">
        <v>0.98904117860161811</v>
      </c>
      <c r="AC32">
        <v>0.16792595078282582</v>
      </c>
      <c r="AD32">
        <v>0.31816027079494413</v>
      </c>
      <c r="AF32" t="s">
        <v>130</v>
      </c>
      <c r="AG32" t="s">
        <v>101</v>
      </c>
      <c r="AH32">
        <v>0</v>
      </c>
      <c r="AI32">
        <v>1.6334694733774229E-2</v>
      </c>
      <c r="AJ32">
        <v>0.4884310450962801</v>
      </c>
      <c r="AK32">
        <v>0</v>
      </c>
      <c r="AL32">
        <v>1.2936047667414815E-2</v>
      </c>
      <c r="AM32">
        <v>0.18214964131676997</v>
      </c>
      <c r="AN32">
        <v>0</v>
      </c>
      <c r="AO32">
        <v>4.1771027586753077E-3</v>
      </c>
      <c r="AP32">
        <v>0.12996434696853534</v>
      </c>
      <c r="AQ32">
        <v>0</v>
      </c>
      <c r="AR32">
        <v>2.7652337124058023E-2</v>
      </c>
      <c r="AS32">
        <v>0.39346476431065835</v>
      </c>
      <c r="AU32" t="s">
        <v>130</v>
      </c>
      <c r="AV32" t="s">
        <v>102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130</v>
      </c>
      <c r="BS32">
        <v>0</v>
      </c>
      <c r="BT32">
        <v>0.25323503620876209</v>
      </c>
      <c r="BU32">
        <v>7.3192174549888663E-3</v>
      </c>
      <c r="BV32">
        <v>1.0192382294376379E-3</v>
      </c>
      <c r="BW32">
        <v>0.37464065872212832</v>
      </c>
      <c r="BX32">
        <v>3.7624331524135343E-2</v>
      </c>
      <c r="BY32">
        <v>2.3099463075475389E-3</v>
      </c>
      <c r="BZ32">
        <v>0.44023003400272886</v>
      </c>
      <c r="CA32">
        <v>5.6926227448375583E-2</v>
      </c>
      <c r="CB32">
        <v>5.3662929481032313E-6</v>
      </c>
      <c r="CC32">
        <v>0.27430641511337506</v>
      </c>
      <c r="CD32">
        <v>1.2108742931177183E-2</v>
      </c>
      <c r="CF32" t="s">
        <v>130</v>
      </c>
      <c r="CG32" t="s">
        <v>108</v>
      </c>
      <c r="CH32" t="s">
        <v>109</v>
      </c>
      <c r="CI32">
        <v>0.41270511074284078</v>
      </c>
    </row>
    <row r="33" spans="2:87" x14ac:dyDescent="0.45">
      <c r="B33" t="s">
        <v>131</v>
      </c>
      <c r="C33" t="s">
        <v>99</v>
      </c>
      <c r="D33">
        <v>0</v>
      </c>
      <c r="E33">
        <v>0.34071877227014963</v>
      </c>
      <c r="F33">
        <v>0.88251588002431303</v>
      </c>
      <c r="G33">
        <v>0.93613370714411037</v>
      </c>
      <c r="H33">
        <v>0.25361508167936081</v>
      </c>
      <c r="I33">
        <v>0.66588955499550573</v>
      </c>
      <c r="J33">
        <v>0.88434595582896469</v>
      </c>
      <c r="K33">
        <v>0.2008757653436499</v>
      </c>
      <c r="L33">
        <v>0.61665398715063025</v>
      </c>
      <c r="M33">
        <v>0</v>
      </c>
      <c r="N33">
        <v>0.30972232691640406</v>
      </c>
      <c r="O33">
        <v>0.82566925675894565</v>
      </c>
      <c r="Q33" t="s">
        <v>131</v>
      </c>
      <c r="R33" t="s">
        <v>100</v>
      </c>
      <c r="S33">
        <v>0</v>
      </c>
      <c r="T33">
        <v>0.18828991243903684</v>
      </c>
      <c r="U33">
        <v>0.39707878234626887</v>
      </c>
      <c r="V33">
        <v>0.87842314445424918</v>
      </c>
      <c r="W33">
        <v>0.12405865956236053</v>
      </c>
      <c r="X33">
        <v>0.25333002314511632</v>
      </c>
      <c r="Y33">
        <v>0.79131872072876208</v>
      </c>
      <c r="Z33">
        <v>9.8684542076043005E-2</v>
      </c>
      <c r="AA33">
        <v>0.22232872426904901</v>
      </c>
      <c r="AB33">
        <v>0</v>
      </c>
      <c r="AC33">
        <v>0.15695782312751605</v>
      </c>
      <c r="AD33">
        <v>0.31454086082294186</v>
      </c>
      <c r="AF33" t="s">
        <v>131</v>
      </c>
      <c r="AG33" t="s">
        <v>101</v>
      </c>
      <c r="AH33">
        <v>0</v>
      </c>
      <c r="AI33">
        <v>1.5308158728724E-2</v>
      </c>
      <c r="AJ33">
        <v>0.3938043611224174</v>
      </c>
      <c r="AK33">
        <v>0</v>
      </c>
      <c r="AL33">
        <v>1.5519153160435622E-2</v>
      </c>
      <c r="AM33">
        <v>0.24700320981342755</v>
      </c>
      <c r="AN33">
        <v>0</v>
      </c>
      <c r="AO33">
        <v>6.9360936095712571E-3</v>
      </c>
      <c r="AP33">
        <v>0.21234049107852027</v>
      </c>
      <c r="AQ33">
        <v>0</v>
      </c>
      <c r="AR33">
        <v>2.5125584199331429E-2</v>
      </c>
      <c r="AS33">
        <v>0.38925303854694099</v>
      </c>
      <c r="AU33" t="s">
        <v>131</v>
      </c>
      <c r="AV33" t="s">
        <v>102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131</v>
      </c>
      <c r="BS33">
        <v>0</v>
      </c>
      <c r="BT33">
        <v>0.25847885561916034</v>
      </c>
      <c r="BU33">
        <v>8.4712642705192971E-3</v>
      </c>
      <c r="BV33">
        <v>7.6244088195848928E-4</v>
      </c>
      <c r="BW33">
        <v>0.36182866612531395</v>
      </c>
      <c r="BX33">
        <v>4.2927124442992112E-2</v>
      </c>
      <c r="BY33">
        <v>1.8243158570083872E-3</v>
      </c>
      <c r="BZ33">
        <v>0.42730315214875864</v>
      </c>
      <c r="CA33">
        <v>6.346507839661146E-2</v>
      </c>
      <c r="CB33">
        <v>0</v>
      </c>
      <c r="CC33">
        <v>0.28359119424922347</v>
      </c>
      <c r="CD33">
        <v>1.4776830695049486E-2</v>
      </c>
      <c r="CF33" t="s">
        <v>131</v>
      </c>
      <c r="CG33" t="s">
        <v>108</v>
      </c>
      <c r="CH33" t="s">
        <v>109</v>
      </c>
      <c r="CI33">
        <v>0.41209975703258073</v>
      </c>
    </row>
    <row r="34" spans="2:87" x14ac:dyDescent="0.45">
      <c r="B34" t="s">
        <v>132</v>
      </c>
      <c r="C34" t="s">
        <v>99</v>
      </c>
      <c r="D34">
        <v>0</v>
      </c>
      <c r="E34">
        <v>0.3562047823427395</v>
      </c>
      <c r="F34">
        <v>0.89629440973953489</v>
      </c>
      <c r="G34">
        <v>0.93257591397604178</v>
      </c>
      <c r="H34">
        <v>0.23279006997931453</v>
      </c>
      <c r="I34">
        <v>0.66059908039938098</v>
      </c>
      <c r="J34">
        <v>0.87025146789386143</v>
      </c>
      <c r="K34">
        <v>0.1933878498222722</v>
      </c>
      <c r="L34">
        <v>0.61525000810983743</v>
      </c>
      <c r="M34">
        <v>0.99862637362637319</v>
      </c>
      <c r="N34">
        <v>0.30912766867756991</v>
      </c>
      <c r="O34">
        <v>0.82799137711617488</v>
      </c>
      <c r="Q34" t="s">
        <v>132</v>
      </c>
      <c r="R34" t="s">
        <v>100</v>
      </c>
      <c r="S34">
        <v>0</v>
      </c>
      <c r="T34">
        <v>0.19303686707466949</v>
      </c>
      <c r="U34">
        <v>0.37879571458557221</v>
      </c>
      <c r="V34">
        <v>0.87375181435503491</v>
      </c>
      <c r="W34">
        <v>0.11501480588338192</v>
      </c>
      <c r="X34">
        <v>0.26304709452348873</v>
      </c>
      <c r="Y34">
        <v>0.77413718547409083</v>
      </c>
      <c r="Z34">
        <v>9.6859955996316E-2</v>
      </c>
      <c r="AA34">
        <v>0.22020834125775771</v>
      </c>
      <c r="AB34">
        <v>0.99725463410216164</v>
      </c>
      <c r="AC34">
        <v>0.15852513831466225</v>
      </c>
      <c r="AD34">
        <v>0.26823181727583012</v>
      </c>
      <c r="AF34" t="s">
        <v>132</v>
      </c>
      <c r="AG34" t="s">
        <v>101</v>
      </c>
      <c r="AH34">
        <v>0</v>
      </c>
      <c r="AI34">
        <v>2.4533695461014679E-2</v>
      </c>
      <c r="AJ34">
        <v>0.43955556668568946</v>
      </c>
      <c r="AK34">
        <v>0</v>
      </c>
      <c r="AL34">
        <v>1.4355734213168648E-2</v>
      </c>
      <c r="AM34">
        <v>0.22933919174365802</v>
      </c>
      <c r="AN34">
        <v>0</v>
      </c>
      <c r="AO34">
        <v>5.5216313686327649E-3</v>
      </c>
      <c r="AP34">
        <v>0.2092997406700299</v>
      </c>
      <c r="AQ34">
        <v>0</v>
      </c>
      <c r="AR34">
        <v>2.9077552342520258E-2</v>
      </c>
      <c r="AS34">
        <v>0.43855579005261125</v>
      </c>
      <c r="AU34" t="s">
        <v>132</v>
      </c>
      <c r="AV34" t="s">
        <v>102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132</v>
      </c>
      <c r="BS34">
        <v>0</v>
      </c>
      <c r="BT34">
        <v>0.24467656198990073</v>
      </c>
      <c r="BU34">
        <v>7.9546252957995393E-3</v>
      </c>
      <c r="BV34">
        <v>9.1956860174185378E-4</v>
      </c>
      <c r="BW34">
        <v>0.37174674744916991</v>
      </c>
      <c r="BX34">
        <v>4.2987783567284207E-2</v>
      </c>
      <c r="BY34">
        <v>2.034058040313147E-3</v>
      </c>
      <c r="BZ34">
        <v>0.43257682794037489</v>
      </c>
      <c r="CA34">
        <v>6.3846605861622732E-2</v>
      </c>
      <c r="CB34">
        <v>2.1933390479339842E-7</v>
      </c>
      <c r="CC34">
        <v>0.27328121498306263</v>
      </c>
      <c r="CD34">
        <v>1.3747128655558931E-2</v>
      </c>
      <c r="CF34" t="s">
        <v>132</v>
      </c>
      <c r="CG34" t="s">
        <v>108</v>
      </c>
      <c r="CH34" t="s">
        <v>109</v>
      </c>
      <c r="CI34">
        <v>0.4190812689881861</v>
      </c>
    </row>
    <row r="35" spans="2:87" x14ac:dyDescent="0.45">
      <c r="B35" t="s">
        <v>133</v>
      </c>
      <c r="C35" t="s">
        <v>99</v>
      </c>
      <c r="D35">
        <v>0</v>
      </c>
      <c r="E35">
        <v>0.3780538223944786</v>
      </c>
      <c r="F35">
        <v>0.9209911627839894</v>
      </c>
      <c r="G35">
        <v>0.92233824741108683</v>
      </c>
      <c r="H35">
        <v>0.24116053260006018</v>
      </c>
      <c r="I35">
        <v>0.67879989672522389</v>
      </c>
      <c r="J35">
        <v>0.84021439101774253</v>
      </c>
      <c r="K35">
        <v>0.18059825089231207</v>
      </c>
      <c r="L35">
        <v>0.62326691091297581</v>
      </c>
      <c r="M35">
        <v>0.99041198019855103</v>
      </c>
      <c r="N35">
        <v>0.32455353096198908</v>
      </c>
      <c r="O35">
        <v>0.84308014735269365</v>
      </c>
      <c r="Q35" t="s">
        <v>133</v>
      </c>
      <c r="R35" t="s">
        <v>100</v>
      </c>
      <c r="S35">
        <v>0</v>
      </c>
      <c r="T35">
        <v>0.20378463255372015</v>
      </c>
      <c r="U35">
        <v>0.23807213566518093</v>
      </c>
      <c r="V35">
        <v>0.8582689434676074</v>
      </c>
      <c r="W35">
        <v>0.12053911537761568</v>
      </c>
      <c r="X35">
        <v>0.27079424474804542</v>
      </c>
      <c r="Y35">
        <v>0.7367775503824745</v>
      </c>
      <c r="Z35">
        <v>9.4391721028778006E-2</v>
      </c>
      <c r="AA35">
        <v>0.30918122308306406</v>
      </c>
      <c r="AB35">
        <v>0.98224924409801395</v>
      </c>
      <c r="AC35">
        <v>0.17099292361859922</v>
      </c>
      <c r="AD35">
        <v>0.27942179433509101</v>
      </c>
      <c r="AF35" t="s">
        <v>133</v>
      </c>
      <c r="AG35" t="s">
        <v>101</v>
      </c>
      <c r="AH35">
        <v>0</v>
      </c>
      <c r="AI35">
        <v>3.396498217754463E-2</v>
      </c>
      <c r="AJ35">
        <v>0.61731571733777491</v>
      </c>
      <c r="AK35">
        <v>0</v>
      </c>
      <c r="AL35">
        <v>1.8997520456563499E-2</v>
      </c>
      <c r="AM35">
        <v>0.24656037452404184</v>
      </c>
      <c r="AN35">
        <v>0</v>
      </c>
      <c r="AO35">
        <v>4.1122440044904394E-3</v>
      </c>
      <c r="AP35">
        <v>0.12898862458884272</v>
      </c>
      <c r="AQ35">
        <v>0</v>
      </c>
      <c r="AR35">
        <v>2.6662925875668885E-2</v>
      </c>
      <c r="AS35">
        <v>0.45437652779636856</v>
      </c>
      <c r="AU35" t="s">
        <v>133</v>
      </c>
      <c r="AV35" t="s">
        <v>102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133</v>
      </c>
      <c r="BS35">
        <v>0</v>
      </c>
      <c r="BT35">
        <v>0.2297559648265449</v>
      </c>
      <c r="BU35">
        <v>6.5997760353047E-3</v>
      </c>
      <c r="BV35">
        <v>1.2263101693839563E-3</v>
      </c>
      <c r="BW35">
        <v>0.36473800039627419</v>
      </c>
      <c r="BX35">
        <v>3.7096699744253836E-2</v>
      </c>
      <c r="BY35">
        <v>2.799584997963434E-3</v>
      </c>
      <c r="BZ35">
        <v>0.44642365774166309</v>
      </c>
      <c r="CA35">
        <v>5.8046514982452668E-2</v>
      </c>
      <c r="CB35">
        <v>1.378357238392833E-5</v>
      </c>
      <c r="CC35">
        <v>0.27160085381996774</v>
      </c>
      <c r="CD35">
        <v>1.0283917931740133E-2</v>
      </c>
      <c r="CF35" t="s">
        <v>133</v>
      </c>
      <c r="CG35" t="s">
        <v>108</v>
      </c>
      <c r="CH35" t="s">
        <v>109</v>
      </c>
      <c r="CI35">
        <v>0.41951589324936234</v>
      </c>
    </row>
    <row r="36" spans="2:87" x14ac:dyDescent="0.45">
      <c r="B36" t="s">
        <v>134</v>
      </c>
      <c r="C36" t="s">
        <v>99</v>
      </c>
      <c r="D36">
        <v>0</v>
      </c>
      <c r="E36">
        <v>0.38208025343179652</v>
      </c>
      <c r="F36">
        <v>0.91749333799608468</v>
      </c>
      <c r="G36">
        <v>0.92432498713016475</v>
      </c>
      <c r="H36">
        <v>0.23216632003152105</v>
      </c>
      <c r="I36">
        <v>0.66592712674912746</v>
      </c>
      <c r="J36">
        <v>0.84182575478249644</v>
      </c>
      <c r="K36">
        <v>0.18455504441692455</v>
      </c>
      <c r="L36">
        <v>0.61495997982480144</v>
      </c>
      <c r="M36">
        <v>0.99313186813186827</v>
      </c>
      <c r="N36">
        <v>0.32755668519390518</v>
      </c>
      <c r="O36">
        <v>0.84465169289360054</v>
      </c>
      <c r="Q36" t="s">
        <v>134</v>
      </c>
      <c r="R36" t="s">
        <v>100</v>
      </c>
      <c r="S36">
        <v>0</v>
      </c>
      <c r="T36">
        <v>0.20297648955043232</v>
      </c>
      <c r="U36">
        <v>0.23552471060810209</v>
      </c>
      <c r="V36">
        <v>0.86163091472491637</v>
      </c>
      <c r="W36">
        <v>0.11533808350091519</v>
      </c>
      <c r="X36">
        <v>0.29148305239668565</v>
      </c>
      <c r="Y36">
        <v>0.74192122491149382</v>
      </c>
      <c r="Z36">
        <v>9.5748536553591349E-2</v>
      </c>
      <c r="AA36">
        <v>0.24474204154955279</v>
      </c>
      <c r="AB36">
        <v>0.98631090749909434</v>
      </c>
      <c r="AC36">
        <v>0.17364919873763127</v>
      </c>
      <c r="AD36">
        <v>0.26388571469675104</v>
      </c>
      <c r="AF36" t="s">
        <v>134</v>
      </c>
      <c r="AG36" t="s">
        <v>101</v>
      </c>
      <c r="AH36">
        <v>0</v>
      </c>
      <c r="AI36">
        <v>3.7500101751029399E-2</v>
      </c>
      <c r="AJ36">
        <v>0.61559915311478819</v>
      </c>
      <c r="AK36">
        <v>0</v>
      </c>
      <c r="AL36">
        <v>1.6409091258157833E-2</v>
      </c>
      <c r="AM36">
        <v>0.20797050088057095</v>
      </c>
      <c r="AN36">
        <v>0</v>
      </c>
      <c r="AO36">
        <v>6.1991934294043207E-3</v>
      </c>
      <c r="AP36">
        <v>0.19044283432822501</v>
      </c>
      <c r="AQ36">
        <v>0</v>
      </c>
      <c r="AR36">
        <v>2.9594965290025862E-2</v>
      </c>
      <c r="AS36">
        <v>0.47131058049242502</v>
      </c>
      <c r="AU36" t="s">
        <v>134</v>
      </c>
      <c r="AV36" t="s">
        <v>102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134</v>
      </c>
      <c r="BS36">
        <v>0</v>
      </c>
      <c r="BT36">
        <v>0.23162413234732326</v>
      </c>
      <c r="BU36">
        <v>7.0197117557683122E-3</v>
      </c>
      <c r="BV36">
        <v>1.1679438305326961E-3</v>
      </c>
      <c r="BW36">
        <v>0.36153575684692435</v>
      </c>
      <c r="BX36">
        <v>3.8926797893891731E-2</v>
      </c>
      <c r="BY36">
        <v>2.6539861749765095E-3</v>
      </c>
      <c r="BZ36">
        <v>0.43589935276573638</v>
      </c>
      <c r="CA36">
        <v>5.9836504034791488E-2</v>
      </c>
      <c r="CB36">
        <v>6.3590099323134399E-6</v>
      </c>
      <c r="CC36">
        <v>0.25895112582404023</v>
      </c>
      <c r="CD36">
        <v>1.1263196924290149E-2</v>
      </c>
      <c r="CF36" t="s">
        <v>134</v>
      </c>
      <c r="CG36" t="s">
        <v>108</v>
      </c>
      <c r="CH36" t="s">
        <v>109</v>
      </c>
      <c r="CI36">
        <v>0.41758351661493609</v>
      </c>
    </row>
    <row r="37" spans="2:87" x14ac:dyDescent="0.45">
      <c r="B37" t="s">
        <v>135</v>
      </c>
      <c r="C37" t="s">
        <v>99</v>
      </c>
      <c r="D37">
        <v>0</v>
      </c>
      <c r="E37">
        <v>0.34614701213707655</v>
      </c>
      <c r="F37">
        <v>0.94259089332131019</v>
      </c>
      <c r="G37">
        <v>0.88808995922634493</v>
      </c>
      <c r="H37">
        <v>0.23706043175665459</v>
      </c>
      <c r="I37">
        <v>0.70716834616636104</v>
      </c>
      <c r="J37">
        <v>0.80548537287729916</v>
      </c>
      <c r="K37">
        <v>0.17086877816535509</v>
      </c>
      <c r="L37">
        <v>0.63240239836343359</v>
      </c>
      <c r="M37">
        <v>0.96858635950515326</v>
      </c>
      <c r="N37">
        <v>0.30450245594619529</v>
      </c>
      <c r="O37">
        <v>0.88561797506537121</v>
      </c>
      <c r="Q37" t="s">
        <v>135</v>
      </c>
      <c r="R37" t="s">
        <v>100</v>
      </c>
      <c r="S37">
        <v>0</v>
      </c>
      <c r="T37">
        <v>0.19300677590756854</v>
      </c>
      <c r="U37">
        <v>0.41828405827956505</v>
      </c>
      <c r="V37">
        <v>0.80090712500329098</v>
      </c>
      <c r="W37">
        <v>0.12564337437009893</v>
      </c>
      <c r="X37">
        <v>0.41260311027471347</v>
      </c>
      <c r="Y37">
        <v>0.67459036985264387</v>
      </c>
      <c r="Z37">
        <v>8.4551114132287497E-2</v>
      </c>
      <c r="AA37">
        <v>0.45553627815603648</v>
      </c>
      <c r="AB37">
        <v>0.94163035844842569</v>
      </c>
      <c r="AC37">
        <v>0.16792032771515547</v>
      </c>
      <c r="AD37">
        <v>0.4482307710483544</v>
      </c>
      <c r="AF37" t="s">
        <v>135</v>
      </c>
      <c r="AG37" t="s">
        <v>101</v>
      </c>
      <c r="AH37">
        <v>0</v>
      </c>
      <c r="AI37">
        <v>1.3249655125997123E-2</v>
      </c>
      <c r="AJ37">
        <v>0.47504406283086165</v>
      </c>
      <c r="AK37">
        <v>0</v>
      </c>
      <c r="AL37">
        <v>1.5852270744536563E-2</v>
      </c>
      <c r="AM37">
        <v>0.13922382346352544</v>
      </c>
      <c r="AN37">
        <v>0</v>
      </c>
      <c r="AO37">
        <v>7.0289162765759241E-3</v>
      </c>
      <c r="AP37">
        <v>0</v>
      </c>
      <c r="AQ37">
        <v>0</v>
      </c>
      <c r="AR37">
        <v>1.878206729839969E-2</v>
      </c>
      <c r="AS37">
        <v>0.34931668031276719</v>
      </c>
      <c r="AU37" t="s">
        <v>135</v>
      </c>
      <c r="AV37" t="s">
        <v>102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135</v>
      </c>
      <c r="BS37">
        <v>0</v>
      </c>
      <c r="BT37">
        <v>0.27247202860874764</v>
      </c>
      <c r="BU37">
        <v>3.6012760335186697E-3</v>
      </c>
      <c r="BV37">
        <v>2.5946582838291469E-3</v>
      </c>
      <c r="BW37">
        <v>0.37425359646467615</v>
      </c>
      <c r="BX37">
        <v>2.6920827062752638E-2</v>
      </c>
      <c r="BY37">
        <v>5.6753868937668064E-3</v>
      </c>
      <c r="BZ37">
        <v>0.4417575179801736</v>
      </c>
      <c r="CA37">
        <v>4.4330897299676299E-2</v>
      </c>
      <c r="CB37">
        <v>1.3614654104808729E-4</v>
      </c>
      <c r="CC37">
        <v>0.2903046755087707</v>
      </c>
      <c r="CD37">
        <v>6.6611980732780001E-3</v>
      </c>
      <c r="CF37" t="s">
        <v>135</v>
      </c>
      <c r="CG37" t="s">
        <v>108</v>
      </c>
      <c r="CH37" t="s">
        <v>109</v>
      </c>
      <c r="CI37">
        <v>0.43022177653324367</v>
      </c>
    </row>
    <row r="38" spans="2:87" x14ac:dyDescent="0.45">
      <c r="B38" t="s">
        <v>136</v>
      </c>
      <c r="C38" t="s">
        <v>99</v>
      </c>
      <c r="D38">
        <v>0</v>
      </c>
      <c r="E38">
        <v>0.37814114838078478</v>
      </c>
      <c r="F38">
        <v>0.95336919183044666</v>
      </c>
      <c r="G38">
        <v>0.88787825291604916</v>
      </c>
      <c r="H38">
        <v>0.25100769942827256</v>
      </c>
      <c r="I38">
        <v>0.71078816356594343</v>
      </c>
      <c r="J38">
        <v>0.80443842764042195</v>
      </c>
      <c r="K38">
        <v>0.17947574397727339</v>
      </c>
      <c r="L38">
        <v>0.62591722028228891</v>
      </c>
      <c r="M38">
        <v>0.97085283203231998</v>
      </c>
      <c r="N38">
        <v>0.32207161386806443</v>
      </c>
      <c r="O38">
        <v>0.89026683608005486</v>
      </c>
      <c r="Q38" t="s">
        <v>136</v>
      </c>
      <c r="R38" t="s">
        <v>100</v>
      </c>
      <c r="S38">
        <v>0</v>
      </c>
      <c r="T38">
        <v>0.21663143637176796</v>
      </c>
      <c r="U38">
        <v>0.40939543359374492</v>
      </c>
      <c r="V38">
        <v>0.80151037082341292</v>
      </c>
      <c r="W38">
        <v>0.13104427448440695</v>
      </c>
      <c r="X38">
        <v>0.40613675402465116</v>
      </c>
      <c r="Y38">
        <v>0.66959701927391257</v>
      </c>
      <c r="Z38">
        <v>8.9640772742983432E-2</v>
      </c>
      <c r="AA38">
        <v>0.45174744557123947</v>
      </c>
      <c r="AB38">
        <v>0.94284746187754154</v>
      </c>
      <c r="AC38">
        <v>0.17464804532536865</v>
      </c>
      <c r="AD38">
        <v>0.29396886929024513</v>
      </c>
      <c r="AF38" t="s">
        <v>136</v>
      </c>
      <c r="AG38" t="s">
        <v>101</v>
      </c>
      <c r="AH38">
        <v>0</v>
      </c>
      <c r="AI38">
        <v>1.8724198479906362E-2</v>
      </c>
      <c r="AJ38">
        <v>0.50160179415534834</v>
      </c>
      <c r="AK38">
        <v>0</v>
      </c>
      <c r="AL38">
        <v>1.9202170988989034E-2</v>
      </c>
      <c r="AM38">
        <v>0.15075361761535896</v>
      </c>
      <c r="AN38">
        <v>0</v>
      </c>
      <c r="AO38">
        <v>8.9158260156519328E-3</v>
      </c>
      <c r="AP38">
        <v>0</v>
      </c>
      <c r="AQ38">
        <v>0</v>
      </c>
      <c r="AR38">
        <v>2.5889801766820847E-2</v>
      </c>
      <c r="AS38">
        <v>0.50686669470872314</v>
      </c>
      <c r="AU38" t="s">
        <v>136</v>
      </c>
      <c r="AV38" t="s">
        <v>102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4.379063549358686E-3</v>
      </c>
      <c r="BR38" t="s">
        <v>136</v>
      </c>
      <c r="BS38">
        <v>0</v>
      </c>
      <c r="BT38">
        <v>0.22617205568576945</v>
      </c>
      <c r="BU38">
        <v>2.9779584048497312E-3</v>
      </c>
      <c r="BV38">
        <v>2.3021289627042606E-3</v>
      </c>
      <c r="BW38">
        <v>0.335719504172587</v>
      </c>
      <c r="BX38">
        <v>2.3804585863684218E-2</v>
      </c>
      <c r="BY38">
        <v>5.7364674516265802E-3</v>
      </c>
      <c r="BZ38">
        <v>0.43048027780145803</v>
      </c>
      <c r="CA38">
        <v>4.3521264246472041E-2</v>
      </c>
      <c r="CB38">
        <v>1.2616735331892005E-4</v>
      </c>
      <c r="CC38">
        <v>0.25743586315260497</v>
      </c>
      <c r="CD38">
        <v>5.8799109750767922E-3</v>
      </c>
      <c r="CF38" t="s">
        <v>136</v>
      </c>
      <c r="CG38" t="s">
        <v>108</v>
      </c>
      <c r="CH38" t="s">
        <v>109</v>
      </c>
      <c r="CI38">
        <v>0.41332440136302412</v>
      </c>
    </row>
    <row r="39" spans="2:87" x14ac:dyDescent="0.45">
      <c r="B39" t="s">
        <v>137</v>
      </c>
      <c r="C39" t="s">
        <v>99</v>
      </c>
      <c r="D39">
        <v>0</v>
      </c>
      <c r="E39">
        <v>0.35530594317109782</v>
      </c>
      <c r="F39">
        <v>0.93323857068397831</v>
      </c>
      <c r="G39">
        <v>0.9021756153940087</v>
      </c>
      <c r="H39">
        <v>0.24170611600913444</v>
      </c>
      <c r="I39">
        <v>0.68967935798896363</v>
      </c>
      <c r="J39">
        <v>0.81509788774576619</v>
      </c>
      <c r="K39">
        <v>0.17397782754363278</v>
      </c>
      <c r="L39">
        <v>0.62470772984109779</v>
      </c>
      <c r="M39">
        <v>0.98072466273144865</v>
      </c>
      <c r="N39">
        <v>0.31035478536005506</v>
      </c>
      <c r="O39">
        <v>0.86147527978653171</v>
      </c>
      <c r="Q39" t="s">
        <v>137</v>
      </c>
      <c r="R39" t="s">
        <v>100</v>
      </c>
      <c r="S39">
        <v>0</v>
      </c>
      <c r="T39">
        <v>0.19399462816235066</v>
      </c>
      <c r="U39">
        <v>0.29744535936026728</v>
      </c>
      <c r="V39">
        <v>0.8290998209313214</v>
      </c>
      <c r="W39">
        <v>0.12455571054892454</v>
      </c>
      <c r="X39">
        <v>0.35594695319671205</v>
      </c>
      <c r="Y39">
        <v>0.69344311439191453</v>
      </c>
      <c r="Z39">
        <v>8.9887241064776746E-2</v>
      </c>
      <c r="AA39">
        <v>0.35111847983062011</v>
      </c>
      <c r="AB39">
        <v>0.96186457306353557</v>
      </c>
      <c r="AC39">
        <v>0.16596267161003295</v>
      </c>
      <c r="AD39">
        <v>0.26117581040566751</v>
      </c>
      <c r="AF39" t="s">
        <v>137</v>
      </c>
      <c r="AG39" t="s">
        <v>101</v>
      </c>
      <c r="AH39">
        <v>0</v>
      </c>
      <c r="AI39">
        <v>2.2588890255436197E-2</v>
      </c>
      <c r="AJ39">
        <v>0.58150171969274411</v>
      </c>
      <c r="AK39">
        <v>0</v>
      </c>
      <c r="AL39">
        <v>1.7305049575515107E-2</v>
      </c>
      <c r="AM39">
        <v>0.17262702224335422</v>
      </c>
      <c r="AN39">
        <v>0</v>
      </c>
      <c r="AO39">
        <v>4.6485780077626599E-3</v>
      </c>
      <c r="AP39">
        <v>9.3846712019109838E-2</v>
      </c>
      <c r="AQ39">
        <v>0</v>
      </c>
      <c r="AR39">
        <v>2.6466824043693698E-2</v>
      </c>
      <c r="AS39">
        <v>0.50403501171724008</v>
      </c>
      <c r="AU39" t="s">
        <v>137</v>
      </c>
      <c r="AV39" t="s">
        <v>102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137</v>
      </c>
      <c r="BS39">
        <v>0</v>
      </c>
      <c r="BT39">
        <v>0.24627674502964295</v>
      </c>
      <c r="BU39">
        <v>5.1862828670897598E-3</v>
      </c>
      <c r="BV39">
        <v>1.6802258661174246E-3</v>
      </c>
      <c r="BW39">
        <v>0.35383681063939632</v>
      </c>
      <c r="BX39">
        <v>3.1013637384861341E-2</v>
      </c>
      <c r="BY39">
        <v>3.9266873144082667E-3</v>
      </c>
      <c r="BZ39">
        <v>0.45241091752578805</v>
      </c>
      <c r="CA39">
        <v>5.2597112308032448E-2</v>
      </c>
      <c r="CB39">
        <v>4.8934318682499134E-5</v>
      </c>
      <c r="CC39">
        <v>0.26907097628458249</v>
      </c>
      <c r="CD39">
        <v>8.5600888972484617E-3</v>
      </c>
      <c r="CF39" t="s">
        <v>137</v>
      </c>
      <c r="CG39" t="s">
        <v>108</v>
      </c>
      <c r="CH39" t="s">
        <v>109</v>
      </c>
      <c r="CI39">
        <v>0.42389539563313683</v>
      </c>
    </row>
    <row r="40" spans="2:87" x14ac:dyDescent="0.45">
      <c r="B40" t="s">
        <v>138</v>
      </c>
      <c r="C40" t="s">
        <v>99</v>
      </c>
      <c r="D40">
        <v>0</v>
      </c>
      <c r="E40">
        <v>0.38479636124366562</v>
      </c>
      <c r="F40">
        <v>0.94568586862790172</v>
      </c>
      <c r="G40">
        <v>0.89897214834030581</v>
      </c>
      <c r="H40">
        <v>0.24426334524494031</v>
      </c>
      <c r="I40">
        <v>0.68923382098936203</v>
      </c>
      <c r="J40">
        <v>0.81034121065469567</v>
      </c>
      <c r="K40">
        <v>0.18514025521515043</v>
      </c>
      <c r="L40">
        <v>0.61897611506802885</v>
      </c>
      <c r="M40">
        <v>0.98156789115927801</v>
      </c>
      <c r="N40">
        <v>0.32532796942845321</v>
      </c>
      <c r="O40">
        <v>0.86863082923298351</v>
      </c>
      <c r="Q40" t="s">
        <v>138</v>
      </c>
      <c r="R40" t="s">
        <v>100</v>
      </c>
      <c r="S40">
        <v>0</v>
      </c>
      <c r="T40">
        <v>0.21275378093571662</v>
      </c>
      <c r="U40">
        <v>0.31351848528451542</v>
      </c>
      <c r="V40">
        <v>0.81988695528381261</v>
      </c>
      <c r="W40">
        <v>0.129075271943111</v>
      </c>
      <c r="X40">
        <v>0.35088615564627068</v>
      </c>
      <c r="Y40">
        <v>0.68192415082606428</v>
      </c>
      <c r="Z40">
        <v>9.2362102669833815E-2</v>
      </c>
      <c r="AA40">
        <v>0.33452681914639987</v>
      </c>
      <c r="AB40">
        <v>0.96403989310286287</v>
      </c>
      <c r="AC40">
        <v>0.17245211819790182</v>
      </c>
      <c r="AD40">
        <v>0.30938941416814397</v>
      </c>
      <c r="AF40" t="s">
        <v>138</v>
      </c>
      <c r="AG40" t="s">
        <v>101</v>
      </c>
      <c r="AH40">
        <v>0</v>
      </c>
      <c r="AI40">
        <v>3.0822364039813432E-2</v>
      </c>
      <c r="AJ40">
        <v>0.58647622618746742</v>
      </c>
      <c r="AK40">
        <v>0</v>
      </c>
      <c r="AL40">
        <v>1.8910666339427947E-2</v>
      </c>
      <c r="AM40">
        <v>0.17970968104076121</v>
      </c>
      <c r="AN40">
        <v>0</v>
      </c>
      <c r="AO40">
        <v>8.8480829879557608E-3</v>
      </c>
      <c r="AP40">
        <v>0.10343561922564137</v>
      </c>
      <c r="AQ40">
        <v>0</v>
      </c>
      <c r="AR40">
        <v>3.506906912403171E-2</v>
      </c>
      <c r="AS40">
        <v>0.44828711391972526</v>
      </c>
      <c r="AU40" t="s">
        <v>138</v>
      </c>
      <c r="AV40" t="s">
        <v>102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2.0323368176036916E-2</v>
      </c>
      <c r="BR40" t="s">
        <v>138</v>
      </c>
      <c r="BS40">
        <v>0</v>
      </c>
      <c r="BT40">
        <v>0.20442691200924756</v>
      </c>
      <c r="BU40">
        <v>3.7109970160432732E-3</v>
      </c>
      <c r="BV40">
        <v>1.8558183897303706E-3</v>
      </c>
      <c r="BW40">
        <v>0.33200123288485361</v>
      </c>
      <c r="BX40">
        <v>2.8336658864411644E-2</v>
      </c>
      <c r="BY40">
        <v>4.3434321094856457E-3</v>
      </c>
      <c r="BZ40">
        <v>0.42854555565811364</v>
      </c>
      <c r="CA40">
        <v>4.9685977562917739E-2</v>
      </c>
      <c r="CB40">
        <v>5.5711808589399195E-5</v>
      </c>
      <c r="CC40">
        <v>0.24817836101996349</v>
      </c>
      <c r="CD40">
        <v>7.6836306941612731E-3</v>
      </c>
      <c r="CF40" t="s">
        <v>138</v>
      </c>
      <c r="CG40" t="s">
        <v>108</v>
      </c>
      <c r="CH40" t="s">
        <v>109</v>
      </c>
      <c r="CI40">
        <v>0.40068439818486712</v>
      </c>
    </row>
    <row r="41" spans="2:87" x14ac:dyDescent="0.45">
      <c r="B41" t="s">
        <v>139</v>
      </c>
      <c r="C41" t="s">
        <v>99</v>
      </c>
      <c r="D41">
        <v>0.26398840160692555</v>
      </c>
      <c r="E41">
        <v>0.3117700210325734</v>
      </c>
      <c r="F41">
        <v>0.26940253169909917</v>
      </c>
      <c r="G41">
        <v>0.29336850558655925</v>
      </c>
      <c r="H41">
        <v>0.31993267608705722</v>
      </c>
      <c r="I41">
        <v>0.28846973357235517</v>
      </c>
      <c r="J41">
        <v>0.39213338643762319</v>
      </c>
      <c r="K41">
        <v>0.39848547683361912</v>
      </c>
      <c r="L41">
        <v>0.364509720006022</v>
      </c>
      <c r="M41">
        <v>0.27304244470579453</v>
      </c>
      <c r="N41">
        <v>0.30786723092654927</v>
      </c>
      <c r="O41">
        <v>0.26926662679652269</v>
      </c>
      <c r="Q41" t="s">
        <v>139</v>
      </c>
      <c r="R41" t="s">
        <v>100</v>
      </c>
      <c r="S41">
        <v>1.8662684076557922E-2</v>
      </c>
      <c r="T41">
        <v>1.7411696622504514E-2</v>
      </c>
      <c r="U41">
        <v>8.8200839343944865E-3</v>
      </c>
      <c r="V41">
        <v>1.652166809238188E-2</v>
      </c>
      <c r="W41">
        <v>1.6561840084698826E-2</v>
      </c>
      <c r="X41">
        <v>1.7456853442100507E-2</v>
      </c>
      <c r="Y41">
        <v>6.3727438883472596E-3</v>
      </c>
      <c r="Z41">
        <v>1.5261061098608199E-2</v>
      </c>
      <c r="AA41">
        <v>1.9688318809993725E-2</v>
      </c>
      <c r="AB41">
        <v>8.4706370811938794E-3</v>
      </c>
      <c r="AC41">
        <v>8.6955401297520094E-3</v>
      </c>
      <c r="AD41">
        <v>1.2281960266248112E-2</v>
      </c>
      <c r="AF41" t="s">
        <v>139</v>
      </c>
      <c r="AG41" t="s">
        <v>101</v>
      </c>
      <c r="AH41">
        <v>1.6387758815835273E-2</v>
      </c>
      <c r="AI41">
        <v>2.8549218783855451E-2</v>
      </c>
      <c r="AJ41">
        <v>1.4478319203652966E-2</v>
      </c>
      <c r="AK41">
        <v>1.9259396439225369E-2</v>
      </c>
      <c r="AL41">
        <v>2.4679139953855563E-2</v>
      </c>
      <c r="AM41">
        <v>2.4073208037195287E-2</v>
      </c>
      <c r="AN41">
        <v>2.0396197623841063E-2</v>
      </c>
      <c r="AO41">
        <v>1.6517332906380622E-2</v>
      </c>
      <c r="AP41">
        <v>2.7779336226725852E-2</v>
      </c>
      <c r="AQ41">
        <v>1.5102456178282687E-2</v>
      </c>
      <c r="AR41">
        <v>1.6790898580721688E-2</v>
      </c>
      <c r="AS41">
        <v>1.1130130226717234E-2</v>
      </c>
      <c r="AU41" t="s">
        <v>139</v>
      </c>
      <c r="AV41" t="s">
        <v>102</v>
      </c>
      <c r="AW41">
        <v>0.10268822841315942</v>
      </c>
      <c r="AX41">
        <v>0.11873482864506599</v>
      </c>
      <c r="AY41">
        <v>0.11167274317680669</v>
      </c>
      <c r="AZ41">
        <v>0.12075606544316422</v>
      </c>
      <c r="BA41">
        <v>0.13409091108851576</v>
      </c>
      <c r="BB41">
        <v>0.11508044219605258</v>
      </c>
      <c r="BC41">
        <v>0.21667263155364097</v>
      </c>
      <c r="BD41">
        <v>0.21865075262574479</v>
      </c>
      <c r="BE41">
        <v>0.17139034043436258</v>
      </c>
      <c r="BF41">
        <v>0.10550778835788752</v>
      </c>
      <c r="BG41">
        <v>0.13396479964330196</v>
      </c>
      <c r="BH41">
        <v>0.10956190624148494</v>
      </c>
      <c r="BR41" t="s">
        <v>139</v>
      </c>
      <c r="BS41">
        <v>0.56416555650064137</v>
      </c>
      <c r="BT41">
        <v>0.53078576677537881</v>
      </c>
      <c r="BU41">
        <v>0.57305703261096452</v>
      </c>
      <c r="BV41">
        <v>0.50291354843615277</v>
      </c>
      <c r="BW41">
        <v>0.49039674831325175</v>
      </c>
      <c r="BX41">
        <v>0.51173234981661808</v>
      </c>
      <c r="BY41">
        <v>0.38281506956053279</v>
      </c>
      <c r="BZ41">
        <v>0.35655406013904173</v>
      </c>
      <c r="CA41">
        <v>0.41076597944242027</v>
      </c>
      <c r="CB41">
        <v>0.57008690330430545</v>
      </c>
      <c r="CC41">
        <v>0.52057068053954914</v>
      </c>
      <c r="CD41">
        <v>0.5685496354810351</v>
      </c>
      <c r="CF41" t="s">
        <v>140</v>
      </c>
      <c r="CG41" t="s">
        <v>108</v>
      </c>
      <c r="CH41" t="s">
        <v>109</v>
      </c>
      <c r="CI41">
        <v>0.19313557047367536</v>
      </c>
    </row>
    <row r="42" spans="2:87" x14ac:dyDescent="0.45">
      <c r="B42" t="s">
        <v>141</v>
      </c>
      <c r="C42" t="s">
        <v>99</v>
      </c>
      <c r="D42">
        <v>0.47953607303573531</v>
      </c>
      <c r="E42">
        <v>0.48380778277119368</v>
      </c>
      <c r="F42">
        <v>0.49558008618814187</v>
      </c>
      <c r="G42">
        <v>0.40648204813980759</v>
      </c>
      <c r="H42">
        <v>0.41627113072333155</v>
      </c>
      <c r="I42">
        <v>0.41904810330768316</v>
      </c>
      <c r="J42">
        <v>0.4913498224950717</v>
      </c>
      <c r="K42">
        <v>0.46697485119711146</v>
      </c>
      <c r="L42">
        <v>0.46062244598487312</v>
      </c>
      <c r="M42">
        <v>0.4619963198360803</v>
      </c>
      <c r="N42">
        <v>0.46525559718746473</v>
      </c>
      <c r="O42">
        <v>0.44566100577708145</v>
      </c>
      <c r="Q42" t="s">
        <v>141</v>
      </c>
      <c r="R42" t="s">
        <v>100</v>
      </c>
      <c r="S42">
        <v>6.6844707397189493E-2</v>
      </c>
      <c r="T42">
        <v>6.1749662978081737E-2</v>
      </c>
      <c r="U42">
        <v>5.7113959595546535E-2</v>
      </c>
      <c r="V42">
        <v>6.2856992121147523E-2</v>
      </c>
      <c r="W42">
        <v>4.638475953806033E-2</v>
      </c>
      <c r="X42">
        <v>5.2127424432097329E-2</v>
      </c>
      <c r="Y42">
        <v>9.1875245783496609E-2</v>
      </c>
      <c r="Z42">
        <v>6.6202197942506841E-2</v>
      </c>
      <c r="AA42">
        <v>5.721866223322896E-2</v>
      </c>
      <c r="AB42">
        <v>4.1278010059724576E-2</v>
      </c>
      <c r="AC42">
        <v>3.3318569064905351E-2</v>
      </c>
      <c r="AD42">
        <v>2.4234947147376024E-2</v>
      </c>
      <c r="AF42" t="s">
        <v>141</v>
      </c>
      <c r="AG42" t="s">
        <v>101</v>
      </c>
      <c r="AH42">
        <v>5.6744388938563241E-2</v>
      </c>
      <c r="AI42">
        <v>8.6546489513382369E-2</v>
      </c>
      <c r="AJ42">
        <v>9.0832524106379472E-2</v>
      </c>
      <c r="AK42">
        <v>5.6458551189592504E-2</v>
      </c>
      <c r="AL42">
        <v>6.4649790254049933E-2</v>
      </c>
      <c r="AM42">
        <v>3.8350846912099189E-2</v>
      </c>
      <c r="AN42">
        <v>5.2865333437914379E-2</v>
      </c>
      <c r="AO42">
        <v>9.4745613766825582E-2</v>
      </c>
      <c r="AP42">
        <v>6.0315795572895743E-2</v>
      </c>
      <c r="AQ42">
        <v>5.0943516851922832E-2</v>
      </c>
      <c r="AR42">
        <v>5.5582414762772286E-2</v>
      </c>
      <c r="AS42">
        <v>2.8841193562124522E-2</v>
      </c>
      <c r="AU42" t="s">
        <v>141</v>
      </c>
      <c r="AV42" t="s">
        <v>102</v>
      </c>
      <c r="AW42">
        <v>0.22186091744100878</v>
      </c>
      <c r="AX42">
        <v>0.20612716333818928</v>
      </c>
      <c r="AY42">
        <v>0.21917515628679088</v>
      </c>
      <c r="AZ42">
        <v>0.14365243892752769</v>
      </c>
      <c r="BA42">
        <v>0.15396086110700705</v>
      </c>
      <c r="BB42">
        <v>0.18590653373015181</v>
      </c>
      <c r="BC42">
        <v>0.22373899868060132</v>
      </c>
      <c r="BD42">
        <v>0.20076191912026237</v>
      </c>
      <c r="BE42">
        <v>0.23174660642669853</v>
      </c>
      <c r="BF42">
        <v>0.2223921719295015</v>
      </c>
      <c r="BG42">
        <v>0.23770638582394246</v>
      </c>
      <c r="BH42">
        <v>0.24696648606678903</v>
      </c>
      <c r="BR42" t="s">
        <v>141</v>
      </c>
      <c r="BS42">
        <v>0.21441405845681202</v>
      </c>
      <c r="BT42">
        <v>0.20669591007789984</v>
      </c>
      <c r="BU42">
        <v>0.20936977318739999</v>
      </c>
      <c r="BV42">
        <v>0.30738142407203761</v>
      </c>
      <c r="BW42">
        <v>0.30328594031285255</v>
      </c>
      <c r="BX42">
        <v>0.29194343006768592</v>
      </c>
      <c r="BY42">
        <v>8.5650809298812233E-2</v>
      </c>
      <c r="BZ42">
        <v>8.7139803258462989E-2</v>
      </c>
      <c r="CA42">
        <v>0.10293781556975287</v>
      </c>
      <c r="CB42">
        <v>0.29171225316043581</v>
      </c>
      <c r="CC42">
        <v>0.27963515659274601</v>
      </c>
      <c r="CD42">
        <v>0.30345599324667188</v>
      </c>
      <c r="CF42" t="s">
        <v>142</v>
      </c>
      <c r="CG42" t="s">
        <v>108</v>
      </c>
      <c r="CH42" t="s">
        <v>109</v>
      </c>
      <c r="CI42">
        <v>0.21319019985911744</v>
      </c>
    </row>
    <row r="43" spans="2:87" x14ac:dyDescent="0.45">
      <c r="B43" t="s">
        <v>143</v>
      </c>
      <c r="C43" t="s">
        <v>99</v>
      </c>
      <c r="D43">
        <v>0.47031244631018121</v>
      </c>
      <c r="E43">
        <v>0.47231988044828033</v>
      </c>
      <c r="F43">
        <v>0.46060796325113496</v>
      </c>
      <c r="G43">
        <v>0.41197349327286864</v>
      </c>
      <c r="H43">
        <v>0.40575218115032291</v>
      </c>
      <c r="I43">
        <v>0.40521342760766038</v>
      </c>
      <c r="J43">
        <v>0.49624763463975191</v>
      </c>
      <c r="K43">
        <v>0.50505838748092158</v>
      </c>
      <c r="L43">
        <v>0.45557016302436287</v>
      </c>
      <c r="M43">
        <v>0.43439983140319949</v>
      </c>
      <c r="N43">
        <v>0.43356491489828758</v>
      </c>
      <c r="O43">
        <v>0.42680260651714164</v>
      </c>
      <c r="Q43" t="s">
        <v>143</v>
      </c>
      <c r="R43" t="s">
        <v>100</v>
      </c>
      <c r="S43">
        <v>6.8017081367996904E-2</v>
      </c>
      <c r="T43">
        <v>4.2805643440530922E-2</v>
      </c>
      <c r="U43">
        <v>3.8280374434927121E-2</v>
      </c>
      <c r="V43">
        <v>5.1785693408269023E-2</v>
      </c>
      <c r="W43">
        <v>4.2563366504100662E-2</v>
      </c>
      <c r="X43">
        <v>3.2994255176901903E-2</v>
      </c>
      <c r="Y43">
        <v>4.9826029889748283E-2</v>
      </c>
      <c r="Z43">
        <v>5.6221835573051597E-2</v>
      </c>
      <c r="AA43">
        <v>6.0790200721625685E-2</v>
      </c>
      <c r="AB43">
        <v>3.1558168644092451E-2</v>
      </c>
      <c r="AC43">
        <v>3.3628414580277662E-2</v>
      </c>
      <c r="AD43">
        <v>2.9812827319371359E-2</v>
      </c>
      <c r="AF43" t="s">
        <v>143</v>
      </c>
      <c r="AG43" t="s">
        <v>101</v>
      </c>
      <c r="AH43">
        <v>5.3516607696235022E-2</v>
      </c>
      <c r="AI43">
        <v>5.9588532226724999E-2</v>
      </c>
      <c r="AJ43">
        <v>5.452393119978436E-2</v>
      </c>
      <c r="AK43">
        <v>4.9671091431653859E-2</v>
      </c>
      <c r="AL43">
        <v>5.0781780737241468E-2</v>
      </c>
      <c r="AM43">
        <v>5.736463408867129E-2</v>
      </c>
      <c r="AN43">
        <v>7.8295736916794922E-2</v>
      </c>
      <c r="AO43">
        <v>7.8850823064461506E-2</v>
      </c>
      <c r="AP43">
        <v>8.4593343121999204E-2</v>
      </c>
      <c r="AQ43">
        <v>4.7456895892720868E-2</v>
      </c>
      <c r="AR43">
        <v>3.6845973664263454E-2</v>
      </c>
      <c r="AS43">
        <v>5.1754667332854526E-2</v>
      </c>
      <c r="AU43" t="s">
        <v>143</v>
      </c>
      <c r="AV43" t="s">
        <v>102</v>
      </c>
      <c r="AW43">
        <v>0.20962107565518584</v>
      </c>
      <c r="AX43">
        <v>0.23526455073874245</v>
      </c>
      <c r="AY43">
        <v>0.23535294902782367</v>
      </c>
      <c r="AZ43">
        <v>0.17424071717414644</v>
      </c>
      <c r="BA43">
        <v>0.16639148697749909</v>
      </c>
      <c r="BB43">
        <v>0.17221905928146203</v>
      </c>
      <c r="BC43">
        <v>0.24899879731589469</v>
      </c>
      <c r="BD43">
        <v>0.25948953007547665</v>
      </c>
      <c r="BE43">
        <v>0.19487760952009056</v>
      </c>
      <c r="BF43">
        <v>0.20115876322024528</v>
      </c>
      <c r="BG43">
        <v>0.21912967455222368</v>
      </c>
      <c r="BH43">
        <v>0.19742414358572319</v>
      </c>
      <c r="BR43" t="s">
        <v>143</v>
      </c>
      <c r="BS43">
        <v>0.26760415123157322</v>
      </c>
      <c r="BT43">
        <v>0.2727942046435583</v>
      </c>
      <c r="BU43">
        <v>0.26373985769556518</v>
      </c>
      <c r="BV43">
        <v>0.33720348620586849</v>
      </c>
      <c r="BW43">
        <v>0.33721735904908895</v>
      </c>
      <c r="BX43">
        <v>0.33676221793717398</v>
      </c>
      <c r="BY43">
        <v>0.11570384048208066</v>
      </c>
      <c r="BZ43">
        <v>0.11138922418850965</v>
      </c>
      <c r="CA43">
        <v>0.1280899271052722</v>
      </c>
      <c r="CB43">
        <v>0.33017259732455101</v>
      </c>
      <c r="CC43">
        <v>0.30193552618490604</v>
      </c>
      <c r="CD43">
        <v>0.34236359514355774</v>
      </c>
      <c r="CF43" t="s">
        <v>144</v>
      </c>
      <c r="CG43" t="s">
        <v>108</v>
      </c>
      <c r="CH43" t="s">
        <v>109</v>
      </c>
      <c r="CI43">
        <v>0.26893431497753717</v>
      </c>
    </row>
    <row r="44" spans="2:87" x14ac:dyDescent="0.45">
      <c r="B44" t="s">
        <v>145</v>
      </c>
      <c r="C44" t="s">
        <v>99</v>
      </c>
      <c r="D44">
        <v>0.52429563120312972</v>
      </c>
      <c r="E44">
        <v>0.5143803866837896</v>
      </c>
      <c r="F44">
        <v>0.51949812158622233</v>
      </c>
      <c r="G44">
        <v>0.4878558553972161</v>
      </c>
      <c r="H44">
        <v>0.49562790036642562</v>
      </c>
      <c r="I44">
        <v>0.51629477760678233</v>
      </c>
      <c r="J44">
        <v>0.56339665631689695</v>
      </c>
      <c r="K44">
        <v>0.54486386217369998</v>
      </c>
      <c r="L44">
        <v>0.50382032506167962</v>
      </c>
      <c r="M44">
        <v>0.4610142211083047</v>
      </c>
      <c r="N44">
        <v>0.45088764771751283</v>
      </c>
      <c r="O44">
        <v>0.43420871147585172</v>
      </c>
      <c r="Q44" t="s">
        <v>145</v>
      </c>
      <c r="R44" t="s">
        <v>100</v>
      </c>
      <c r="S44">
        <v>8.672877747827723E-2</v>
      </c>
      <c r="T44">
        <v>7.6910573406371904E-2</v>
      </c>
      <c r="U44">
        <v>4.1980556817766912E-2</v>
      </c>
      <c r="V44">
        <v>2.9374864049166376E-2</v>
      </c>
      <c r="W44">
        <v>6.1324005764727137E-2</v>
      </c>
      <c r="X44">
        <v>3.3395102100616372E-2</v>
      </c>
      <c r="Y44">
        <v>8.5827448020368971E-2</v>
      </c>
      <c r="Z44">
        <v>6.9643135293293454E-2</v>
      </c>
      <c r="AA44">
        <v>8.4066284052050674E-2</v>
      </c>
      <c r="AB44">
        <v>2.9402350466591794E-2</v>
      </c>
      <c r="AC44">
        <v>5.3060471146695043E-2</v>
      </c>
      <c r="AD44">
        <v>4.5727374674280709E-2</v>
      </c>
      <c r="AF44" t="s">
        <v>145</v>
      </c>
      <c r="AG44" t="s">
        <v>101</v>
      </c>
      <c r="AH44">
        <v>4.8129031910284482E-2</v>
      </c>
      <c r="AI44">
        <v>0.10269659135532357</v>
      </c>
      <c r="AJ44">
        <v>7.3615099799223746E-2</v>
      </c>
      <c r="AK44">
        <v>3.5828697391936379E-2</v>
      </c>
      <c r="AL44">
        <v>6.1226094497156623E-2</v>
      </c>
      <c r="AM44">
        <v>6.6875363416225839E-2</v>
      </c>
      <c r="AN44">
        <v>0.10545468138078411</v>
      </c>
      <c r="AO44">
        <v>0.11688506379289525</v>
      </c>
      <c r="AP44">
        <v>9.5954454330383146E-2</v>
      </c>
      <c r="AQ44">
        <v>5.4235967670649643E-2</v>
      </c>
      <c r="AR44">
        <v>4.8619142600070608E-2</v>
      </c>
      <c r="AS44">
        <v>4.2335252179304811E-2</v>
      </c>
      <c r="AU44" t="s">
        <v>145</v>
      </c>
      <c r="AV44" t="s">
        <v>102</v>
      </c>
      <c r="AW44">
        <v>0.23956335132911871</v>
      </c>
      <c r="AX44">
        <v>0.17903277870236925</v>
      </c>
      <c r="AY44">
        <v>0.25777883237239846</v>
      </c>
      <c r="AZ44">
        <v>0.26002385618359036</v>
      </c>
      <c r="BA44">
        <v>0.209640793063883</v>
      </c>
      <c r="BB44">
        <v>0.25250106172347164</v>
      </c>
      <c r="BC44">
        <v>0.25584152890062578</v>
      </c>
      <c r="BD44">
        <v>0.2416146670954894</v>
      </c>
      <c r="BE44">
        <v>0.22058787496341506</v>
      </c>
      <c r="BF44">
        <v>0.23043505084128096</v>
      </c>
      <c r="BG44">
        <v>0.19684775904401436</v>
      </c>
      <c r="BH44">
        <v>0.18437949278152915</v>
      </c>
      <c r="BR44" t="s">
        <v>145</v>
      </c>
      <c r="BS44">
        <v>0.26629756469467086</v>
      </c>
      <c r="BT44">
        <v>0.29017725723355803</v>
      </c>
      <c r="BU44">
        <v>0.26588082781031347</v>
      </c>
      <c r="BV44">
        <v>0.32097558556502603</v>
      </c>
      <c r="BW44">
        <v>0.32040528631819737</v>
      </c>
      <c r="BX44">
        <v>0.3230818891825038</v>
      </c>
      <c r="BY44">
        <v>0.11087665922233376</v>
      </c>
      <c r="BZ44">
        <v>0.1104611926528615</v>
      </c>
      <c r="CA44">
        <v>0.10877508015002367</v>
      </c>
      <c r="CB44">
        <v>0.3160964873116297</v>
      </c>
      <c r="CC44">
        <v>0.33944022460715273</v>
      </c>
      <c r="CD44">
        <v>0.36608701822658807</v>
      </c>
      <c r="CF44" t="s">
        <v>146</v>
      </c>
      <c r="CG44" t="s">
        <v>108</v>
      </c>
      <c r="CH44" t="s">
        <v>109</v>
      </c>
      <c r="CI44">
        <v>0.52284199830823797</v>
      </c>
    </row>
    <row r="45" spans="2:87" x14ac:dyDescent="0.45">
      <c r="B45" t="s">
        <v>147</v>
      </c>
      <c r="C45" t="s">
        <v>99</v>
      </c>
      <c r="D45">
        <v>0.36170547541396775</v>
      </c>
      <c r="E45">
        <v>0.38603782787997248</v>
      </c>
      <c r="F45">
        <v>0.3541696313774062</v>
      </c>
      <c r="G45">
        <v>0.38568203082432267</v>
      </c>
      <c r="H45">
        <v>0.32816308301841024</v>
      </c>
      <c r="I45">
        <v>0.30953871674714356</v>
      </c>
      <c r="J45">
        <v>0.51162937334898706</v>
      </c>
      <c r="K45">
        <v>0.47685896936997746</v>
      </c>
      <c r="L45">
        <v>0.49771453204269206</v>
      </c>
      <c r="M45">
        <v>0.39273620179517482</v>
      </c>
      <c r="N45">
        <v>0.39670645851249792</v>
      </c>
      <c r="O45">
        <v>0.37415164698931391</v>
      </c>
      <c r="Q45" t="s">
        <v>147</v>
      </c>
      <c r="R45" t="s">
        <v>100</v>
      </c>
      <c r="S45">
        <v>3.6571945622154045E-2</v>
      </c>
      <c r="T45">
        <v>2.7136715221397656E-2</v>
      </c>
      <c r="U45">
        <v>9.6398821905514086E-3</v>
      </c>
      <c r="V45">
        <v>2.4934025637338819E-2</v>
      </c>
      <c r="W45">
        <v>2.3638556761496739E-2</v>
      </c>
      <c r="X45">
        <v>1.2651036622383602E-2</v>
      </c>
      <c r="Y45">
        <v>6.2853477619335147E-3</v>
      </c>
      <c r="Z45">
        <v>5.2142071563584254E-2</v>
      </c>
      <c r="AA45">
        <v>8.9315223990183452E-3</v>
      </c>
      <c r="AB45">
        <v>1.827698544723284E-2</v>
      </c>
      <c r="AC45">
        <v>2.4250113647732725E-2</v>
      </c>
      <c r="AD45">
        <v>1.9347542133915093E-2</v>
      </c>
      <c r="AF45" t="s">
        <v>147</v>
      </c>
      <c r="AG45" t="s">
        <v>101</v>
      </c>
      <c r="AH45">
        <v>2.1471039677248879E-2</v>
      </c>
      <c r="AI45">
        <v>4.7100187843500126E-2</v>
      </c>
      <c r="AJ45">
        <v>3.2699567430906809E-2</v>
      </c>
      <c r="AK45">
        <v>3.1444691020583559E-2</v>
      </c>
      <c r="AL45">
        <v>2.2604988763285743E-2</v>
      </c>
      <c r="AM45">
        <v>3.4463747415629416E-2</v>
      </c>
      <c r="AN45">
        <v>6.9090856445588288E-3</v>
      </c>
      <c r="AO45">
        <v>3.4747500381231651E-2</v>
      </c>
      <c r="AP45">
        <v>9.7719360710732214E-2</v>
      </c>
      <c r="AQ45">
        <v>3.5199252607657654E-2</v>
      </c>
      <c r="AR45">
        <v>2.5284277210869708E-2</v>
      </c>
      <c r="AS45">
        <v>2.0670716329773377E-2</v>
      </c>
      <c r="AU45" t="s">
        <v>147</v>
      </c>
      <c r="AV45" t="s">
        <v>102</v>
      </c>
      <c r="AW45">
        <v>0.15572891427603161</v>
      </c>
      <c r="AX45">
        <v>0.1596435641257655</v>
      </c>
      <c r="AY45">
        <v>0.17340615521114491</v>
      </c>
      <c r="AZ45">
        <v>0.18894006059612112</v>
      </c>
      <c r="BA45">
        <v>0.14325433169999197</v>
      </c>
      <c r="BB45">
        <v>0.13220665702807941</v>
      </c>
      <c r="BC45">
        <v>0.35376396969149121</v>
      </c>
      <c r="BD45">
        <v>0.25070327068890491</v>
      </c>
      <c r="BE45">
        <v>0.24228481708704203</v>
      </c>
      <c r="BF45">
        <v>0.19282937028780414</v>
      </c>
      <c r="BG45">
        <v>0.20029516590639546</v>
      </c>
      <c r="BH45">
        <v>0.1856147739764972</v>
      </c>
      <c r="BR45" t="s">
        <v>147</v>
      </c>
      <c r="BS45">
        <v>0.40115969529356793</v>
      </c>
      <c r="BT45">
        <v>0.39701263232262424</v>
      </c>
      <c r="BU45">
        <v>0.41394262614532423</v>
      </c>
      <c r="BV45">
        <v>0.40427481134315513</v>
      </c>
      <c r="BW45">
        <v>0.47114728030567116</v>
      </c>
      <c r="BX45">
        <v>0.47723910564482175</v>
      </c>
      <c r="BY45">
        <v>0.20265711540183248</v>
      </c>
      <c r="BZ45">
        <v>0.2198424868489644</v>
      </c>
      <c r="CA45">
        <v>0.25260530780481405</v>
      </c>
      <c r="CB45">
        <v>0.41793817441059644</v>
      </c>
      <c r="CC45">
        <v>0.4067098777138935</v>
      </c>
      <c r="CD45">
        <v>0.43964475919296492</v>
      </c>
      <c r="CF45" t="s">
        <v>148</v>
      </c>
      <c r="CG45" t="s">
        <v>108</v>
      </c>
      <c r="CH45" t="s">
        <v>109</v>
      </c>
      <c r="CI45">
        <v>0.39202228653146753</v>
      </c>
    </row>
    <row r="46" spans="2:87" x14ac:dyDescent="0.45">
      <c r="B46" t="s">
        <v>149</v>
      </c>
      <c r="C46" t="s">
        <v>99</v>
      </c>
      <c r="D46">
        <v>0.48716182720304352</v>
      </c>
      <c r="E46">
        <v>0.52460349651276517</v>
      </c>
      <c r="F46">
        <v>0.46315192380645764</v>
      </c>
      <c r="G46">
        <v>0.53045013926732365</v>
      </c>
      <c r="H46">
        <v>0.44343363576942957</v>
      </c>
      <c r="I46">
        <v>0.46227317637091003</v>
      </c>
      <c r="J46">
        <v>0.59941585352144056</v>
      </c>
      <c r="K46">
        <v>0.49691591647455718</v>
      </c>
      <c r="L46">
        <v>0.51765935804737517</v>
      </c>
      <c r="M46">
        <v>0.49724970506950489</v>
      </c>
      <c r="N46">
        <v>0.48079689656311686</v>
      </c>
      <c r="O46">
        <v>0.47280187042120936</v>
      </c>
      <c r="Q46" t="s">
        <v>149</v>
      </c>
      <c r="R46" t="s">
        <v>100</v>
      </c>
      <c r="S46">
        <v>7.1199695809088748E-2</v>
      </c>
      <c r="T46">
        <v>4.1714328497160384E-2</v>
      </c>
      <c r="U46">
        <v>1.9972349791519416E-2</v>
      </c>
      <c r="V46">
        <v>2.4831846979147629E-2</v>
      </c>
      <c r="W46">
        <v>4.6452303822836813E-2</v>
      </c>
      <c r="X46">
        <v>2.5857854712998975E-2</v>
      </c>
      <c r="Y46">
        <v>1.4824643962965843E-2</v>
      </c>
      <c r="Z46">
        <v>6.2897793764158702E-2</v>
      </c>
      <c r="AA46">
        <v>2.5821899743784488E-2</v>
      </c>
      <c r="AB46">
        <v>2.9213473274861772E-2</v>
      </c>
      <c r="AC46">
        <v>5.075617663744271E-2</v>
      </c>
      <c r="AD46">
        <v>1.8710514115598823E-2</v>
      </c>
      <c r="AF46" t="s">
        <v>149</v>
      </c>
      <c r="AG46" t="s">
        <v>101</v>
      </c>
      <c r="AH46">
        <v>4.3727302805343662E-2</v>
      </c>
      <c r="AI46">
        <v>8.1250820402735568E-2</v>
      </c>
      <c r="AJ46">
        <v>6.8965772923937546E-2</v>
      </c>
      <c r="AK46">
        <v>4.2266332961564852E-2</v>
      </c>
      <c r="AL46">
        <v>2.1110803301830638E-2</v>
      </c>
      <c r="AM46">
        <v>7.5816564553049567E-2</v>
      </c>
      <c r="AN46">
        <v>2.7114537086940432E-2</v>
      </c>
      <c r="AO46">
        <v>6.0181568068550281E-2</v>
      </c>
      <c r="AP46">
        <v>8.6198717374781755E-2</v>
      </c>
      <c r="AQ46">
        <v>6.7930730620792704E-2</v>
      </c>
      <c r="AR46">
        <v>3.7722447897104924E-2</v>
      </c>
      <c r="AS46">
        <v>6.6460961479047564E-2</v>
      </c>
      <c r="AU46" t="s">
        <v>149</v>
      </c>
      <c r="AV46" t="s">
        <v>102</v>
      </c>
      <c r="AW46">
        <v>0.22764018809262504</v>
      </c>
      <c r="AX46">
        <v>0.24962659468512671</v>
      </c>
      <c r="AY46">
        <v>0.22918323162141924</v>
      </c>
      <c r="AZ46">
        <v>0.31378507057068977</v>
      </c>
      <c r="BA46">
        <v>0.23764182750834614</v>
      </c>
      <c r="BB46">
        <v>0.22673934875675827</v>
      </c>
      <c r="BC46">
        <v>0.42427473775365349</v>
      </c>
      <c r="BD46">
        <v>0.25268268307827879</v>
      </c>
      <c r="BE46">
        <v>0.26631291976046861</v>
      </c>
      <c r="BF46">
        <v>0.25366566224388698</v>
      </c>
      <c r="BG46">
        <v>0.24497801369061761</v>
      </c>
      <c r="BH46">
        <v>0.24386180895789966</v>
      </c>
      <c r="BR46" t="s">
        <v>149</v>
      </c>
      <c r="BS46">
        <v>0.25069516746476034</v>
      </c>
      <c r="BT46">
        <v>0.25148942991974765</v>
      </c>
      <c r="BU46">
        <v>0.2640673101615566</v>
      </c>
      <c r="BV46">
        <v>0.22893226762765984</v>
      </c>
      <c r="BW46">
        <v>0.30168199371116278</v>
      </c>
      <c r="BX46">
        <v>0.27360586718113272</v>
      </c>
      <c r="BY46">
        <v>0.1043467518437588</v>
      </c>
      <c r="BZ46">
        <v>0.15709022685085708</v>
      </c>
      <c r="CA46">
        <v>0.16348115169271099</v>
      </c>
      <c r="CB46">
        <v>0.2179201255094485</v>
      </c>
      <c r="CC46">
        <v>0.23119749838337916</v>
      </c>
      <c r="CD46">
        <v>0.2409971148901851</v>
      </c>
      <c r="CF46" t="s">
        <v>150</v>
      </c>
      <c r="CG46" t="s">
        <v>108</v>
      </c>
      <c r="CH46" t="s">
        <v>109</v>
      </c>
      <c r="CI46">
        <v>0.3373093250733204</v>
      </c>
    </row>
    <row r="47" spans="2:87" x14ac:dyDescent="0.45">
      <c r="B47" t="s">
        <v>151</v>
      </c>
      <c r="C47" t="s">
        <v>99</v>
      </c>
      <c r="D47">
        <v>0.40303678603125714</v>
      </c>
      <c r="E47">
        <v>0.43252975337490956</v>
      </c>
      <c r="F47">
        <v>0.40509008170762245</v>
      </c>
      <c r="G47">
        <v>0.32284940200459233</v>
      </c>
      <c r="H47">
        <v>0.3205447040507079</v>
      </c>
      <c r="I47">
        <v>0.32110913982700923</v>
      </c>
      <c r="J47">
        <v>0.45842193217441596</v>
      </c>
      <c r="K47">
        <v>0.46635423982549801</v>
      </c>
      <c r="L47">
        <v>0.43103600742881598</v>
      </c>
      <c r="M47">
        <v>0.39094636304463776</v>
      </c>
      <c r="N47">
        <v>0.40718487431456096</v>
      </c>
      <c r="O47">
        <v>0.3779078605867896</v>
      </c>
      <c r="Q47" t="s">
        <v>151</v>
      </c>
      <c r="R47" t="s">
        <v>100</v>
      </c>
      <c r="S47">
        <v>3.5987005148082542E-2</v>
      </c>
      <c r="T47">
        <v>3.5460340105069377E-2</v>
      </c>
      <c r="U47">
        <v>1.7226788877019152E-2</v>
      </c>
      <c r="V47">
        <v>2.2333796048493278E-2</v>
      </c>
      <c r="W47">
        <v>3.3901826338912387E-2</v>
      </c>
      <c r="X47">
        <v>1.3849200931601408E-2</v>
      </c>
      <c r="Y47">
        <v>1.4943856472513225E-2</v>
      </c>
      <c r="Z47">
        <v>4.4453424920052498E-2</v>
      </c>
      <c r="AA47">
        <v>4.5320952346028114E-2</v>
      </c>
      <c r="AB47">
        <v>2.6238366621162596E-2</v>
      </c>
      <c r="AC47">
        <v>1.5702202563004603E-2</v>
      </c>
      <c r="AD47">
        <v>1.3340225917396137E-2</v>
      </c>
      <c r="AF47" t="s">
        <v>151</v>
      </c>
      <c r="AG47" t="s">
        <v>101</v>
      </c>
      <c r="AH47">
        <v>2.6966207099343689E-2</v>
      </c>
      <c r="AI47">
        <v>4.2008988190800692E-2</v>
      </c>
      <c r="AJ47">
        <v>5.1028909476017167E-2</v>
      </c>
      <c r="AK47">
        <v>2.4485910326402193E-2</v>
      </c>
      <c r="AL47">
        <v>1.8460547303775689E-2</v>
      </c>
      <c r="AM47">
        <v>4.2067710854881486E-2</v>
      </c>
      <c r="AN47">
        <v>4.030479170152676E-2</v>
      </c>
      <c r="AO47">
        <v>5.3057930554341506E-2</v>
      </c>
      <c r="AP47">
        <v>6.3174036647147047E-2</v>
      </c>
      <c r="AQ47">
        <v>2.3844412173371209E-2</v>
      </c>
      <c r="AR47">
        <v>3.1829818336620831E-2</v>
      </c>
      <c r="AS47">
        <v>2.4682356556473505E-2</v>
      </c>
      <c r="AU47" t="s">
        <v>151</v>
      </c>
      <c r="AV47" t="s">
        <v>102</v>
      </c>
      <c r="AW47">
        <v>0.19663189376837506</v>
      </c>
      <c r="AX47">
        <v>0.20659692311967487</v>
      </c>
      <c r="AY47">
        <v>0.19196927242294207</v>
      </c>
      <c r="AZ47">
        <v>0.14091017944315101</v>
      </c>
      <c r="BA47">
        <v>0.13173473558212473</v>
      </c>
      <c r="BB47">
        <v>0.13169549288475038</v>
      </c>
      <c r="BC47">
        <v>0.28020363926640934</v>
      </c>
      <c r="BD47">
        <v>0.23312848667417627</v>
      </c>
      <c r="BE47">
        <v>0.19363983047920302</v>
      </c>
      <c r="BF47">
        <v>0.20073302870789636</v>
      </c>
      <c r="BG47">
        <v>0.20438412531510206</v>
      </c>
      <c r="BH47">
        <v>0.20170490794027154</v>
      </c>
      <c r="BR47" t="s">
        <v>151</v>
      </c>
      <c r="BS47">
        <v>0.29435263207926848</v>
      </c>
      <c r="BT47">
        <v>0.29972818142277979</v>
      </c>
      <c r="BU47">
        <v>0.30179294721199768</v>
      </c>
      <c r="BV47">
        <v>0.33913250559887265</v>
      </c>
      <c r="BW47">
        <v>0.36704633347588561</v>
      </c>
      <c r="BX47">
        <v>0.35686360733176714</v>
      </c>
      <c r="BY47">
        <v>0.12169695341096215</v>
      </c>
      <c r="BZ47">
        <v>0.13384128582974006</v>
      </c>
      <c r="CA47">
        <v>0.14456257458076827</v>
      </c>
      <c r="CB47">
        <v>0.29379330192956976</v>
      </c>
      <c r="CC47">
        <v>0.31090819456361951</v>
      </c>
      <c r="CD47">
        <v>0.3115843517990135</v>
      </c>
      <c r="CF47" t="s">
        <v>152</v>
      </c>
      <c r="CG47" t="s">
        <v>108</v>
      </c>
      <c r="CH47" t="s">
        <v>109</v>
      </c>
      <c r="CI47">
        <v>0.34331665004962059</v>
      </c>
    </row>
    <row r="48" spans="2:87" x14ac:dyDescent="0.45">
      <c r="B48" t="s">
        <v>153</v>
      </c>
      <c r="C48" t="s">
        <v>99</v>
      </c>
      <c r="D48">
        <v>0.46290591095912814</v>
      </c>
      <c r="E48">
        <v>0.46076618763083277</v>
      </c>
      <c r="F48">
        <v>0.4571019772993587</v>
      </c>
      <c r="G48">
        <v>0.41348152589957698</v>
      </c>
      <c r="H48">
        <v>0.41022690745958679</v>
      </c>
      <c r="I48">
        <v>0.39232801020905389</v>
      </c>
      <c r="J48">
        <v>0.53818887590291309</v>
      </c>
      <c r="K48">
        <v>0.45291800646774344</v>
      </c>
      <c r="L48">
        <v>0.50092176367402264</v>
      </c>
      <c r="M48">
        <v>0.44053065307397182</v>
      </c>
      <c r="N48">
        <v>0.44311445411634676</v>
      </c>
      <c r="O48">
        <v>0.4170135239250688</v>
      </c>
      <c r="Q48" t="s">
        <v>153</v>
      </c>
      <c r="R48" t="s">
        <v>100</v>
      </c>
      <c r="S48">
        <v>5.354989680526831E-2</v>
      </c>
      <c r="T48">
        <v>6.8664733556960941E-2</v>
      </c>
      <c r="U48">
        <v>4.2359200274189789E-2</v>
      </c>
      <c r="V48">
        <v>2.8667013805760613E-2</v>
      </c>
      <c r="W48">
        <v>2.1466959069726812E-2</v>
      </c>
      <c r="X48">
        <v>5.008721018297696E-2</v>
      </c>
      <c r="Y48">
        <v>2.7883992422622531E-2</v>
      </c>
      <c r="Z48">
        <v>6.4547515185559234E-2</v>
      </c>
      <c r="AA48">
        <v>7.8581780366357948E-2</v>
      </c>
      <c r="AB48">
        <v>4.7081363829878133E-2</v>
      </c>
      <c r="AC48">
        <v>4.5402165146909257E-2</v>
      </c>
      <c r="AD48">
        <v>4.8067996295142822E-2</v>
      </c>
      <c r="AF48" t="s">
        <v>153</v>
      </c>
      <c r="AG48" t="s">
        <v>101</v>
      </c>
      <c r="AH48">
        <v>5.8677180415508894E-2</v>
      </c>
      <c r="AI48">
        <v>4.8106954729137029E-2</v>
      </c>
      <c r="AJ48">
        <v>7.2534153475632621E-2</v>
      </c>
      <c r="AK48">
        <v>5.125893525504352E-2</v>
      </c>
      <c r="AL48">
        <v>3.4038439467932016E-2</v>
      </c>
      <c r="AM48">
        <v>3.9567439927598223E-2</v>
      </c>
      <c r="AN48">
        <v>0.10104955062400668</v>
      </c>
      <c r="AO48">
        <v>5.7605609724953794E-2</v>
      </c>
      <c r="AP48">
        <v>6.0191825478566413E-2</v>
      </c>
      <c r="AQ48">
        <v>3.7717390884123306E-2</v>
      </c>
      <c r="AR48">
        <v>5.5326196032892141E-2</v>
      </c>
      <c r="AS48">
        <v>4.5503869208566042E-2</v>
      </c>
      <c r="AU48" t="s">
        <v>153</v>
      </c>
      <c r="AV48" t="s">
        <v>102</v>
      </c>
      <c r="AW48">
        <v>0.20541650192717922</v>
      </c>
      <c r="AX48">
        <v>0.1902665924911339</v>
      </c>
      <c r="AY48">
        <v>0.19186590796980263</v>
      </c>
      <c r="AZ48">
        <v>0.18244560475954058</v>
      </c>
      <c r="BA48">
        <v>0.19832592374703226</v>
      </c>
      <c r="BB48">
        <v>0.1535097285375796</v>
      </c>
      <c r="BC48">
        <v>0.29459977564668843</v>
      </c>
      <c r="BD48">
        <v>0.21321352590322443</v>
      </c>
      <c r="BE48">
        <v>0.23799320357474657</v>
      </c>
      <c r="BF48">
        <v>0.20606991298327218</v>
      </c>
      <c r="BG48">
        <v>0.19279208680228996</v>
      </c>
      <c r="BH48">
        <v>0.18011063549065637</v>
      </c>
      <c r="BR48" t="s">
        <v>153</v>
      </c>
      <c r="BS48">
        <v>0.26480526124699583</v>
      </c>
      <c r="BT48">
        <v>0.2905892921784996</v>
      </c>
      <c r="BU48">
        <v>0.28226383253630183</v>
      </c>
      <c r="BV48">
        <v>0.29975341115246207</v>
      </c>
      <c r="BW48">
        <v>0.30851939462806077</v>
      </c>
      <c r="BX48">
        <v>0.31241211964663596</v>
      </c>
      <c r="BY48">
        <v>9.5732473167869175E-2</v>
      </c>
      <c r="BZ48">
        <v>0.12318511108473024</v>
      </c>
      <c r="CA48">
        <v>0.10747128692025359</v>
      </c>
      <c r="CB48">
        <v>0.27345650588932374</v>
      </c>
      <c r="CC48">
        <v>0.27727937829453025</v>
      </c>
      <c r="CD48">
        <v>0.29721263488123512</v>
      </c>
      <c r="CF48" t="s">
        <v>154</v>
      </c>
      <c r="CG48" t="s">
        <v>108</v>
      </c>
      <c r="CH48" t="s">
        <v>109</v>
      </c>
      <c r="CI48">
        <v>0.40799102752779903</v>
      </c>
    </row>
    <row r="49" spans="2:87" x14ac:dyDescent="0.45">
      <c r="B49" t="s">
        <v>155</v>
      </c>
      <c r="C49" t="s">
        <v>99</v>
      </c>
      <c r="D49">
        <v>0.3279899875578578</v>
      </c>
      <c r="E49">
        <v>0.35578052313863129</v>
      </c>
      <c r="F49">
        <v>0.30035891687025651</v>
      </c>
      <c r="G49">
        <v>0.3251072960600016</v>
      </c>
      <c r="H49">
        <v>0.34086474361585178</v>
      </c>
      <c r="I49">
        <v>0.31592954143830598</v>
      </c>
      <c r="J49">
        <v>0.34059071884391146</v>
      </c>
      <c r="K49">
        <v>0.37913893567428186</v>
      </c>
      <c r="L49">
        <v>0.28020177849608602</v>
      </c>
      <c r="M49">
        <v>0.32977967676181641</v>
      </c>
      <c r="N49">
        <v>0.36119749176213661</v>
      </c>
      <c r="O49">
        <v>0.34288848298086555</v>
      </c>
      <c r="Q49" t="s">
        <v>155</v>
      </c>
      <c r="R49" t="s">
        <v>100</v>
      </c>
      <c r="S49">
        <v>2.7011330449171877E-2</v>
      </c>
      <c r="T49">
        <v>2.1589455675816806E-2</v>
      </c>
      <c r="U49">
        <v>3.9664011438958688E-2</v>
      </c>
      <c r="V49">
        <v>4.8941760371597497E-2</v>
      </c>
      <c r="W49">
        <v>3.3868832883000848E-2</v>
      </c>
      <c r="X49">
        <v>4.5852630170724953E-2</v>
      </c>
      <c r="Y49">
        <v>4.0505379313557334E-2</v>
      </c>
      <c r="Z49">
        <v>0.11025659833979397</v>
      </c>
      <c r="AA49">
        <v>5.5960189263244822E-2</v>
      </c>
      <c r="AB49">
        <v>3.4781111990194541E-2</v>
      </c>
      <c r="AC49">
        <v>3.4772515847903578E-2</v>
      </c>
      <c r="AD49">
        <v>3.1435553990695905E-2</v>
      </c>
      <c r="AF49" t="s">
        <v>155</v>
      </c>
      <c r="AG49" t="s">
        <v>101</v>
      </c>
      <c r="AH49">
        <v>3.8856271680622723E-2</v>
      </c>
      <c r="AI49">
        <v>2.6008069577129048E-2</v>
      </c>
      <c r="AJ49">
        <v>2.5190297948031126E-2</v>
      </c>
      <c r="AK49">
        <v>4.2617488429621257E-2</v>
      </c>
      <c r="AL49">
        <v>4.6374273488767721E-2</v>
      </c>
      <c r="AM49">
        <v>2.3728018606355181E-2</v>
      </c>
      <c r="AN49">
        <v>5.8006833471143909E-2</v>
      </c>
      <c r="AO49">
        <v>2.881187435733961E-2</v>
      </c>
      <c r="AP49">
        <v>7.5892229176066389E-2</v>
      </c>
      <c r="AQ49">
        <v>3.3957864411282838E-2</v>
      </c>
      <c r="AR49">
        <v>3.1567265897694728E-2</v>
      </c>
      <c r="AS49">
        <v>4.0100488448874094E-2</v>
      </c>
      <c r="AU49" t="s">
        <v>155</v>
      </c>
      <c r="AV49" t="s">
        <v>102</v>
      </c>
      <c r="AW49">
        <v>0.12635783025107938</v>
      </c>
      <c r="AX49">
        <v>0.17052682934986027</v>
      </c>
      <c r="AY49">
        <v>0.11630398990734503</v>
      </c>
      <c r="AZ49">
        <v>0.11524412888826104</v>
      </c>
      <c r="BA49">
        <v>0.13604378812536494</v>
      </c>
      <c r="BB49">
        <v>0.12785589555702742</v>
      </c>
      <c r="BC49">
        <v>0.13189338200903442</v>
      </c>
      <c r="BD49">
        <v>0.11731820290740386</v>
      </c>
      <c r="BE49">
        <v>3.5766609744379348E-2</v>
      </c>
      <c r="BF49">
        <v>0.13821433104227515</v>
      </c>
      <c r="BG49">
        <v>0.16086759957804414</v>
      </c>
      <c r="BH49">
        <v>0.14085607444212844</v>
      </c>
      <c r="BR49" t="s">
        <v>155</v>
      </c>
      <c r="BS49">
        <v>0.4785482779141369</v>
      </c>
      <c r="BT49">
        <v>0.42415413985721512</v>
      </c>
      <c r="BU49">
        <v>0.46671125743950787</v>
      </c>
      <c r="BV49">
        <v>0.39192343139092439</v>
      </c>
      <c r="BW49">
        <v>0.38065909494776939</v>
      </c>
      <c r="BX49">
        <v>0.38815991834902841</v>
      </c>
      <c r="BY49">
        <v>0.19761456125048135</v>
      </c>
      <c r="BZ49">
        <v>0.21212019962330272</v>
      </c>
      <c r="CA49">
        <v>0.30427603497088895</v>
      </c>
      <c r="CB49">
        <v>0.39349775344812166</v>
      </c>
      <c r="CC49">
        <v>0.38100769620739056</v>
      </c>
      <c r="CD49">
        <v>0.42244780426255646</v>
      </c>
      <c r="CF49" t="s">
        <v>156</v>
      </c>
      <c r="CG49" t="s">
        <v>108</v>
      </c>
      <c r="CH49" t="s">
        <v>109</v>
      </c>
      <c r="CI49">
        <v>0.38872356613274517</v>
      </c>
    </row>
    <row r="50" spans="2:87" x14ac:dyDescent="0.45">
      <c r="B50" t="s">
        <v>157</v>
      </c>
      <c r="C50" t="s">
        <v>99</v>
      </c>
      <c r="D50">
        <v>0.43025172233755649</v>
      </c>
      <c r="E50">
        <v>0.4618220635269763</v>
      </c>
      <c r="F50">
        <v>0.42619806008500166</v>
      </c>
      <c r="G50">
        <v>0.44084263311476696</v>
      </c>
      <c r="H50">
        <v>0.42551129359260575</v>
      </c>
      <c r="I50">
        <v>0.43674038413248517</v>
      </c>
      <c r="J50">
        <v>0.48787532697320246</v>
      </c>
      <c r="K50">
        <v>0.43143872957885376</v>
      </c>
      <c r="L50">
        <v>0.38521748780185117</v>
      </c>
      <c r="M50">
        <v>0.45345464243275252</v>
      </c>
      <c r="N50">
        <v>0.47419251639396781</v>
      </c>
      <c r="O50">
        <v>0.46179168806348847</v>
      </c>
      <c r="Q50" t="s">
        <v>157</v>
      </c>
      <c r="R50" t="s">
        <v>100</v>
      </c>
      <c r="S50">
        <v>6.9536351206879121E-2</v>
      </c>
      <c r="T50">
        <v>3.6594155817048932E-2</v>
      </c>
      <c r="U50">
        <v>5.3839991478141558E-2</v>
      </c>
      <c r="V50">
        <v>8.7296620419496262E-2</v>
      </c>
      <c r="W50">
        <v>4.771667161491757E-2</v>
      </c>
      <c r="X50">
        <v>4.4528781394760623E-2</v>
      </c>
      <c r="Y50">
        <v>7.4268530265767727E-2</v>
      </c>
      <c r="Z50">
        <v>9.2760165377070519E-2</v>
      </c>
      <c r="AA50">
        <v>0.12277234159420281</v>
      </c>
      <c r="AB50">
        <v>6.5379848031669269E-2</v>
      </c>
      <c r="AC50">
        <v>5.5519451980173828E-2</v>
      </c>
      <c r="AD50">
        <v>6.509640183728467E-2</v>
      </c>
      <c r="AF50" t="s">
        <v>157</v>
      </c>
      <c r="AG50" t="s">
        <v>101</v>
      </c>
      <c r="AH50">
        <v>8.3577635441327847E-2</v>
      </c>
      <c r="AI50">
        <v>4.860943780764871E-2</v>
      </c>
      <c r="AJ50">
        <v>4.4149849124292158E-2</v>
      </c>
      <c r="AK50">
        <v>4.263537146446103E-2</v>
      </c>
      <c r="AL50">
        <v>8.0306809154624806E-2</v>
      </c>
      <c r="AM50">
        <v>3.7751425078744211E-2</v>
      </c>
      <c r="AN50">
        <v>5.8209147952022457E-2</v>
      </c>
      <c r="AO50">
        <v>4.8152100645996176E-2</v>
      </c>
      <c r="AP50">
        <v>2.9271235275627985E-2</v>
      </c>
      <c r="AQ50">
        <v>7.4232534518493543E-2</v>
      </c>
      <c r="AR50">
        <v>6.4888196673877283E-2</v>
      </c>
      <c r="AS50">
        <v>6.0560545752282383E-2</v>
      </c>
      <c r="AU50" t="s">
        <v>157</v>
      </c>
      <c r="AV50" t="s">
        <v>102</v>
      </c>
      <c r="AW50">
        <v>0.13057290633351851</v>
      </c>
      <c r="AX50">
        <v>0.21592837074813145</v>
      </c>
      <c r="AY50">
        <v>0.1915535575943276</v>
      </c>
      <c r="AZ50">
        <v>0.17081514168788492</v>
      </c>
      <c r="BA50">
        <v>0.16537789397216096</v>
      </c>
      <c r="BB50">
        <v>0.22768886396579294</v>
      </c>
      <c r="BC50">
        <v>0.25096360737478052</v>
      </c>
      <c r="BD50">
        <v>0.17967989614625246</v>
      </c>
      <c r="BE50">
        <v>0.12722946846286387</v>
      </c>
      <c r="BF50">
        <v>0.1810089432472578</v>
      </c>
      <c r="BG50">
        <v>0.22228231798801049</v>
      </c>
      <c r="BH50">
        <v>0.20639724205857896</v>
      </c>
      <c r="BR50" t="s">
        <v>157</v>
      </c>
      <c r="BS50">
        <v>0.35331423666890865</v>
      </c>
      <c r="BT50">
        <v>0.31530959986991042</v>
      </c>
      <c r="BU50">
        <v>0.30847148857450252</v>
      </c>
      <c r="BV50">
        <v>0.25309083500320889</v>
      </c>
      <c r="BW50">
        <v>0.27375460801362667</v>
      </c>
      <c r="BX50">
        <v>0.24951961690786065</v>
      </c>
      <c r="BY50">
        <v>8.7487022028653882E-2</v>
      </c>
      <c r="BZ50">
        <v>0.12718202935648151</v>
      </c>
      <c r="CA50">
        <v>0.10350733720364244</v>
      </c>
      <c r="CB50">
        <v>0.22680766440564665</v>
      </c>
      <c r="CC50">
        <v>0.21789068063391004</v>
      </c>
      <c r="CD50">
        <v>0.24633892178906455</v>
      </c>
      <c r="CF50" t="s">
        <v>158</v>
      </c>
      <c r="CG50" t="s">
        <v>108</v>
      </c>
      <c r="CH50" t="s">
        <v>109</v>
      </c>
      <c r="CI50">
        <v>0.32464349403516257</v>
      </c>
    </row>
    <row r="51" spans="2:87" x14ac:dyDescent="0.45">
      <c r="B51" t="s">
        <v>159</v>
      </c>
      <c r="C51" t="s">
        <v>99</v>
      </c>
      <c r="D51">
        <v>0.28118020566323115</v>
      </c>
      <c r="E51">
        <v>0.28277796062445226</v>
      </c>
      <c r="F51">
        <v>0.25106643008824608</v>
      </c>
      <c r="G51">
        <v>0.28526247749035977</v>
      </c>
      <c r="H51">
        <v>0.27731031089050051</v>
      </c>
      <c r="I51">
        <v>0.27292313888325564</v>
      </c>
      <c r="J51">
        <v>0.34316930449851757</v>
      </c>
      <c r="K51">
        <v>0.37348380910624479</v>
      </c>
      <c r="L51">
        <v>0.32495717598530266</v>
      </c>
      <c r="M51">
        <v>0.29644724577218473</v>
      </c>
      <c r="N51">
        <v>0.3085899992406001</v>
      </c>
      <c r="O51">
        <v>0.30989182935803949</v>
      </c>
      <c r="Q51" t="s">
        <v>159</v>
      </c>
      <c r="R51" t="s">
        <v>100</v>
      </c>
      <c r="S51">
        <v>1.7148727514870114E-2</v>
      </c>
      <c r="T51">
        <v>1.1907521078604176E-2</v>
      </c>
      <c r="U51">
        <v>2.2193987968648899E-2</v>
      </c>
      <c r="V51">
        <v>2.3201617311741998E-2</v>
      </c>
      <c r="W51">
        <v>1.7673226177588458E-2</v>
      </c>
      <c r="X51">
        <v>1.9786117655125612E-2</v>
      </c>
      <c r="Y51">
        <v>2.5365470257422345E-2</v>
      </c>
      <c r="Z51">
        <v>2.6285887517709071E-2</v>
      </c>
      <c r="AA51">
        <v>1.9385004591488314E-2</v>
      </c>
      <c r="AB51">
        <v>2.287974562659259E-2</v>
      </c>
      <c r="AC51">
        <v>1.9882468578158896E-2</v>
      </c>
      <c r="AD51">
        <v>1.0649974473129552E-2</v>
      </c>
      <c r="AF51" t="s">
        <v>159</v>
      </c>
      <c r="AG51" t="s">
        <v>101</v>
      </c>
      <c r="AH51">
        <v>2.1239277816061913E-2</v>
      </c>
      <c r="AI51">
        <v>2.220183302564914E-2</v>
      </c>
      <c r="AJ51">
        <v>1.4207298175143802E-2</v>
      </c>
      <c r="AK51">
        <v>2.4496983666492844E-2</v>
      </c>
      <c r="AL51">
        <v>2.5854543580036773E-2</v>
      </c>
      <c r="AM51">
        <v>2.6477586412843205E-2</v>
      </c>
      <c r="AN51">
        <v>2.1990338055534509E-2</v>
      </c>
      <c r="AO51">
        <v>3.2753893253688639E-2</v>
      </c>
      <c r="AP51">
        <v>2.5744318851636975E-2</v>
      </c>
      <c r="AQ51">
        <v>1.9354233084416538E-2</v>
      </c>
      <c r="AR51">
        <v>2.9471785294579361E-2</v>
      </c>
      <c r="AS51">
        <v>3.1043798322244482E-2</v>
      </c>
      <c r="AU51" t="s">
        <v>159</v>
      </c>
      <c r="AV51" t="s">
        <v>102</v>
      </c>
      <c r="AW51">
        <v>0.10111249842920977</v>
      </c>
      <c r="AX51">
        <v>0.11458131846828543</v>
      </c>
      <c r="AY51">
        <v>9.2478890897224456E-2</v>
      </c>
      <c r="AZ51">
        <v>0.11254224472377519</v>
      </c>
      <c r="BA51">
        <v>0.11910074595686808</v>
      </c>
      <c r="BB51">
        <v>0.11005841121341016</v>
      </c>
      <c r="BC51">
        <v>0.17486990246758374</v>
      </c>
      <c r="BD51">
        <v>0.18853878831880744</v>
      </c>
      <c r="BE51">
        <v>0.16233795289542272</v>
      </c>
      <c r="BF51">
        <v>0.13078037070973006</v>
      </c>
      <c r="BG51">
        <v>0.1287121551757012</v>
      </c>
      <c r="BH51">
        <v>0.13822355211504797</v>
      </c>
      <c r="BR51" t="s">
        <v>159</v>
      </c>
      <c r="BS51">
        <v>0.58114374773207678</v>
      </c>
      <c r="BT51">
        <v>0.55215346315610192</v>
      </c>
      <c r="BU51">
        <v>0.59703416725776404</v>
      </c>
      <c r="BV51">
        <v>0.51975795265995473</v>
      </c>
      <c r="BW51">
        <v>0.48417664629453677</v>
      </c>
      <c r="BX51">
        <v>0.50838942359733963</v>
      </c>
      <c r="BY51">
        <v>0.34786554490208116</v>
      </c>
      <c r="BZ51">
        <v>0.29315400853913293</v>
      </c>
      <c r="CA51">
        <v>0.34988395214406798</v>
      </c>
      <c r="CB51">
        <v>0.50416182598348935</v>
      </c>
      <c r="CC51">
        <v>0.50241782958199876</v>
      </c>
      <c r="CD51">
        <v>0.5051697792391453</v>
      </c>
      <c r="CF51" t="s">
        <v>160</v>
      </c>
      <c r="CG51" t="s">
        <v>108</v>
      </c>
      <c r="CH51" t="s">
        <v>109</v>
      </c>
      <c r="CI51">
        <v>0.25082722318433237</v>
      </c>
    </row>
    <row r="52" spans="2:87" x14ac:dyDescent="0.45">
      <c r="B52" t="s">
        <v>161</v>
      </c>
      <c r="C52" t="s">
        <v>99</v>
      </c>
      <c r="D52">
        <v>0.28938580319200408</v>
      </c>
      <c r="E52">
        <v>0.31558724481881778</v>
      </c>
      <c r="F52">
        <v>0.276731548865635</v>
      </c>
      <c r="G52">
        <v>0.30719955730787607</v>
      </c>
      <c r="H52">
        <v>0.31808678755415887</v>
      </c>
      <c r="I52">
        <v>0.29091450596187762</v>
      </c>
      <c r="J52">
        <v>0.34390243939070941</v>
      </c>
      <c r="K52">
        <v>0.35704816253295407</v>
      </c>
      <c r="L52">
        <v>0.28401703935003675</v>
      </c>
      <c r="M52">
        <v>0.31598060250219762</v>
      </c>
      <c r="N52">
        <v>0.33306282926265102</v>
      </c>
      <c r="O52">
        <v>0.32228010178495181</v>
      </c>
      <c r="Q52" t="s">
        <v>161</v>
      </c>
      <c r="R52" t="s">
        <v>100</v>
      </c>
      <c r="S52">
        <v>1.5857654674810529E-2</v>
      </c>
      <c r="T52">
        <v>1.7835624808173998E-2</v>
      </c>
      <c r="U52">
        <v>2.5763178454395998E-2</v>
      </c>
      <c r="V52">
        <v>2.3772429734396344E-2</v>
      </c>
      <c r="W52">
        <v>1.983526280143753E-2</v>
      </c>
      <c r="X52">
        <v>2.7998216211006888E-2</v>
      </c>
      <c r="Y52">
        <v>2.398657465613872E-2</v>
      </c>
      <c r="Z52">
        <v>4.0678728000900388E-2</v>
      </c>
      <c r="AA52">
        <v>1.951417323694762E-2</v>
      </c>
      <c r="AB52">
        <v>2.7540829784693407E-2</v>
      </c>
      <c r="AC52">
        <v>2.9574036429641598E-2</v>
      </c>
      <c r="AD52">
        <v>1.3045163169030982E-2</v>
      </c>
      <c r="AF52" t="s">
        <v>161</v>
      </c>
      <c r="AG52" t="s">
        <v>101</v>
      </c>
      <c r="AH52">
        <v>2.7620640578030677E-2</v>
      </c>
      <c r="AI52">
        <v>1.7675497698539343E-2</v>
      </c>
      <c r="AJ52">
        <v>1.21832865675062E-2</v>
      </c>
      <c r="AK52">
        <v>3.2884855699232482E-2</v>
      </c>
      <c r="AL52">
        <v>2.7464278641587077E-2</v>
      </c>
      <c r="AM52">
        <v>2.7669251276099711E-2</v>
      </c>
      <c r="AN52">
        <v>2.4604362297365477E-2</v>
      </c>
      <c r="AO52">
        <v>3.1075586545562663E-2</v>
      </c>
      <c r="AP52">
        <v>2.3454899401066671E-2</v>
      </c>
      <c r="AQ52">
        <v>2.30343808301346E-2</v>
      </c>
      <c r="AR52">
        <v>3.0441080867866673E-2</v>
      </c>
      <c r="AS52">
        <v>2.8819259973659327E-2</v>
      </c>
      <c r="AU52" t="s">
        <v>161</v>
      </c>
      <c r="AV52" t="s">
        <v>102</v>
      </c>
      <c r="AW52">
        <v>0.11006401906719501</v>
      </c>
      <c r="AX52">
        <v>0.13645612065565882</v>
      </c>
      <c r="AY52">
        <v>0.10687503626395026</v>
      </c>
      <c r="AZ52">
        <v>0.12833427026399929</v>
      </c>
      <c r="BA52">
        <v>0.14825776062736601</v>
      </c>
      <c r="BB52">
        <v>0.12016571447578327</v>
      </c>
      <c r="BC52">
        <v>0.17894589826057847</v>
      </c>
      <c r="BD52">
        <v>0.15814744613929074</v>
      </c>
      <c r="BE52">
        <v>0.1315148468402958</v>
      </c>
      <c r="BF52">
        <v>0.13918775676806477</v>
      </c>
      <c r="BG52">
        <v>0.13949923877828224</v>
      </c>
      <c r="BH52">
        <v>0.14773334073672523</v>
      </c>
      <c r="BR52" t="s">
        <v>161</v>
      </c>
      <c r="BS52">
        <v>0.54488310971517495</v>
      </c>
      <c r="BT52">
        <v>0.49451541861623316</v>
      </c>
      <c r="BU52">
        <v>0.54880946725181978</v>
      </c>
      <c r="BV52">
        <v>0.46026037764504202</v>
      </c>
      <c r="BW52">
        <v>0.41892317032281784</v>
      </c>
      <c r="BX52">
        <v>0.44826680984879957</v>
      </c>
      <c r="BY52">
        <v>0.30680461448481894</v>
      </c>
      <c r="BZ52">
        <v>0.25732830715600341</v>
      </c>
      <c r="CA52">
        <v>0.35917706836805963</v>
      </c>
      <c r="CB52">
        <v>0.45240989321294811</v>
      </c>
      <c r="CC52">
        <v>0.46225012626683637</v>
      </c>
      <c r="CD52">
        <v>0.47501463756937023</v>
      </c>
      <c r="CF52" t="s">
        <v>162</v>
      </c>
      <c r="CG52" t="s">
        <v>108</v>
      </c>
      <c r="CH52" t="s">
        <v>109</v>
      </c>
      <c r="CI52">
        <v>0.35798752790735644</v>
      </c>
    </row>
    <row r="53" spans="2:87" x14ac:dyDescent="0.45">
      <c r="B53" t="s">
        <v>163</v>
      </c>
      <c r="C53" t="s">
        <v>99</v>
      </c>
      <c r="D53">
        <v>0.25190846302007286</v>
      </c>
      <c r="E53">
        <v>0.22833309285155207</v>
      </c>
      <c r="F53">
        <v>0.25652628448201892</v>
      </c>
      <c r="G53">
        <v>0.23107621081490617</v>
      </c>
      <c r="H53">
        <v>0.26339804926255034</v>
      </c>
      <c r="I53">
        <v>0.21552259863358053</v>
      </c>
      <c r="J53">
        <v>0.34665940327320161</v>
      </c>
      <c r="K53">
        <v>0.35533982164127892</v>
      </c>
      <c r="L53">
        <v>0.31145535908084271</v>
      </c>
      <c r="M53">
        <v>0.27928570850371859</v>
      </c>
      <c r="N53">
        <v>0.29670865736791441</v>
      </c>
      <c r="O53">
        <v>0.2781765683596592</v>
      </c>
      <c r="Q53" t="s">
        <v>163</v>
      </c>
      <c r="R53" t="s">
        <v>100</v>
      </c>
      <c r="S53">
        <v>1.1685296766902513E-2</v>
      </c>
      <c r="T53">
        <v>1.0787365528893367E-2</v>
      </c>
      <c r="U53">
        <v>9.5117142936669216E-3</v>
      </c>
      <c r="V53">
        <v>1.3970398650345515E-2</v>
      </c>
      <c r="W53">
        <v>1.3847308804089138E-2</v>
      </c>
      <c r="X53">
        <v>7.6117351576359005E-3</v>
      </c>
      <c r="Y53">
        <v>1.7600240747698736E-2</v>
      </c>
      <c r="Z53">
        <v>1.3600041247721552E-2</v>
      </c>
      <c r="AA53">
        <v>1.7805274253379581E-2</v>
      </c>
      <c r="AB53">
        <v>1.7337443991926986E-2</v>
      </c>
      <c r="AC53">
        <v>1.7961633939784352E-2</v>
      </c>
      <c r="AD53">
        <v>5.1621371291407777E-3</v>
      </c>
      <c r="AF53" t="s">
        <v>163</v>
      </c>
      <c r="AG53" t="s">
        <v>101</v>
      </c>
      <c r="AH53">
        <v>1.2630259285903256E-2</v>
      </c>
      <c r="AI53">
        <v>1.1858147702974005E-2</v>
      </c>
      <c r="AJ53">
        <v>2.325932960478343E-2</v>
      </c>
      <c r="AK53">
        <v>1.1058634818771349E-2</v>
      </c>
      <c r="AL53">
        <v>2.1249183534578612E-2</v>
      </c>
      <c r="AM53">
        <v>9.4345388614780964E-3</v>
      </c>
      <c r="AN53">
        <v>2.6091372276411444E-2</v>
      </c>
      <c r="AO53">
        <v>1.6358230874210341E-2</v>
      </c>
      <c r="AP53">
        <v>2.746144180148008E-2</v>
      </c>
      <c r="AQ53">
        <v>1.3418192247271626E-2</v>
      </c>
      <c r="AR53">
        <v>2.2505636786222805E-2</v>
      </c>
      <c r="AS53">
        <v>2.0272940447359375E-2</v>
      </c>
      <c r="AU53" t="s">
        <v>163</v>
      </c>
      <c r="AV53" t="s">
        <v>102</v>
      </c>
      <c r="AW53">
        <v>9.9644758267966135E-2</v>
      </c>
      <c r="AX53">
        <v>9.2614270371916274E-2</v>
      </c>
      <c r="AY53">
        <v>9.1793177553622846E-2</v>
      </c>
      <c r="AZ53">
        <v>0.10093120957999059</v>
      </c>
      <c r="BA53">
        <v>0.10607084417625771</v>
      </c>
      <c r="BB53">
        <v>9.5336062154690829E-2</v>
      </c>
      <c r="BC53">
        <v>0.16116860152591297</v>
      </c>
      <c r="BD53">
        <v>0.19008656601468474</v>
      </c>
      <c r="BE53">
        <v>0.13168709612863239</v>
      </c>
      <c r="BF53">
        <v>0.12327137746581199</v>
      </c>
      <c r="BG53">
        <v>0.12246273304406906</v>
      </c>
      <c r="BH53">
        <v>0.12532806700475543</v>
      </c>
      <c r="BR53" t="s">
        <v>163</v>
      </c>
      <c r="BS53">
        <v>0.61695148102592745</v>
      </c>
      <c r="BT53">
        <v>0.6164857140999096</v>
      </c>
      <c r="BU53">
        <v>0.61546887817347862</v>
      </c>
      <c r="BV53">
        <v>0.58219069130213086</v>
      </c>
      <c r="BW53">
        <v>0.55915775483513575</v>
      </c>
      <c r="BX53">
        <v>0.61499693565048941</v>
      </c>
      <c r="BY53">
        <v>0.42388873638485902</v>
      </c>
      <c r="BZ53">
        <v>0.40697680695378025</v>
      </c>
      <c r="CA53">
        <v>0.44448605218411158</v>
      </c>
      <c r="CB53">
        <v>0.55149777931927857</v>
      </c>
      <c r="CC53">
        <v>0.5371648556552453</v>
      </c>
      <c r="CD53">
        <v>0.56024597390642605</v>
      </c>
      <c r="CF53" t="s">
        <v>164</v>
      </c>
      <c r="CG53" t="s">
        <v>108</v>
      </c>
      <c r="CH53" t="s">
        <v>109</v>
      </c>
      <c r="CI53">
        <v>0.24989314084445235</v>
      </c>
    </row>
    <row r="54" spans="2:87" x14ac:dyDescent="0.45">
      <c r="B54" t="s">
        <v>165</v>
      </c>
      <c r="C54" t="s">
        <v>99</v>
      </c>
      <c r="D54">
        <v>0.25140269592903375</v>
      </c>
      <c r="E54">
        <v>0.25162962239749764</v>
      </c>
      <c r="F54">
        <v>0.25475628435516268</v>
      </c>
      <c r="G54">
        <v>0.26359810890033647</v>
      </c>
      <c r="H54">
        <v>0.2934233674626559</v>
      </c>
      <c r="I54">
        <v>0.26255151401644794</v>
      </c>
      <c r="J54">
        <v>0.32235696608397224</v>
      </c>
      <c r="K54">
        <v>0.34923575483168512</v>
      </c>
      <c r="L54">
        <v>0.30692709000762791</v>
      </c>
      <c r="M54">
        <v>0.31046524556200983</v>
      </c>
      <c r="N54">
        <v>0.28695596382477084</v>
      </c>
      <c r="O54">
        <v>0.27568396229446157</v>
      </c>
      <c r="Q54" t="s">
        <v>165</v>
      </c>
      <c r="R54" t="s">
        <v>100</v>
      </c>
      <c r="S54">
        <v>1.0532184724744946E-2</v>
      </c>
      <c r="T54">
        <v>1.6032300961095765E-2</v>
      </c>
      <c r="U54">
        <v>1.6848215076547046E-2</v>
      </c>
      <c r="V54">
        <v>1.1412751943910535E-2</v>
      </c>
      <c r="W54">
        <v>1.3258672385499607E-2</v>
      </c>
      <c r="X54">
        <v>1.1682014788545338E-2</v>
      </c>
      <c r="Y54">
        <v>2.3124529613305907E-2</v>
      </c>
      <c r="Z54">
        <v>1.6460602479774211E-2</v>
      </c>
      <c r="AA54">
        <v>1.6665531046824108E-2</v>
      </c>
      <c r="AB54">
        <v>1.3714765588563176E-2</v>
      </c>
      <c r="AC54">
        <v>2.0534845424809951E-2</v>
      </c>
      <c r="AD54">
        <v>8.3648259672694149E-3</v>
      </c>
      <c r="AF54" t="s">
        <v>165</v>
      </c>
      <c r="AG54" t="s">
        <v>101</v>
      </c>
      <c r="AH54">
        <v>1.5464872329904305E-2</v>
      </c>
      <c r="AI54">
        <v>1.7873173586233457E-2</v>
      </c>
      <c r="AJ54">
        <v>1.6011041259978476E-2</v>
      </c>
      <c r="AK54">
        <v>1.449673988183544E-2</v>
      </c>
      <c r="AL54">
        <v>1.6767331852227819E-2</v>
      </c>
      <c r="AM54">
        <v>1.7831495141771028E-2</v>
      </c>
      <c r="AN54">
        <v>3.761161124513774E-2</v>
      </c>
      <c r="AO54">
        <v>1.6814827703998801E-2</v>
      </c>
      <c r="AP54">
        <v>1.4268946143210892E-2</v>
      </c>
      <c r="AQ54">
        <v>8.3834808102419729E-3</v>
      </c>
      <c r="AR54">
        <v>2.1535133733226706E-2</v>
      </c>
      <c r="AS54">
        <v>2.557172650157321E-2</v>
      </c>
      <c r="AU54" t="s">
        <v>165</v>
      </c>
      <c r="AV54" t="s">
        <v>102</v>
      </c>
      <c r="AW54">
        <v>0.10567721630983885</v>
      </c>
      <c r="AX54">
        <v>9.8728508868645537E-2</v>
      </c>
      <c r="AY54">
        <v>9.7891107222221066E-2</v>
      </c>
      <c r="AZ54">
        <v>0.11276515781943136</v>
      </c>
      <c r="BA54">
        <v>0.13824419777005176</v>
      </c>
      <c r="BB54">
        <v>0.11285349823984299</v>
      </c>
      <c r="BC54">
        <v>0.13981272168524592</v>
      </c>
      <c r="BD54">
        <v>0.18092222749724815</v>
      </c>
      <c r="BE54">
        <v>0.15176309044941855</v>
      </c>
      <c r="BF54">
        <v>0.1459524291875112</v>
      </c>
      <c r="BG54">
        <v>0.1117782404314876</v>
      </c>
      <c r="BH54">
        <v>0.11391158005688531</v>
      </c>
      <c r="BR54" t="s">
        <v>165</v>
      </c>
      <c r="BS54">
        <v>0.59777751860393125</v>
      </c>
      <c r="BT54">
        <v>0.58719922415871884</v>
      </c>
      <c r="BU54">
        <v>0.59905481808150818</v>
      </c>
      <c r="BV54">
        <v>0.55530598619563709</v>
      </c>
      <c r="BW54">
        <v>0.51806561982266253</v>
      </c>
      <c r="BX54">
        <v>0.56157899777140496</v>
      </c>
      <c r="BY54">
        <v>0.42033602691769972</v>
      </c>
      <c r="BZ54">
        <v>0.40057362213359043</v>
      </c>
      <c r="CA54">
        <v>0.45548603709162871</v>
      </c>
      <c r="CB54">
        <v>0.53065889765361773</v>
      </c>
      <c r="CC54">
        <v>0.54903951008681873</v>
      </c>
      <c r="CD54">
        <v>0.56801565822787703</v>
      </c>
      <c r="CF54" t="s">
        <v>166</v>
      </c>
      <c r="CG54" t="s">
        <v>108</v>
      </c>
      <c r="CH54" t="s">
        <v>109</v>
      </c>
      <c r="CI54">
        <v>0.12383310202033802</v>
      </c>
    </row>
    <row r="55" spans="2:87" x14ac:dyDescent="0.45">
      <c r="B55" t="s">
        <v>167</v>
      </c>
      <c r="C55" t="s">
        <v>99</v>
      </c>
      <c r="D55">
        <v>0.20982848647470775</v>
      </c>
      <c r="E55">
        <v>0.19592278018044595</v>
      </c>
      <c r="F55">
        <v>0.21062717504497233</v>
      </c>
      <c r="G55">
        <v>0.19371235368190562</v>
      </c>
      <c r="H55">
        <v>0.21877572883227461</v>
      </c>
      <c r="I55">
        <v>0.19624475522254434</v>
      </c>
      <c r="J55">
        <v>0.31540738342592084</v>
      </c>
      <c r="K55">
        <v>0.32966720815533967</v>
      </c>
      <c r="L55">
        <v>0.29745850127398743</v>
      </c>
      <c r="M55">
        <v>0.28646783790203478</v>
      </c>
      <c r="N55">
        <v>0.28928185330023065</v>
      </c>
      <c r="O55">
        <v>0.27158647885811393</v>
      </c>
      <c r="Q55" t="s">
        <v>167</v>
      </c>
      <c r="R55" t="s">
        <v>100</v>
      </c>
      <c r="S55">
        <v>8.1959086127216599E-3</v>
      </c>
      <c r="T55">
        <v>9.2410053110558946E-3</v>
      </c>
      <c r="U55">
        <v>9.7719218378816888E-3</v>
      </c>
      <c r="V55">
        <v>1.1548453025005408E-2</v>
      </c>
      <c r="W55">
        <v>8.967178851173015E-3</v>
      </c>
      <c r="X55">
        <v>9.7984288320224541E-3</v>
      </c>
      <c r="Y55">
        <v>1.2811256792247186E-2</v>
      </c>
      <c r="Z55">
        <v>2.0555594789220977E-2</v>
      </c>
      <c r="AA55">
        <v>1.8647125155268087E-2</v>
      </c>
      <c r="AB55">
        <v>1.4735460626701847E-2</v>
      </c>
      <c r="AC55">
        <v>1.4104541915897705E-2</v>
      </c>
      <c r="AD55">
        <v>1.2794077431462993E-2</v>
      </c>
      <c r="AF55" t="s">
        <v>167</v>
      </c>
      <c r="AG55" t="s">
        <v>101</v>
      </c>
      <c r="AH55">
        <v>1.3490315094985413E-2</v>
      </c>
      <c r="AI55">
        <v>8.5399442406292516E-3</v>
      </c>
      <c r="AJ55">
        <v>1.4033459506489938E-2</v>
      </c>
      <c r="AK55">
        <v>1.4313839317934686E-2</v>
      </c>
      <c r="AL55">
        <v>1.2618916142011624E-2</v>
      </c>
      <c r="AM55">
        <v>8.1938359630254441E-3</v>
      </c>
      <c r="AN55">
        <v>2.5647747555276632E-2</v>
      </c>
      <c r="AO55">
        <v>2.4494982722482909E-2</v>
      </c>
      <c r="AP55">
        <v>3.5350363548069363E-2</v>
      </c>
      <c r="AQ55">
        <v>2.3976562944245862E-2</v>
      </c>
      <c r="AR55">
        <v>2.0198915285330733E-2</v>
      </c>
      <c r="AS55">
        <v>1.1460822506470809E-2</v>
      </c>
      <c r="AU55" t="s">
        <v>167</v>
      </c>
      <c r="AV55" t="s">
        <v>102</v>
      </c>
      <c r="AW55">
        <v>7.2191638810364292E-2</v>
      </c>
      <c r="AX55">
        <v>7.3613697780304022E-2</v>
      </c>
      <c r="AY55">
        <v>7.3128313425496638E-2</v>
      </c>
      <c r="AZ55">
        <v>7.3050362684186687E-2</v>
      </c>
      <c r="BA55">
        <v>8.6590320329075154E-2</v>
      </c>
      <c r="BB55">
        <v>7.7326144074019762E-2</v>
      </c>
      <c r="BC55">
        <v>0.14684817143710982</v>
      </c>
      <c r="BD55">
        <v>0.15119928762009102</v>
      </c>
      <c r="BE55">
        <v>0.11415235786329543</v>
      </c>
      <c r="BF55">
        <v>0.12511471305523378</v>
      </c>
      <c r="BG55">
        <v>0.12975812484139332</v>
      </c>
      <c r="BH55">
        <v>0.12151799238277121</v>
      </c>
      <c r="BR55" t="s">
        <v>167</v>
      </c>
      <c r="BS55">
        <v>0.68233443054114085</v>
      </c>
      <c r="BT55">
        <v>0.67659423416386255</v>
      </c>
      <c r="BU55">
        <v>0.67807498494633256</v>
      </c>
      <c r="BV55">
        <v>0.65128588798131182</v>
      </c>
      <c r="BW55">
        <v>0.63903096429659612</v>
      </c>
      <c r="BX55">
        <v>0.65337672961294546</v>
      </c>
      <c r="BY55">
        <v>0.45174003880718322</v>
      </c>
      <c r="BZ55">
        <v>0.43663230648504686</v>
      </c>
      <c r="CA55">
        <v>0.47649909221666142</v>
      </c>
      <c r="CB55">
        <v>0.54202539396388216</v>
      </c>
      <c r="CC55">
        <v>0.54441563521861958</v>
      </c>
      <c r="CD55">
        <v>0.55608660298136792</v>
      </c>
      <c r="CF55" t="s">
        <v>168</v>
      </c>
      <c r="CG55" t="s">
        <v>108</v>
      </c>
      <c r="CH55" t="s">
        <v>109</v>
      </c>
      <c r="CI55">
        <v>0.30152561885837326</v>
      </c>
    </row>
    <row r="56" spans="2:87" x14ac:dyDescent="0.45">
      <c r="B56" t="s">
        <v>169</v>
      </c>
      <c r="C56" t="s">
        <v>99</v>
      </c>
      <c r="D56">
        <v>0.23327222131243641</v>
      </c>
      <c r="E56">
        <v>0.22271869061979263</v>
      </c>
      <c r="F56">
        <v>0.22495532791775952</v>
      </c>
      <c r="G56">
        <v>0.2287393675675039</v>
      </c>
      <c r="H56">
        <v>0.2465654420318657</v>
      </c>
      <c r="I56">
        <v>0.23994881091941683</v>
      </c>
      <c r="J56">
        <v>0.32679044406902374</v>
      </c>
      <c r="K56">
        <v>0.35056865460325526</v>
      </c>
      <c r="L56">
        <v>0.31484134956765064</v>
      </c>
      <c r="M56">
        <v>0.29104584729885025</v>
      </c>
      <c r="N56">
        <v>0.29220794863828564</v>
      </c>
      <c r="O56">
        <v>0.30053266179875232</v>
      </c>
      <c r="Q56" t="s">
        <v>169</v>
      </c>
      <c r="R56" t="s">
        <v>100</v>
      </c>
      <c r="S56">
        <v>1.4239241321762765E-2</v>
      </c>
      <c r="T56">
        <v>1.3640916742283935E-2</v>
      </c>
      <c r="U56">
        <v>1.2278175819207865E-2</v>
      </c>
      <c r="V56">
        <v>1.4261211346185156E-2</v>
      </c>
      <c r="W56">
        <v>1.0705979830000082E-2</v>
      </c>
      <c r="X56">
        <v>8.5932550384454996E-3</v>
      </c>
      <c r="Y56">
        <v>1.6224616630142588E-2</v>
      </c>
      <c r="Z56">
        <v>2.1590060361538602E-2</v>
      </c>
      <c r="AA56">
        <v>2.9130652553777857E-2</v>
      </c>
      <c r="AB56">
        <v>2.2889770550703094E-2</v>
      </c>
      <c r="AC56">
        <v>1.1603067047790449E-2</v>
      </c>
      <c r="AD56">
        <v>9.0130178471024332E-3</v>
      </c>
      <c r="AF56" t="s">
        <v>169</v>
      </c>
      <c r="AG56" t="s">
        <v>101</v>
      </c>
      <c r="AH56">
        <v>1.9836779335712391E-2</v>
      </c>
      <c r="AI56">
        <v>1.5328647094599586E-2</v>
      </c>
      <c r="AJ56">
        <v>1.7759041429012468E-2</v>
      </c>
      <c r="AK56">
        <v>1.3269555800649396E-2</v>
      </c>
      <c r="AL56">
        <v>1.8264648358761192E-2</v>
      </c>
      <c r="AM56">
        <v>1.3926247446644273E-2</v>
      </c>
      <c r="AN56">
        <v>3.5016165520050616E-2</v>
      </c>
      <c r="AO56">
        <v>3.1210471914800086E-2</v>
      </c>
      <c r="AP56">
        <v>2.8772915133132831E-2</v>
      </c>
      <c r="AQ56">
        <v>2.1864147108216731E-2</v>
      </c>
      <c r="AR56">
        <v>1.8144816889264524E-2</v>
      </c>
      <c r="AS56">
        <v>1.1936915164325884E-2</v>
      </c>
      <c r="AU56" t="s">
        <v>169</v>
      </c>
      <c r="AV56" t="s">
        <v>102</v>
      </c>
      <c r="AW56">
        <v>7.9624619271304695E-2</v>
      </c>
      <c r="AX56">
        <v>8.0783223391143869E-2</v>
      </c>
      <c r="AY56">
        <v>7.855994853021156E-2</v>
      </c>
      <c r="AZ56">
        <v>8.5721998343026767E-2</v>
      </c>
      <c r="BA56">
        <v>9.2517638425230295E-2</v>
      </c>
      <c r="BB56">
        <v>9.5547849317460312E-2</v>
      </c>
      <c r="BC56">
        <v>0.14890228281658718</v>
      </c>
      <c r="BD56">
        <v>0.17038646502590807</v>
      </c>
      <c r="BE56">
        <v>0.1232955937241364</v>
      </c>
      <c r="BF56">
        <v>0.11201358616066927</v>
      </c>
      <c r="BG56">
        <v>0.13038109821823224</v>
      </c>
      <c r="BH56">
        <v>0.14434195047854803</v>
      </c>
      <c r="BR56" t="s">
        <v>169</v>
      </c>
      <c r="BS56">
        <v>0.64954635910555703</v>
      </c>
      <c r="BT56">
        <v>0.63448679459808621</v>
      </c>
      <c r="BU56">
        <v>0.65024736692506091</v>
      </c>
      <c r="BV56">
        <v>0.60694655290654131</v>
      </c>
      <c r="BW56">
        <v>0.61214274576948957</v>
      </c>
      <c r="BX56">
        <v>0.61323972932615889</v>
      </c>
      <c r="BY56">
        <v>0.41950092467297567</v>
      </c>
      <c r="BZ56">
        <v>0.36372011340943833</v>
      </c>
      <c r="CA56">
        <v>0.450072181265459</v>
      </c>
      <c r="CB56">
        <v>0.54695945579410066</v>
      </c>
      <c r="CC56">
        <v>0.5403174238618863</v>
      </c>
      <c r="CD56">
        <v>0.53602324956662883</v>
      </c>
      <c r="CF56" t="s">
        <v>170</v>
      </c>
      <c r="CG56" t="s">
        <v>108</v>
      </c>
      <c r="CH56" t="s">
        <v>109</v>
      </c>
      <c r="CI56">
        <v>0.23649694235749771</v>
      </c>
    </row>
    <row r="57" spans="2:87" x14ac:dyDescent="0.45">
      <c r="B57" t="s">
        <v>171</v>
      </c>
      <c r="C57" t="s">
        <v>99</v>
      </c>
      <c r="D57">
        <v>0.27101950123862062</v>
      </c>
      <c r="E57">
        <v>0.26579978759779355</v>
      </c>
      <c r="F57">
        <v>0.25234088548014905</v>
      </c>
      <c r="G57">
        <v>0.25912825356930858</v>
      </c>
      <c r="H57">
        <v>0.27232845079589235</v>
      </c>
      <c r="I57">
        <v>0.25189862077203262</v>
      </c>
      <c r="J57">
        <v>0.3240312185820578</v>
      </c>
      <c r="K57">
        <v>0.37415868369193717</v>
      </c>
      <c r="L57">
        <v>0.27855545689639882</v>
      </c>
      <c r="M57">
        <v>0.28846238995738771</v>
      </c>
      <c r="N57">
        <v>0.30016871425254493</v>
      </c>
      <c r="O57">
        <v>0.29577413393797175</v>
      </c>
      <c r="Q57" t="s">
        <v>171</v>
      </c>
      <c r="R57" t="s">
        <v>100</v>
      </c>
      <c r="S57">
        <v>1.2882599085816869E-2</v>
      </c>
      <c r="T57">
        <v>1.9241219524756676E-2</v>
      </c>
      <c r="U57">
        <v>2.1529029834216121E-2</v>
      </c>
      <c r="V57">
        <v>2.0782401815981299E-2</v>
      </c>
      <c r="W57">
        <v>1.9052247654910575E-2</v>
      </c>
      <c r="X57">
        <v>1.4248628877633914E-2</v>
      </c>
      <c r="Y57">
        <v>2.654941753981778E-2</v>
      </c>
      <c r="Z57">
        <v>1.8077438274065591E-2</v>
      </c>
      <c r="AA57">
        <v>2.2438800397700281E-2</v>
      </c>
      <c r="AB57">
        <v>2.6830994962466354E-2</v>
      </c>
      <c r="AC57">
        <v>1.7968817630080833E-2</v>
      </c>
      <c r="AD57">
        <v>1.8441639630557661E-2</v>
      </c>
      <c r="AF57" t="s">
        <v>171</v>
      </c>
      <c r="AG57" t="s">
        <v>101</v>
      </c>
      <c r="AH57">
        <v>2.7178538380559388E-2</v>
      </c>
      <c r="AI57">
        <v>1.8139838643612714E-2</v>
      </c>
      <c r="AJ57">
        <v>1.9029907726976068E-2</v>
      </c>
      <c r="AK57">
        <v>2.031509911385233E-2</v>
      </c>
      <c r="AL57">
        <v>2.3054680347178103E-2</v>
      </c>
      <c r="AM57">
        <v>2.7783945332374417E-2</v>
      </c>
      <c r="AN57">
        <v>2.933985502404297E-2</v>
      </c>
      <c r="AO57">
        <v>3.6193830778764507E-2</v>
      </c>
      <c r="AP57">
        <v>2.2288521685714723E-2</v>
      </c>
      <c r="AQ57">
        <v>1.9417819699333951E-2</v>
      </c>
      <c r="AR57">
        <v>3.086063794942694E-2</v>
      </c>
      <c r="AS57">
        <v>1.6770691149858429E-2</v>
      </c>
      <c r="AU57" t="s">
        <v>171</v>
      </c>
      <c r="AV57" t="s">
        <v>102</v>
      </c>
      <c r="AW57">
        <v>9.974275295793103E-2</v>
      </c>
      <c r="AX57">
        <v>9.9728561438531205E-2</v>
      </c>
      <c r="AY57">
        <v>8.5378362746517278E-2</v>
      </c>
      <c r="AZ57">
        <v>9.3349275095573447E-2</v>
      </c>
      <c r="BA57">
        <v>0.10468077776616801</v>
      </c>
      <c r="BB57">
        <v>9.4944324642913219E-2</v>
      </c>
      <c r="BC57">
        <v>0.13722763288375989</v>
      </c>
      <c r="BD57">
        <v>0.19364148151211028</v>
      </c>
      <c r="BE57">
        <v>0.12746960310448263</v>
      </c>
      <c r="BF57">
        <v>0.11121037369301905</v>
      </c>
      <c r="BG57">
        <v>0.11777737027720116</v>
      </c>
      <c r="BH57">
        <v>0.13016144535952828</v>
      </c>
      <c r="BR57" t="s">
        <v>171</v>
      </c>
      <c r="BS57">
        <v>0.5847482735451569</v>
      </c>
      <c r="BT57">
        <v>0.56552268732950151</v>
      </c>
      <c r="BU57">
        <v>0.59724554439424182</v>
      </c>
      <c r="BV57">
        <v>0.55582774992982598</v>
      </c>
      <c r="BW57">
        <v>0.52004738119392979</v>
      </c>
      <c r="BX57">
        <v>0.56249895282672269</v>
      </c>
      <c r="BY57">
        <v>0.40155489172068848</v>
      </c>
      <c r="BZ57">
        <v>0.31257513757424887</v>
      </c>
      <c r="CA57">
        <v>0.41895386775077548</v>
      </c>
      <c r="CB57">
        <v>0.52661435890020802</v>
      </c>
      <c r="CC57">
        <v>0.5123871168986992</v>
      </c>
      <c r="CD57">
        <v>0.52331299014042754</v>
      </c>
      <c r="CF57" t="s">
        <v>172</v>
      </c>
      <c r="CG57" t="s">
        <v>108</v>
      </c>
      <c r="CH57" t="s">
        <v>109</v>
      </c>
      <c r="CI57">
        <v>0.3331018829362416</v>
      </c>
    </row>
    <row r="58" spans="2:87" x14ac:dyDescent="0.45">
      <c r="B58" t="s">
        <v>140</v>
      </c>
      <c r="C58" t="s">
        <v>99</v>
      </c>
      <c r="D58">
        <v>0.41652563120367969</v>
      </c>
      <c r="E58">
        <v>0.44941781895976241</v>
      </c>
      <c r="F58">
        <v>0.40852537879633294</v>
      </c>
      <c r="G58">
        <v>0.35404510402506595</v>
      </c>
      <c r="H58">
        <v>0.42626709906220833</v>
      </c>
      <c r="I58">
        <v>0.3568429922639158</v>
      </c>
      <c r="J58">
        <v>0.36951908094946456</v>
      </c>
      <c r="K58">
        <v>0.41890732412899562</v>
      </c>
      <c r="L58">
        <v>0.35361394608148911</v>
      </c>
      <c r="M58">
        <v>0.43684940754576596</v>
      </c>
      <c r="N58">
        <v>0.45942597451013517</v>
      </c>
      <c r="O58">
        <v>0.39428579519501716</v>
      </c>
      <c r="Q58" t="s">
        <v>140</v>
      </c>
      <c r="R58" t="s">
        <v>100</v>
      </c>
      <c r="S58">
        <v>2.357968323893336E-2</v>
      </c>
      <c r="T58">
        <v>1.1434658933503128E-2</v>
      </c>
      <c r="U58">
        <v>2.8185537044407762E-2</v>
      </c>
      <c r="V58">
        <v>4.7227104218936659E-2</v>
      </c>
      <c r="W58">
        <v>4.3058386561956992E-2</v>
      </c>
      <c r="X58">
        <v>3.9619905379690692E-2</v>
      </c>
      <c r="Y58">
        <v>3.2068666667936611E-2</v>
      </c>
      <c r="Z58">
        <v>4.7142066983839381E-2</v>
      </c>
      <c r="AA58">
        <v>6.8699756605820936E-2</v>
      </c>
      <c r="AB58">
        <v>3.7216739265734752E-2</v>
      </c>
      <c r="AC58">
        <v>2.2950987151980289E-2</v>
      </c>
      <c r="AD58">
        <v>4.7294068151101293E-2</v>
      </c>
      <c r="AF58" t="s">
        <v>140</v>
      </c>
      <c r="AG58" t="s">
        <v>101</v>
      </c>
      <c r="AH58">
        <v>4.6110213059667796E-2</v>
      </c>
      <c r="AI58">
        <v>1.3091580492204512E-2</v>
      </c>
      <c r="AJ58">
        <v>6.0350201909589299E-2</v>
      </c>
      <c r="AK58">
        <v>5.4588695255422724E-2</v>
      </c>
      <c r="AL58">
        <v>9.7020678370544802E-2</v>
      </c>
      <c r="AM58">
        <v>4.9701444540982895E-2</v>
      </c>
      <c r="AN58">
        <v>5.8391213829960202E-2</v>
      </c>
      <c r="AO58">
        <v>2.1095955233277584E-2</v>
      </c>
      <c r="AP58">
        <v>3.9246247333093412E-2</v>
      </c>
      <c r="AQ58">
        <v>7.2462865362511189E-2</v>
      </c>
      <c r="AR58">
        <v>5.2801866516368971E-2</v>
      </c>
      <c r="AS58">
        <v>4.1484887385386665E-2</v>
      </c>
      <c r="AU58" t="s">
        <v>140</v>
      </c>
      <c r="AV58" t="s">
        <v>102</v>
      </c>
      <c r="AW58">
        <v>0.23265920772931797</v>
      </c>
      <c r="AX58">
        <v>0.3117464252698075</v>
      </c>
      <c r="AY58">
        <v>0.21232507409262125</v>
      </c>
      <c r="AZ58">
        <v>0.14500011025697251</v>
      </c>
      <c r="BA58">
        <v>0.17522323658424749</v>
      </c>
      <c r="BB58">
        <v>0.15707368749704137</v>
      </c>
      <c r="BC58">
        <v>0.17588644845980514</v>
      </c>
      <c r="BD58">
        <v>0.23953361345731192</v>
      </c>
      <c r="BE58">
        <v>0.13108102671352548</v>
      </c>
      <c r="BF58">
        <v>0.20541525834564514</v>
      </c>
      <c r="BG58">
        <v>0.27106244773488103</v>
      </c>
      <c r="BH58">
        <v>0.19636392352176457</v>
      </c>
      <c r="BR58" t="s">
        <v>140</v>
      </c>
      <c r="BS58">
        <v>0.18527785460867602</v>
      </c>
      <c r="BT58">
        <v>0.17791662767406535</v>
      </c>
      <c r="BU58">
        <v>0.19884478941926786</v>
      </c>
      <c r="BV58">
        <v>0.13555657107870064</v>
      </c>
      <c r="BW58">
        <v>0.12195016768231975</v>
      </c>
      <c r="BX58">
        <v>0.13273310064370719</v>
      </c>
      <c r="BY58">
        <v>8.17545915678239E-2</v>
      </c>
      <c r="BZ58">
        <v>7.0017400499544247E-2</v>
      </c>
      <c r="CA58">
        <v>9.7761244328587571E-2</v>
      </c>
      <c r="CB58">
        <v>0.18259318079664527</v>
      </c>
      <c r="CC58">
        <v>0.16359085718840266</v>
      </c>
      <c r="CD58">
        <v>0.17480221970582785</v>
      </c>
      <c r="CF58" t="s">
        <v>173</v>
      </c>
      <c r="CG58" t="s">
        <v>108</v>
      </c>
      <c r="CH58" t="s">
        <v>109</v>
      </c>
      <c r="CI58">
        <v>0.37111554050416273</v>
      </c>
    </row>
    <row r="59" spans="2:87" x14ac:dyDescent="0.45">
      <c r="B59" t="s">
        <v>142</v>
      </c>
      <c r="C59" t="s">
        <v>99</v>
      </c>
      <c r="D59">
        <v>0.45008155211654316</v>
      </c>
      <c r="E59">
        <v>0.46929532859397516</v>
      </c>
      <c r="F59">
        <v>0.42860001392154629</v>
      </c>
      <c r="G59">
        <v>0.37589702563618516</v>
      </c>
      <c r="H59">
        <v>0.41922317432171957</v>
      </c>
      <c r="I59">
        <v>0.35606893763023767</v>
      </c>
      <c r="J59">
        <v>0.36570534270044264</v>
      </c>
      <c r="K59">
        <v>0.4129753036945939</v>
      </c>
      <c r="L59">
        <v>0.31525072765535178</v>
      </c>
      <c r="M59">
        <v>0.40147214360349759</v>
      </c>
      <c r="N59">
        <v>0.44413992537986252</v>
      </c>
      <c r="O59">
        <v>0.37612826664551269</v>
      </c>
      <c r="Q59" t="s">
        <v>142</v>
      </c>
      <c r="R59" t="s">
        <v>100</v>
      </c>
      <c r="S59">
        <v>1.8290945212258308E-2</v>
      </c>
      <c r="T59">
        <v>1.1768912743698037E-2</v>
      </c>
      <c r="U59">
        <v>6.0965693932466612E-2</v>
      </c>
      <c r="V59">
        <v>6.0382774837966516E-2</v>
      </c>
      <c r="W59">
        <v>4.5419971147287908E-2</v>
      </c>
      <c r="X59">
        <v>8.5170801041892133E-2</v>
      </c>
      <c r="Y59">
        <v>4.6409205485826284E-2</v>
      </c>
      <c r="Z59">
        <v>5.0002035026486105E-2</v>
      </c>
      <c r="AA59">
        <v>6.335568494022191E-2</v>
      </c>
      <c r="AB59">
        <v>2.3068771403490923E-2</v>
      </c>
      <c r="AC59">
        <v>1.4908447332706916E-2</v>
      </c>
      <c r="AD59">
        <v>4.6163965194453815E-2</v>
      </c>
      <c r="AF59" t="s">
        <v>142</v>
      </c>
      <c r="AG59" t="s">
        <v>101</v>
      </c>
      <c r="AH59">
        <v>7.2866033292585355E-2</v>
      </c>
      <c r="AI59">
        <v>1.1913099662856573E-2</v>
      </c>
      <c r="AJ59">
        <v>2.8288186376477609E-2</v>
      </c>
      <c r="AK59">
        <v>8.8734954687257228E-2</v>
      </c>
      <c r="AL59">
        <v>4.9729931524976546E-2</v>
      </c>
      <c r="AM59">
        <v>3.1235052478446615E-2</v>
      </c>
      <c r="AN59">
        <v>5.6631742781370627E-2</v>
      </c>
      <c r="AO59">
        <v>2.6241670059781862E-2</v>
      </c>
      <c r="AP59">
        <v>2.4582909611977798E-2</v>
      </c>
      <c r="AQ59">
        <v>7.0306631285581414E-2</v>
      </c>
      <c r="AR59">
        <v>3.0540164063684389E-2</v>
      </c>
      <c r="AS59">
        <v>3.3646815620738298E-2</v>
      </c>
      <c r="AU59" t="s">
        <v>142</v>
      </c>
      <c r="AV59" t="s">
        <v>102</v>
      </c>
      <c r="AW59">
        <v>0.22435581381615449</v>
      </c>
      <c r="AX59">
        <v>0.32852611141354343</v>
      </c>
      <c r="AY59">
        <v>0.20908949163313248</v>
      </c>
      <c r="AZ59">
        <v>0.12523298516354606</v>
      </c>
      <c r="BA59">
        <v>0.21320347017260574</v>
      </c>
      <c r="BB59">
        <v>0.12336275233344565</v>
      </c>
      <c r="BC59">
        <v>0.15813355074233509</v>
      </c>
      <c r="BD59">
        <v>0.23482313420887074</v>
      </c>
      <c r="BE59">
        <v>0.1290604725385881</v>
      </c>
      <c r="BF59">
        <v>0.19049692671419582</v>
      </c>
      <c r="BG59">
        <v>0.2717944292054959</v>
      </c>
      <c r="BH59">
        <v>0.17657082575512248</v>
      </c>
      <c r="BR59" t="s">
        <v>142</v>
      </c>
      <c r="BS59">
        <v>0.2014701725366608</v>
      </c>
      <c r="BT59">
        <v>0.17815345852056294</v>
      </c>
      <c r="BU59">
        <v>0.21691296030584173</v>
      </c>
      <c r="BV59">
        <v>0.13392943321661879</v>
      </c>
      <c r="BW59">
        <v>0.1219052866367213</v>
      </c>
      <c r="BX59">
        <v>0.13796422096621175</v>
      </c>
      <c r="BY59">
        <v>9.2036944903170895E-2</v>
      </c>
      <c r="BZ59">
        <v>7.5531165935638328E-2</v>
      </c>
      <c r="CA59">
        <v>9.8530570990350633E-2</v>
      </c>
      <c r="CB59">
        <v>0.2037965054922585</v>
      </c>
      <c r="CC59">
        <v>0.19110891235554711</v>
      </c>
      <c r="CD59">
        <v>0.19646787907999369</v>
      </c>
      <c r="CF59" t="s">
        <v>174</v>
      </c>
      <c r="CG59" t="s">
        <v>108</v>
      </c>
      <c r="CH59" t="s">
        <v>109</v>
      </c>
      <c r="CI59">
        <v>0.30148895611062998</v>
      </c>
    </row>
    <row r="60" spans="2:87" x14ac:dyDescent="0.45">
      <c r="B60" t="s">
        <v>144</v>
      </c>
      <c r="C60" t="s">
        <v>99</v>
      </c>
      <c r="D60">
        <v>0.41180184475877873</v>
      </c>
      <c r="E60">
        <v>0.42239468839318423</v>
      </c>
      <c r="F60">
        <v>0.4126168053089449</v>
      </c>
      <c r="G60">
        <v>0.32925188121020083</v>
      </c>
      <c r="H60">
        <v>0.40769954202899256</v>
      </c>
      <c r="I60">
        <v>0.34494835004658031</v>
      </c>
      <c r="J60">
        <v>0.34888101102385544</v>
      </c>
      <c r="K60">
        <v>0.41825321256772524</v>
      </c>
      <c r="L60">
        <v>0.3259425361119993</v>
      </c>
      <c r="M60">
        <v>0.36904077148253994</v>
      </c>
      <c r="N60">
        <v>0.41629021786662024</v>
      </c>
      <c r="O60">
        <v>0.33814923747209263</v>
      </c>
      <c r="Q60" t="s">
        <v>144</v>
      </c>
      <c r="R60" t="s">
        <v>100</v>
      </c>
      <c r="S60">
        <v>2.1183519382231928E-2</v>
      </c>
      <c r="T60">
        <v>2.4150501281712897E-2</v>
      </c>
      <c r="U60">
        <v>3.6681410262006109E-2</v>
      </c>
      <c r="V60">
        <v>4.5584619614464993E-2</v>
      </c>
      <c r="W60">
        <v>3.6880775765464176E-2</v>
      </c>
      <c r="X60">
        <v>5.8180471666246333E-2</v>
      </c>
      <c r="Y60">
        <v>2.9711564825002146E-2</v>
      </c>
      <c r="Z60">
        <v>3.5973957554533621E-2</v>
      </c>
      <c r="AA60">
        <v>3.6706652861888553E-2</v>
      </c>
      <c r="AB60">
        <v>2.2191399010501659E-2</v>
      </c>
      <c r="AC60">
        <v>2.1666695145169043E-2</v>
      </c>
      <c r="AD60">
        <v>3.0308069727384583E-2</v>
      </c>
      <c r="AF60" t="s">
        <v>144</v>
      </c>
      <c r="AG60" t="s">
        <v>101</v>
      </c>
      <c r="AH60">
        <v>4.7007960081744495E-2</v>
      </c>
      <c r="AI60">
        <v>2.7898257762741175E-2</v>
      </c>
      <c r="AJ60">
        <v>5.0549938934563193E-2</v>
      </c>
      <c r="AK60">
        <v>8.5563855305047426E-2</v>
      </c>
      <c r="AL60">
        <v>4.0793648466529601E-2</v>
      </c>
      <c r="AM60">
        <v>5.2710592816417837E-2</v>
      </c>
      <c r="AN60">
        <v>3.9384021734328749E-2</v>
      </c>
      <c r="AO60">
        <v>2.2015858670810226E-2</v>
      </c>
      <c r="AP60">
        <v>3.5897390076527973E-2</v>
      </c>
      <c r="AQ60">
        <v>4.5518650890567926E-2</v>
      </c>
      <c r="AR60">
        <v>2.3146438115340898E-2</v>
      </c>
      <c r="AS60">
        <v>5.4978201848322895E-2</v>
      </c>
      <c r="AU60" t="s">
        <v>144</v>
      </c>
      <c r="AV60" t="s">
        <v>102</v>
      </c>
      <c r="AW60">
        <v>0.21801469447118066</v>
      </c>
      <c r="AX60">
        <v>0.24600243374099434</v>
      </c>
      <c r="AY60">
        <v>0.19434672453893309</v>
      </c>
      <c r="AZ60">
        <v>9.4833260257087257E-2</v>
      </c>
      <c r="BA60">
        <v>0.21404584804624752</v>
      </c>
      <c r="BB60">
        <v>0.12742180040819309</v>
      </c>
      <c r="BC60">
        <v>0.17676167287522296</v>
      </c>
      <c r="BD60">
        <v>0.24081058162584307</v>
      </c>
      <c r="BE60">
        <v>0.15236173172404202</v>
      </c>
      <c r="BF60">
        <v>0.18294859626688056</v>
      </c>
      <c r="BG60">
        <v>0.23408309079632691</v>
      </c>
      <c r="BH60">
        <v>0.13451398791689309</v>
      </c>
      <c r="BR60" t="s">
        <v>144</v>
      </c>
      <c r="BS60">
        <v>0.25769582349221232</v>
      </c>
      <c r="BT60">
        <v>0.23093403253391279</v>
      </c>
      <c r="BU60">
        <v>0.27327819883437487</v>
      </c>
      <c r="BV60">
        <v>0.20186425893063259</v>
      </c>
      <c r="BW60">
        <v>0.15969329017781261</v>
      </c>
      <c r="BX60">
        <v>0.19873700380840228</v>
      </c>
      <c r="BY60">
        <v>0.1434733425175071</v>
      </c>
      <c r="BZ60">
        <v>0.10576094878168346</v>
      </c>
      <c r="CA60">
        <v>0.14939904055798667</v>
      </c>
      <c r="CB60">
        <v>0.27240064223142846</v>
      </c>
      <c r="CC60">
        <v>0.24097792711636934</v>
      </c>
      <c r="CD60">
        <v>0.27249582952758</v>
      </c>
      <c r="CF60" t="s">
        <v>175</v>
      </c>
      <c r="CG60" t="s">
        <v>108</v>
      </c>
      <c r="CH60" t="s">
        <v>109</v>
      </c>
      <c r="CI60">
        <v>0.21509144806704603</v>
      </c>
    </row>
    <row r="61" spans="2:87" x14ac:dyDescent="0.45">
      <c r="B61" t="s">
        <v>146</v>
      </c>
      <c r="C61" t="s">
        <v>99</v>
      </c>
      <c r="D61">
        <v>0.25046835192040762</v>
      </c>
      <c r="E61">
        <v>0.24667452948412619</v>
      </c>
      <c r="F61">
        <v>0.2407853764142682</v>
      </c>
      <c r="G61">
        <v>0.23019532077914356</v>
      </c>
      <c r="H61">
        <v>0.25941252184746166</v>
      </c>
      <c r="I61">
        <v>0.22303179660977102</v>
      </c>
      <c r="J61">
        <v>0.31676356142799927</v>
      </c>
      <c r="K61">
        <v>0.33222930804504941</v>
      </c>
      <c r="L61">
        <v>0.28813418194600782</v>
      </c>
      <c r="M61">
        <v>0.28380086475963362</v>
      </c>
      <c r="N61">
        <v>0.29907353416562921</v>
      </c>
      <c r="O61">
        <v>0.29533709864343699</v>
      </c>
      <c r="Q61" t="s">
        <v>146</v>
      </c>
      <c r="R61" t="s">
        <v>100</v>
      </c>
      <c r="S61">
        <v>8.5612871385265538E-3</v>
      </c>
      <c r="T61">
        <v>1.1567752711275303E-2</v>
      </c>
      <c r="U61">
        <v>2.0516582290940933E-2</v>
      </c>
      <c r="V61">
        <v>1.1837088896824053E-2</v>
      </c>
      <c r="W61">
        <v>1.2459507529131745E-2</v>
      </c>
      <c r="X61">
        <v>3.911254162002587E-3</v>
      </c>
      <c r="Y61">
        <v>1.1533809573132575E-2</v>
      </c>
      <c r="Z61">
        <v>1.0848649280632332E-2</v>
      </c>
      <c r="AA61">
        <v>7.2439573317021298E-3</v>
      </c>
      <c r="AB61">
        <v>1.1234729670169547E-2</v>
      </c>
      <c r="AC61">
        <v>1.9271963798548723E-2</v>
      </c>
      <c r="AD61">
        <v>4.2234615511255354E-3</v>
      </c>
      <c r="AF61" t="s">
        <v>146</v>
      </c>
      <c r="AG61" t="s">
        <v>101</v>
      </c>
      <c r="AH61">
        <v>2.5628564768829666E-2</v>
      </c>
      <c r="AI61">
        <v>7.3707586947017083E-3</v>
      </c>
      <c r="AJ61">
        <v>2.0824842612463302E-2</v>
      </c>
      <c r="AK61">
        <v>1.3389165194793041E-2</v>
      </c>
      <c r="AL61">
        <v>2.3518504859331889E-2</v>
      </c>
      <c r="AM61">
        <v>1.6301507717533376E-2</v>
      </c>
      <c r="AN61">
        <v>2.8074704432036583E-2</v>
      </c>
      <c r="AO61">
        <v>1.2351583485901381E-2</v>
      </c>
      <c r="AP61">
        <v>2.4589408087353635E-2</v>
      </c>
      <c r="AQ61">
        <v>6.2627976929554184E-3</v>
      </c>
      <c r="AR61">
        <v>2.1681377397554491E-2</v>
      </c>
      <c r="AS61">
        <v>3.0575058718348532E-2</v>
      </c>
      <c r="AU61" t="s">
        <v>146</v>
      </c>
      <c r="AV61" t="s">
        <v>102</v>
      </c>
      <c r="AW61">
        <v>0.10890323317138237</v>
      </c>
      <c r="AX61">
        <v>0.12576034447675033</v>
      </c>
      <c r="AY61">
        <v>8.874528807165015E-2</v>
      </c>
      <c r="AZ61">
        <v>0.111128023961091</v>
      </c>
      <c r="BA61">
        <v>0.11590680124288369</v>
      </c>
      <c r="BB61">
        <v>0.11262015663926221</v>
      </c>
      <c r="BC61">
        <v>0.15951248506663623</v>
      </c>
      <c r="BD61">
        <v>0.18776752704246266</v>
      </c>
      <c r="BE61">
        <v>0.15059707969906622</v>
      </c>
      <c r="BF61">
        <v>0.14687534654475959</v>
      </c>
      <c r="BG61">
        <v>0.12894230073803981</v>
      </c>
      <c r="BH61">
        <v>0.14321310240856619</v>
      </c>
      <c r="BR61" t="s">
        <v>146</v>
      </c>
      <c r="BS61">
        <v>0.53080042301706165</v>
      </c>
      <c r="BT61">
        <v>0.51576849434805405</v>
      </c>
      <c r="BU61">
        <v>0.53517968066809174</v>
      </c>
      <c r="BV61">
        <v>0.47665624974458437</v>
      </c>
      <c r="BW61">
        <v>0.46556759735854636</v>
      </c>
      <c r="BX61">
        <v>0.4981198906390058</v>
      </c>
      <c r="BY61">
        <v>0.34783875793181634</v>
      </c>
      <c r="BZ61">
        <v>0.32521719851096254</v>
      </c>
      <c r="CA61">
        <v>0.37620697327901786</v>
      </c>
      <c r="CB61">
        <v>0.47603421213630737</v>
      </c>
      <c r="CC61">
        <v>0.46541344780009225</v>
      </c>
      <c r="CD61">
        <v>0.47339844738763437</v>
      </c>
      <c r="CF61" t="s">
        <v>176</v>
      </c>
      <c r="CG61" t="s">
        <v>108</v>
      </c>
      <c r="CH61" t="s">
        <v>109</v>
      </c>
      <c r="CI61">
        <v>0.26123707499700927</v>
      </c>
    </row>
    <row r="62" spans="2:87" x14ac:dyDescent="0.45">
      <c r="B62" t="s">
        <v>148</v>
      </c>
      <c r="C62" t="s">
        <v>99</v>
      </c>
      <c r="D62">
        <v>0.29772667332814012</v>
      </c>
      <c r="E62">
        <v>0.32740595048764548</v>
      </c>
      <c r="F62">
        <v>0.28749341557014085</v>
      </c>
      <c r="G62">
        <v>0.26583400639283228</v>
      </c>
      <c r="H62">
        <v>0.30796052132532131</v>
      </c>
      <c r="I62">
        <v>0.25682825133714904</v>
      </c>
      <c r="J62">
        <v>0.28444349241745409</v>
      </c>
      <c r="K62">
        <v>0.36402045057887139</v>
      </c>
      <c r="L62">
        <v>0.25936866856395341</v>
      </c>
      <c r="M62">
        <v>0.31251131335085269</v>
      </c>
      <c r="N62">
        <v>0.32986504257668137</v>
      </c>
      <c r="O62">
        <v>0.31411079685015603</v>
      </c>
      <c r="Q62" t="s">
        <v>148</v>
      </c>
      <c r="R62" t="s">
        <v>100</v>
      </c>
      <c r="S62">
        <v>1.5131040347947027E-2</v>
      </c>
      <c r="T62">
        <v>1.5933082833785021E-2</v>
      </c>
      <c r="U62">
        <v>3.3759906549178077E-2</v>
      </c>
      <c r="V62">
        <v>1.5748053077125592E-2</v>
      </c>
      <c r="W62">
        <v>2.9185746996680011E-2</v>
      </c>
      <c r="X62">
        <v>1.7201071431953971E-2</v>
      </c>
      <c r="Y62">
        <v>2.3652089382553858E-2</v>
      </c>
      <c r="Z62">
        <v>3.0494484746055109E-2</v>
      </c>
      <c r="AA62">
        <v>1.1520775226000845E-2</v>
      </c>
      <c r="AB62">
        <v>7.3595423145282812E-3</v>
      </c>
      <c r="AC62">
        <v>3.0051621916060194E-2</v>
      </c>
      <c r="AD62">
        <v>9.0869507524272228E-3</v>
      </c>
      <c r="AF62" t="s">
        <v>148</v>
      </c>
      <c r="AG62" t="s">
        <v>101</v>
      </c>
      <c r="AH62">
        <v>4.0936407950849102E-2</v>
      </c>
      <c r="AI62">
        <v>1.4874105086477374E-2</v>
      </c>
      <c r="AJ62">
        <v>3.0856002746874344E-2</v>
      </c>
      <c r="AK62">
        <v>3.2973775341047298E-2</v>
      </c>
      <c r="AL62">
        <v>2.9394502753312759E-2</v>
      </c>
      <c r="AM62">
        <v>4.5770657152078877E-2</v>
      </c>
      <c r="AN62">
        <v>2.9264905950059969E-2</v>
      </c>
      <c r="AO62">
        <v>2.9158520712992627E-2</v>
      </c>
      <c r="AP62">
        <v>3.2315232468698767E-2</v>
      </c>
      <c r="AQ62">
        <v>9.6754471642933673E-3</v>
      </c>
      <c r="AR62">
        <v>2.7935280621228069E-2</v>
      </c>
      <c r="AS62">
        <v>4.8019172698666873E-2</v>
      </c>
      <c r="AU62" t="s">
        <v>148</v>
      </c>
      <c r="AV62" t="s">
        <v>102</v>
      </c>
      <c r="AW62">
        <v>0.12910558976099973</v>
      </c>
      <c r="AX62">
        <v>0.17734702137021</v>
      </c>
      <c r="AY62">
        <v>0.10886473280650948</v>
      </c>
      <c r="AZ62">
        <v>0.11654543791007375</v>
      </c>
      <c r="BA62">
        <v>0.13017241296560644</v>
      </c>
      <c r="BB62">
        <v>0.10095611507771574</v>
      </c>
      <c r="BC62">
        <v>0.12547079846627779</v>
      </c>
      <c r="BD62">
        <v>0.18572320007686113</v>
      </c>
      <c r="BE62">
        <v>0.12455991163425655</v>
      </c>
      <c r="BF62">
        <v>0.18293474825745781</v>
      </c>
      <c r="BG62">
        <v>0.14761096677065647</v>
      </c>
      <c r="BH62">
        <v>0.14197981537822377</v>
      </c>
      <c r="BR62" t="s">
        <v>148</v>
      </c>
      <c r="BS62">
        <v>0.39885329602653091</v>
      </c>
      <c r="BT62">
        <v>0.36874555936231762</v>
      </c>
      <c r="BU62">
        <v>0.39589366914115792</v>
      </c>
      <c r="BV62">
        <v>0.33271297231633756</v>
      </c>
      <c r="BW62">
        <v>0.31521351067676512</v>
      </c>
      <c r="BX62">
        <v>0.34455476325629086</v>
      </c>
      <c r="BY62">
        <v>0.24207227100318909</v>
      </c>
      <c r="BZ62">
        <v>0.20676746499405529</v>
      </c>
      <c r="CA62">
        <v>0.26156437258749737</v>
      </c>
      <c r="CB62">
        <v>0.35114644476439733</v>
      </c>
      <c r="CC62">
        <v>0.33793784949631939</v>
      </c>
      <c r="CD62">
        <v>0.3600808804623199</v>
      </c>
      <c r="CF62" t="s">
        <v>177</v>
      </c>
      <c r="CG62" t="s">
        <v>108</v>
      </c>
      <c r="CH62" t="s">
        <v>109</v>
      </c>
      <c r="CI62">
        <v>0.2454116567742361</v>
      </c>
    </row>
    <row r="63" spans="2:87" x14ac:dyDescent="0.45">
      <c r="B63" t="s">
        <v>150</v>
      </c>
      <c r="C63" t="s">
        <v>99</v>
      </c>
      <c r="D63">
        <v>0.33175638520274314</v>
      </c>
      <c r="E63">
        <v>0.35912111533652963</v>
      </c>
      <c r="F63">
        <v>0.32082484606130818</v>
      </c>
      <c r="G63">
        <v>0.28351606435637194</v>
      </c>
      <c r="H63">
        <v>0.36951211581156435</v>
      </c>
      <c r="I63">
        <v>0.29291466924591386</v>
      </c>
      <c r="J63">
        <v>0.29885585498499961</v>
      </c>
      <c r="K63">
        <v>0.38392388547887935</v>
      </c>
      <c r="L63">
        <v>0.29899186197454841</v>
      </c>
      <c r="M63">
        <v>0.33940376433126401</v>
      </c>
      <c r="N63">
        <v>0.386331639190231</v>
      </c>
      <c r="O63">
        <v>0.33530495817528699</v>
      </c>
      <c r="Q63" t="s">
        <v>150</v>
      </c>
      <c r="R63" t="s">
        <v>100</v>
      </c>
      <c r="S63">
        <v>2.5168052161231094E-2</v>
      </c>
      <c r="T63">
        <v>1.7153572644704983E-2</v>
      </c>
      <c r="U63">
        <v>3.4136526709590366E-2</v>
      </c>
      <c r="V63">
        <v>2.830139977722437E-2</v>
      </c>
      <c r="W63">
        <v>2.121284152778246E-2</v>
      </c>
      <c r="X63">
        <v>3.1440384700734049E-2</v>
      </c>
      <c r="Y63">
        <v>2.3465386056128162E-2</v>
      </c>
      <c r="Z63">
        <v>2.3338095017720002E-2</v>
      </c>
      <c r="AA63">
        <v>2.0894376773552589E-2</v>
      </c>
      <c r="AB63">
        <v>9.7153484877685412E-3</v>
      </c>
      <c r="AC63">
        <v>2.959468126415412E-2</v>
      </c>
      <c r="AD63">
        <v>2.1472602023937335E-2</v>
      </c>
      <c r="AF63" t="s">
        <v>150</v>
      </c>
      <c r="AG63" t="s">
        <v>101</v>
      </c>
      <c r="AH63">
        <v>5.0182305372898715E-2</v>
      </c>
      <c r="AI63">
        <v>2.2939481016340618E-2</v>
      </c>
      <c r="AJ63">
        <v>3.0708277594504344E-2</v>
      </c>
      <c r="AK63">
        <v>4.714123880643379E-2</v>
      </c>
      <c r="AL63">
        <v>2.2317071083677503E-2</v>
      </c>
      <c r="AM63">
        <v>2.138471918811178E-2</v>
      </c>
      <c r="AN63">
        <v>3.3980689851845408E-2</v>
      </c>
      <c r="AO63">
        <v>2.8719058772784672E-2</v>
      </c>
      <c r="AP63">
        <v>2.3542360072746349E-2</v>
      </c>
      <c r="AQ63">
        <v>2.2968800121312326E-2</v>
      </c>
      <c r="AR63">
        <v>2.5745416555758044E-2</v>
      </c>
      <c r="AS63">
        <v>3.8988454729113504E-2</v>
      </c>
      <c r="AU63" t="s">
        <v>150</v>
      </c>
      <c r="AV63" t="s">
        <v>102</v>
      </c>
      <c r="AW63">
        <v>0.13416524831448251</v>
      </c>
      <c r="AX63">
        <v>0.19168275688274955</v>
      </c>
      <c r="AY63">
        <v>0.14436353308377345</v>
      </c>
      <c r="AZ63">
        <v>0.11648188998943458</v>
      </c>
      <c r="BA63">
        <v>0.20392768539555547</v>
      </c>
      <c r="BB63">
        <v>0.14330151259067056</v>
      </c>
      <c r="BC63">
        <v>0.14145345922975369</v>
      </c>
      <c r="BD63">
        <v>0.21813764741848288</v>
      </c>
      <c r="BE63">
        <v>0.15846024819455531</v>
      </c>
      <c r="BF63">
        <v>0.19924229438127541</v>
      </c>
      <c r="BG63">
        <v>0.18638843519203635</v>
      </c>
      <c r="BH63">
        <v>0.15274231621413117</v>
      </c>
      <c r="BR63" t="s">
        <v>150</v>
      </c>
      <c r="BS63">
        <v>0.34087221739192963</v>
      </c>
      <c r="BT63">
        <v>0.31580815844036147</v>
      </c>
      <c r="BU63">
        <v>0.33837252808095741</v>
      </c>
      <c r="BV63">
        <v>0.25387650343120688</v>
      </c>
      <c r="BW63">
        <v>0.21829843375422309</v>
      </c>
      <c r="BX63">
        <v>0.25296506292385934</v>
      </c>
      <c r="BY63">
        <v>0.17159137437325606</v>
      </c>
      <c r="BZ63">
        <v>0.13914990403936908</v>
      </c>
      <c r="CA63">
        <v>0.17774788441864656</v>
      </c>
      <c r="CB63">
        <v>0.30289686639637031</v>
      </c>
      <c r="CC63">
        <v>0.27368000032462236</v>
      </c>
      <c r="CD63">
        <v>0.30747262875517539</v>
      </c>
      <c r="CF63" t="s">
        <v>178</v>
      </c>
      <c r="CG63" t="s">
        <v>108</v>
      </c>
      <c r="CH63" t="s">
        <v>109</v>
      </c>
      <c r="CI63">
        <v>0.19018248649392824</v>
      </c>
    </row>
    <row r="64" spans="2:87" x14ac:dyDescent="0.45">
      <c r="B64" t="s">
        <v>152</v>
      </c>
      <c r="C64" t="s">
        <v>99</v>
      </c>
      <c r="D64">
        <v>0.34544897675914082</v>
      </c>
      <c r="E64">
        <v>0.38131965672826612</v>
      </c>
      <c r="F64">
        <v>0.33724709363026073</v>
      </c>
      <c r="G64">
        <v>0.27383317614803998</v>
      </c>
      <c r="H64">
        <v>0.35991401186936267</v>
      </c>
      <c r="I64">
        <v>0.30125249742227228</v>
      </c>
      <c r="J64">
        <v>0.30626440149582274</v>
      </c>
      <c r="K64">
        <v>0.40633858103686565</v>
      </c>
      <c r="L64">
        <v>0.3095025936702086</v>
      </c>
      <c r="M64">
        <v>0.35991559120878064</v>
      </c>
      <c r="N64">
        <v>0.38876208499666004</v>
      </c>
      <c r="O64">
        <v>0.33883614961531855</v>
      </c>
      <c r="Q64" t="s">
        <v>152</v>
      </c>
      <c r="R64" t="s">
        <v>100</v>
      </c>
      <c r="S64">
        <v>2.2839557851371674E-2</v>
      </c>
      <c r="T64">
        <v>1.8690119078235309E-2</v>
      </c>
      <c r="U64">
        <v>2.5479683273098037E-2</v>
      </c>
      <c r="V64">
        <v>2.4248412050327239E-2</v>
      </c>
      <c r="W64">
        <v>2.7408150599470136E-2</v>
      </c>
      <c r="X64">
        <v>3.6040453281551602E-2</v>
      </c>
      <c r="Y64">
        <v>3.2935348818626496E-2</v>
      </c>
      <c r="Z64">
        <v>2.7643514310943491E-2</v>
      </c>
      <c r="AA64">
        <v>3.5797714546752624E-2</v>
      </c>
      <c r="AB64">
        <v>1.0892157264474407E-2</v>
      </c>
      <c r="AC64">
        <v>2.1280950594229409E-2</v>
      </c>
      <c r="AD64">
        <v>2.6769325060585689E-2</v>
      </c>
      <c r="AF64" t="s">
        <v>152</v>
      </c>
      <c r="AG64" t="s">
        <v>101</v>
      </c>
      <c r="AH64">
        <v>4.5921810474623563E-2</v>
      </c>
      <c r="AI64">
        <v>3.0237804095280804E-2</v>
      </c>
      <c r="AJ64">
        <v>3.6775340319970359E-2</v>
      </c>
      <c r="AK64">
        <v>4.3948632426397058E-2</v>
      </c>
      <c r="AL64">
        <v>4.1847877010428941E-2</v>
      </c>
      <c r="AM64">
        <v>1.5546128205161934E-2</v>
      </c>
      <c r="AN64">
        <v>4.1659580931171031E-2</v>
      </c>
      <c r="AO64">
        <v>3.6139583110017866E-2</v>
      </c>
      <c r="AP64">
        <v>1.8123133837359837E-2</v>
      </c>
      <c r="AQ64">
        <v>3.4956772010268956E-2</v>
      </c>
      <c r="AR64">
        <v>1.1600512990344411E-2</v>
      </c>
      <c r="AS64">
        <v>4.0641272039785674E-2</v>
      </c>
      <c r="AU64" t="s">
        <v>152</v>
      </c>
      <c r="AV64" t="s">
        <v>102</v>
      </c>
      <c r="AW64">
        <v>0.15185437540033095</v>
      </c>
      <c r="AX64">
        <v>0.20549501301461254</v>
      </c>
      <c r="AY64">
        <v>0.1541043898702513</v>
      </c>
      <c r="AZ64">
        <v>0.10366284238644458</v>
      </c>
      <c r="BA64">
        <v>0.16283266042151809</v>
      </c>
      <c r="BB64">
        <v>0.13568117432539817</v>
      </c>
      <c r="BC64">
        <v>0.11974884748577866</v>
      </c>
      <c r="BD64">
        <v>0.22135044429667347</v>
      </c>
      <c r="BE64">
        <v>0.14579036702724246</v>
      </c>
      <c r="BF64">
        <v>0.18241496949266889</v>
      </c>
      <c r="BG64">
        <v>0.22264401014037996</v>
      </c>
      <c r="BH64">
        <v>0.14431177649936211</v>
      </c>
      <c r="BR64" t="s">
        <v>152</v>
      </c>
      <c r="BS64">
        <v>0.34363826411887832</v>
      </c>
      <c r="BT64">
        <v>0.31042481803766137</v>
      </c>
      <c r="BU64">
        <v>0.35257714652076561</v>
      </c>
      <c r="BV64">
        <v>0.27508917063572402</v>
      </c>
      <c r="BW64">
        <v>0.22683703923534612</v>
      </c>
      <c r="BX64">
        <v>0.27235157302006185</v>
      </c>
      <c r="BY64">
        <v>0.2060741022064862</v>
      </c>
      <c r="BZ64">
        <v>0.14647718743465377</v>
      </c>
      <c r="CA64">
        <v>0.20253377376523615</v>
      </c>
      <c r="CB64">
        <v>0.31700451543783387</v>
      </c>
      <c r="CC64">
        <v>0.28589391085079369</v>
      </c>
      <c r="CD64">
        <v>0.33640643394491937</v>
      </c>
      <c r="CF64" t="s">
        <v>179</v>
      </c>
      <c r="CG64" t="s">
        <v>108</v>
      </c>
      <c r="CH64" t="s">
        <v>109</v>
      </c>
      <c r="CI64">
        <v>0.18549981193022885</v>
      </c>
    </row>
    <row r="65" spans="2:87" x14ac:dyDescent="0.45">
      <c r="B65" t="s">
        <v>154</v>
      </c>
      <c r="C65" t="s">
        <v>99</v>
      </c>
      <c r="D65">
        <v>0.29904331831244951</v>
      </c>
      <c r="E65">
        <v>0.33771530749840939</v>
      </c>
      <c r="F65">
        <v>0.28897099530748455</v>
      </c>
      <c r="G65">
        <v>0.25758923434160474</v>
      </c>
      <c r="H65">
        <v>0.30909427076280555</v>
      </c>
      <c r="I65">
        <v>0.27460085559226749</v>
      </c>
      <c r="J65">
        <v>0.28948407450202546</v>
      </c>
      <c r="K65">
        <v>0.35330249457159668</v>
      </c>
      <c r="L65">
        <v>0.29134909749466686</v>
      </c>
      <c r="M65">
        <v>0.32401607305049629</v>
      </c>
      <c r="N65">
        <v>0.34915589850635642</v>
      </c>
      <c r="O65">
        <v>0.31434204023325424</v>
      </c>
      <c r="Q65" t="s">
        <v>154</v>
      </c>
      <c r="R65" t="s">
        <v>100</v>
      </c>
      <c r="S65">
        <v>1.6577752036431487E-2</v>
      </c>
      <c r="T65">
        <v>2.1585742646116689E-2</v>
      </c>
      <c r="U65">
        <v>2.1709857987492132E-2</v>
      </c>
      <c r="V65">
        <v>1.8001741567398758E-2</v>
      </c>
      <c r="W65">
        <v>1.6650907685131833E-2</v>
      </c>
      <c r="X65">
        <v>2.4788686868870081E-2</v>
      </c>
      <c r="Y65">
        <v>2.4062624770617384E-2</v>
      </c>
      <c r="Z65">
        <v>1.9315217991926995E-2</v>
      </c>
      <c r="AA65">
        <v>1.8455634767475658E-2</v>
      </c>
      <c r="AB65">
        <v>1.4447762813528957E-2</v>
      </c>
      <c r="AC65">
        <v>2.3906240108592606E-2</v>
      </c>
      <c r="AD65">
        <v>1.3351570915636274E-2</v>
      </c>
      <c r="AF65" t="s">
        <v>154</v>
      </c>
      <c r="AG65" t="s">
        <v>101</v>
      </c>
      <c r="AH65">
        <v>3.3488603469911692E-2</v>
      </c>
      <c r="AI65">
        <v>1.7242156393408998E-2</v>
      </c>
      <c r="AJ65">
        <v>3.7160865834951283E-2</v>
      </c>
      <c r="AK65">
        <v>3.6444254726202892E-2</v>
      </c>
      <c r="AL65">
        <v>3.125912010861942E-2</v>
      </c>
      <c r="AM65">
        <v>1.352146176444082E-2</v>
      </c>
      <c r="AN65">
        <v>3.5206986801036601E-2</v>
      </c>
      <c r="AO65">
        <v>2.7114621964024477E-2</v>
      </c>
      <c r="AP65">
        <v>2.9256267693597005E-2</v>
      </c>
      <c r="AQ65">
        <v>1.8309395058749327E-2</v>
      </c>
      <c r="AR65">
        <v>1.9383655642568401E-2</v>
      </c>
      <c r="AS65">
        <v>3.0293567336641607E-2</v>
      </c>
      <c r="AU65" t="s">
        <v>154</v>
      </c>
      <c r="AV65" t="s">
        <v>102</v>
      </c>
      <c r="AW65">
        <v>0.13947838206770094</v>
      </c>
      <c r="AX65">
        <v>0.17881539123468107</v>
      </c>
      <c r="AY65">
        <v>0.11802349633697902</v>
      </c>
      <c r="AZ65">
        <v>0.1122544357186282</v>
      </c>
      <c r="BA65">
        <v>0.1536321035169437</v>
      </c>
      <c r="BB65">
        <v>0.13967738238779118</v>
      </c>
      <c r="BC65">
        <v>0.12480666682580398</v>
      </c>
      <c r="BD65">
        <v>0.18909408881322787</v>
      </c>
      <c r="BE65">
        <v>0.14321798546839662</v>
      </c>
      <c r="BF65">
        <v>0.16374494796526765</v>
      </c>
      <c r="BG65">
        <v>0.16831245704710585</v>
      </c>
      <c r="BH65">
        <v>0.1472432830064318</v>
      </c>
      <c r="BR65" t="s">
        <v>154</v>
      </c>
      <c r="BS65">
        <v>0.41605961755995297</v>
      </c>
      <c r="BT65">
        <v>0.38437726851004578</v>
      </c>
      <c r="BU65">
        <v>0.42590448328317199</v>
      </c>
      <c r="BV65">
        <v>0.33572865989498146</v>
      </c>
      <c r="BW65">
        <v>0.30856058118027213</v>
      </c>
      <c r="BX65">
        <v>0.32780416977979321</v>
      </c>
      <c r="BY65">
        <v>0.25274440262131642</v>
      </c>
      <c r="BZ65">
        <v>0.20562854276221973</v>
      </c>
      <c r="CA65">
        <v>0.26660687517812182</v>
      </c>
      <c r="CB65">
        <v>0.36339050820976954</v>
      </c>
      <c r="CC65">
        <v>0.34757577553105229</v>
      </c>
      <c r="CD65">
        <v>0.38370087768967071</v>
      </c>
      <c r="CF65" t="s">
        <v>180</v>
      </c>
      <c r="CG65" t="s">
        <v>108</v>
      </c>
      <c r="CH65" t="s">
        <v>109</v>
      </c>
      <c r="CI65">
        <v>0.27373889483645858</v>
      </c>
    </row>
    <row r="66" spans="2:87" x14ac:dyDescent="0.45">
      <c r="B66" t="s">
        <v>156</v>
      </c>
      <c r="C66" t="s">
        <v>99</v>
      </c>
      <c r="D66">
        <v>0.32113505832967637</v>
      </c>
      <c r="E66">
        <v>0.36563530708477682</v>
      </c>
      <c r="F66">
        <v>0.30832034592043261</v>
      </c>
      <c r="G66">
        <v>0.29596360114292597</v>
      </c>
      <c r="H66">
        <v>0.33504280172213569</v>
      </c>
      <c r="I66">
        <v>0.31909091241937371</v>
      </c>
      <c r="J66">
        <v>0.29770995328283845</v>
      </c>
      <c r="K66">
        <v>0.37987488126531144</v>
      </c>
      <c r="L66">
        <v>0.32669800869135135</v>
      </c>
      <c r="M66">
        <v>0.33298576097834159</v>
      </c>
      <c r="N66">
        <v>0.3727465920545856</v>
      </c>
      <c r="O66">
        <v>0.31788046186460045</v>
      </c>
      <c r="Q66" t="s">
        <v>156</v>
      </c>
      <c r="R66" t="s">
        <v>100</v>
      </c>
      <c r="S66">
        <v>2.2102495192693035E-2</v>
      </c>
      <c r="T66">
        <v>1.9576819266300224E-2</v>
      </c>
      <c r="U66">
        <v>2.8925768668249516E-2</v>
      </c>
      <c r="V66">
        <v>3.5908174003229862E-2</v>
      </c>
      <c r="W66">
        <v>3.1340891254706141E-2</v>
      </c>
      <c r="X66">
        <v>2.9110653603572918E-2</v>
      </c>
      <c r="Y66">
        <v>3.5113241628955072E-2</v>
      </c>
      <c r="Z66">
        <v>3.0532084703312153E-2</v>
      </c>
      <c r="AA66">
        <v>4.2935926051956529E-2</v>
      </c>
      <c r="AB66">
        <v>1.7109884368115506E-2</v>
      </c>
      <c r="AC66">
        <v>2.5124252884970135E-2</v>
      </c>
      <c r="AD66">
        <v>4.0463534157969598E-2</v>
      </c>
      <c r="AF66" t="s">
        <v>156</v>
      </c>
      <c r="AG66" t="s">
        <v>101</v>
      </c>
      <c r="AH66">
        <v>4.0196048148849341E-2</v>
      </c>
      <c r="AI66">
        <v>2.7653254119230208E-2</v>
      </c>
      <c r="AJ66">
        <v>3.4595569085142726E-2</v>
      </c>
      <c r="AK66">
        <v>5.0277952569580196E-2</v>
      </c>
      <c r="AL66">
        <v>3.5595132953212393E-2</v>
      </c>
      <c r="AM66">
        <v>4.6802043596617084E-2</v>
      </c>
      <c r="AN66">
        <v>3.1337224532701262E-2</v>
      </c>
      <c r="AO66">
        <v>4.1596492410244344E-2</v>
      </c>
      <c r="AP66">
        <v>1.5279561717566744E-2</v>
      </c>
      <c r="AQ66">
        <v>4.1926248300356073E-2</v>
      </c>
      <c r="AR66">
        <v>3.2157783030008422E-2</v>
      </c>
      <c r="AS66">
        <v>2.7344353724839867E-2</v>
      </c>
      <c r="AU66" t="s">
        <v>156</v>
      </c>
      <c r="AV66" t="s">
        <v>102</v>
      </c>
      <c r="AW66">
        <v>0.13510226528719779</v>
      </c>
      <c r="AX66">
        <v>0.19094071082560238</v>
      </c>
      <c r="AY66">
        <v>0.13862286785876285</v>
      </c>
      <c r="AZ66">
        <v>0.10020912207229242</v>
      </c>
      <c r="BA66">
        <v>0.14867261489719977</v>
      </c>
      <c r="BB66">
        <v>0.12834082046157899</v>
      </c>
      <c r="BC66">
        <v>0.12180323789846019</v>
      </c>
      <c r="BD66">
        <v>0.19928535010663323</v>
      </c>
      <c r="BE66">
        <v>0.16262257377965003</v>
      </c>
      <c r="BF66">
        <v>0.14960806098621354</v>
      </c>
      <c r="BG66">
        <v>0.18039988993590633</v>
      </c>
      <c r="BH66">
        <v>0.12253789972214106</v>
      </c>
      <c r="BR66" t="s">
        <v>156</v>
      </c>
      <c r="BS66">
        <v>0.39391699980975647</v>
      </c>
      <c r="BT66">
        <v>0.35268958971661429</v>
      </c>
      <c r="BU66">
        <v>0.3989159883305346</v>
      </c>
      <c r="BV66">
        <v>0.30947515115309032</v>
      </c>
      <c r="BW66">
        <v>0.2696231457988516</v>
      </c>
      <c r="BX66">
        <v>0.29962210282366131</v>
      </c>
      <c r="BY66">
        <v>0.23239347768501231</v>
      </c>
      <c r="BZ66">
        <v>0.16759033481651642</v>
      </c>
      <c r="CA66">
        <v>0.21823231904534801</v>
      </c>
      <c r="CB66">
        <v>0.3536451186989425</v>
      </c>
      <c r="CC66">
        <v>0.32345217646110286</v>
      </c>
      <c r="CD66">
        <v>0.37818507894074072</v>
      </c>
      <c r="CF66" t="s">
        <v>181</v>
      </c>
      <c r="CG66" t="s">
        <v>108</v>
      </c>
      <c r="CH66" t="s">
        <v>109</v>
      </c>
      <c r="CI66">
        <v>0.23527892406365636</v>
      </c>
    </row>
    <row r="67" spans="2:87" x14ac:dyDescent="0.45">
      <c r="B67" t="s">
        <v>158</v>
      </c>
      <c r="C67" t="s">
        <v>99</v>
      </c>
      <c r="D67">
        <v>0.35725604913465409</v>
      </c>
      <c r="E67">
        <v>0.38590020873810249</v>
      </c>
      <c r="F67">
        <v>0.3413434938329642</v>
      </c>
      <c r="G67">
        <v>0.30043871068172123</v>
      </c>
      <c r="H67">
        <v>0.38056031004587182</v>
      </c>
      <c r="I67">
        <v>0.31164391391960627</v>
      </c>
      <c r="J67">
        <v>0.31320189163744888</v>
      </c>
      <c r="K67">
        <v>0.40959463493381998</v>
      </c>
      <c r="L67">
        <v>0.32496894151317546</v>
      </c>
      <c r="M67">
        <v>0.35156652596916932</v>
      </c>
      <c r="N67">
        <v>0.39932205684673644</v>
      </c>
      <c r="O67">
        <v>0.3359418352417719</v>
      </c>
      <c r="Q67" t="s">
        <v>158</v>
      </c>
      <c r="R67" t="s">
        <v>100</v>
      </c>
      <c r="S67">
        <v>2.074473993768608E-2</v>
      </c>
      <c r="T67">
        <v>1.9295647088788195E-2</v>
      </c>
      <c r="U67">
        <v>2.2844196632857836E-2</v>
      </c>
      <c r="V67">
        <v>3.0835201022431907E-2</v>
      </c>
      <c r="W67">
        <v>2.4990039774603717E-2</v>
      </c>
      <c r="X67">
        <v>2.8346252101946388E-2</v>
      </c>
      <c r="Y67">
        <v>1.8863819151558707E-2</v>
      </c>
      <c r="Z67">
        <v>4.5718062904218898E-2</v>
      </c>
      <c r="AA67">
        <v>5.175494859123541E-2</v>
      </c>
      <c r="AB67">
        <v>2.404559101994113E-2</v>
      </c>
      <c r="AC67">
        <v>2.3704736354043045E-2</v>
      </c>
      <c r="AD67">
        <v>3.3629261753135999E-2</v>
      </c>
      <c r="AF67" t="s">
        <v>158</v>
      </c>
      <c r="AG67" t="s">
        <v>101</v>
      </c>
      <c r="AH67">
        <v>2.6289167485792075E-2</v>
      </c>
      <c r="AI67">
        <v>2.2694794011119089E-2</v>
      </c>
      <c r="AJ67">
        <v>5.5315085115508013E-2</v>
      </c>
      <c r="AK67">
        <v>6.4304359200151276E-2</v>
      </c>
      <c r="AL67">
        <v>4.9816423692484096E-2</v>
      </c>
      <c r="AM67">
        <v>8.6012015932115261E-3</v>
      </c>
      <c r="AN67">
        <v>3.9983141432013578E-2</v>
      </c>
      <c r="AO67">
        <v>4.545083836851329E-2</v>
      </c>
      <c r="AP67">
        <v>2.830084185155423E-2</v>
      </c>
      <c r="AQ67">
        <v>4.4404892364640083E-2</v>
      </c>
      <c r="AR67">
        <v>4.3255701896090813E-2</v>
      </c>
      <c r="AS67">
        <v>3.1418115207786805E-2</v>
      </c>
      <c r="AU67" t="s">
        <v>158</v>
      </c>
      <c r="AV67" t="s">
        <v>102</v>
      </c>
      <c r="AW67">
        <v>0.19060320998060379</v>
      </c>
      <c r="AX67">
        <v>0.2250056787646792</v>
      </c>
      <c r="AY67">
        <v>0.15336359768643845</v>
      </c>
      <c r="AZ67">
        <v>9.8070001657739408E-2</v>
      </c>
      <c r="BA67">
        <v>0.1815975718196583</v>
      </c>
      <c r="BB67">
        <v>0.17145467100407211</v>
      </c>
      <c r="BC67">
        <v>0.14159657685903457</v>
      </c>
      <c r="BD67">
        <v>0.19644989510067482</v>
      </c>
      <c r="BE67">
        <v>0.13244835958975396</v>
      </c>
      <c r="BF67">
        <v>0.1615529398230981</v>
      </c>
      <c r="BG67">
        <v>0.20430298787851017</v>
      </c>
      <c r="BH67">
        <v>0.14683204645780429</v>
      </c>
      <c r="BR67" t="s">
        <v>158</v>
      </c>
      <c r="BS67">
        <v>0.33247212083490857</v>
      </c>
      <c r="BT67">
        <v>0.29627847156955855</v>
      </c>
      <c r="BU67">
        <v>0.33572749808557278</v>
      </c>
      <c r="BV67">
        <v>0.2721993319641649</v>
      </c>
      <c r="BW67">
        <v>0.2235744239228554</v>
      </c>
      <c r="BX67">
        <v>0.2530836564265268</v>
      </c>
      <c r="BY67">
        <v>0.18895622689057143</v>
      </c>
      <c r="BZ67">
        <v>0.12967695717701946</v>
      </c>
      <c r="CA67">
        <v>0.17683632989979639</v>
      </c>
      <c r="CB67">
        <v>0.30825167608747545</v>
      </c>
      <c r="CC67">
        <v>0.26453656178598572</v>
      </c>
      <c r="CD67">
        <v>0.31500808000923919</v>
      </c>
      <c r="CF67" t="s">
        <v>182</v>
      </c>
      <c r="CG67" t="s">
        <v>108</v>
      </c>
      <c r="CH67" t="s">
        <v>109</v>
      </c>
      <c r="CI67">
        <v>0.19591429949362063</v>
      </c>
    </row>
    <row r="68" spans="2:87" x14ac:dyDescent="0.45">
      <c r="B68" t="s">
        <v>160</v>
      </c>
      <c r="C68" t="s">
        <v>99</v>
      </c>
      <c r="D68">
        <v>0.42410736108217895</v>
      </c>
      <c r="E68">
        <v>0.43629659587048658</v>
      </c>
      <c r="F68">
        <v>0.41787801438629457</v>
      </c>
      <c r="G68">
        <v>0.32651815097637049</v>
      </c>
      <c r="H68">
        <v>0.3292191727528721</v>
      </c>
      <c r="I68">
        <v>0.31952484596603259</v>
      </c>
      <c r="J68">
        <v>0.46019614062661701</v>
      </c>
      <c r="K68">
        <v>0.39360206756164123</v>
      </c>
      <c r="L68">
        <v>0.38861404979090436</v>
      </c>
      <c r="M68">
        <v>0.39529105818889693</v>
      </c>
      <c r="N68">
        <v>0.38766196947615145</v>
      </c>
      <c r="O68">
        <v>0.36868792288157454</v>
      </c>
      <c r="Q68" t="s">
        <v>160</v>
      </c>
      <c r="R68" t="s">
        <v>100</v>
      </c>
      <c r="S68">
        <v>3.3488025909114386E-2</v>
      </c>
      <c r="T68">
        <v>2.0237068570107684E-2</v>
      </c>
      <c r="U68">
        <v>2.1359291184096824E-2</v>
      </c>
      <c r="V68">
        <v>1.17616698298856E-2</v>
      </c>
      <c r="W68">
        <v>2.5918053927065969E-2</v>
      </c>
      <c r="X68">
        <v>1.5312849227245297E-2</v>
      </c>
      <c r="Y68">
        <v>1.8387013622089249E-2</v>
      </c>
      <c r="Z68">
        <v>4.8310191210468943E-2</v>
      </c>
      <c r="AA68">
        <v>2.1013597816290915E-2</v>
      </c>
      <c r="AB68">
        <v>2.4019742210688692E-2</v>
      </c>
      <c r="AC68">
        <v>9.9075952838105705E-3</v>
      </c>
      <c r="AD68">
        <v>1.0718198283864911E-2</v>
      </c>
      <c r="AF68" t="s">
        <v>160</v>
      </c>
      <c r="AG68" t="s">
        <v>101</v>
      </c>
      <c r="AH68">
        <v>4.0343365117435387E-2</v>
      </c>
      <c r="AI68">
        <v>3.9123526078704986E-2</v>
      </c>
      <c r="AJ68">
        <v>3.2334706860908849E-2</v>
      </c>
      <c r="AK68">
        <v>2.5379063299240359E-2</v>
      </c>
      <c r="AL68">
        <v>1.82807818925095E-2</v>
      </c>
      <c r="AM68">
        <v>3.1591436586818844E-2</v>
      </c>
      <c r="AN68">
        <v>3.5266704596275039E-2</v>
      </c>
      <c r="AO68">
        <v>8.9112412755224472E-3</v>
      </c>
      <c r="AP68">
        <v>7.3454737856389007E-2</v>
      </c>
      <c r="AQ68">
        <v>2.8596979041294497E-2</v>
      </c>
      <c r="AR68">
        <v>3.8481220223324501E-2</v>
      </c>
      <c r="AS68">
        <v>1.3271539373988032E-2</v>
      </c>
      <c r="AU68" t="s">
        <v>160</v>
      </c>
      <c r="AV68" t="s">
        <v>102</v>
      </c>
      <c r="AW68">
        <v>0.21460027139286908</v>
      </c>
      <c r="AX68">
        <v>0.2384893532877442</v>
      </c>
      <c r="AY68">
        <v>0.22451105704472404</v>
      </c>
      <c r="AZ68">
        <v>0.16278705163357635</v>
      </c>
      <c r="BA68">
        <v>0.15219164432935703</v>
      </c>
      <c r="BB68">
        <v>0.14153130456961077</v>
      </c>
      <c r="BC68">
        <v>0.29888980471559057</v>
      </c>
      <c r="BD68">
        <v>0.21966871146082242</v>
      </c>
      <c r="BE68">
        <v>0.19082580454062298</v>
      </c>
      <c r="BF68">
        <v>0.2017401365242483</v>
      </c>
      <c r="BG68">
        <v>0.20241897472240647</v>
      </c>
      <c r="BH68">
        <v>0.22371626609412332</v>
      </c>
      <c r="BR68" t="s">
        <v>160</v>
      </c>
      <c r="BS68">
        <v>0.1822444721642911</v>
      </c>
      <c r="BT68">
        <v>0.20217555419635858</v>
      </c>
      <c r="BU68">
        <v>0.19192220275957819</v>
      </c>
      <c r="BV68">
        <v>0.23832818193349248</v>
      </c>
      <c r="BW68">
        <v>0.25399168591584315</v>
      </c>
      <c r="BX68">
        <v>0.2535159041995837</v>
      </c>
      <c r="BY68">
        <v>7.8653580849031929E-2</v>
      </c>
      <c r="BZ68">
        <v>9.3780602955642708E-2</v>
      </c>
      <c r="CA68">
        <v>8.7698390409142665E-2</v>
      </c>
      <c r="CB68">
        <v>0.20717735531404505</v>
      </c>
      <c r="CC68">
        <v>0.2106346566801425</v>
      </c>
      <c r="CD68">
        <v>0.21616252492085536</v>
      </c>
      <c r="CF68" t="s">
        <v>183</v>
      </c>
      <c r="CG68" t="s">
        <v>108</v>
      </c>
      <c r="CH68" t="s">
        <v>109</v>
      </c>
      <c r="CI68">
        <v>0.22402534853496509</v>
      </c>
    </row>
    <row r="69" spans="2:87" x14ac:dyDescent="0.45">
      <c r="B69" t="s">
        <v>162</v>
      </c>
      <c r="C69" t="s">
        <v>99</v>
      </c>
      <c r="D69">
        <v>0.4528666549760062</v>
      </c>
      <c r="E69">
        <v>0.47648549474648444</v>
      </c>
      <c r="F69">
        <v>0.43986508630849164</v>
      </c>
      <c r="G69">
        <v>0.44240229231222583</v>
      </c>
      <c r="H69">
        <v>0.38261115724958922</v>
      </c>
      <c r="I69">
        <v>0.34567523080009566</v>
      </c>
      <c r="J69">
        <v>0.53480323926930828</v>
      </c>
      <c r="K69">
        <v>0.50006362551236405</v>
      </c>
      <c r="L69">
        <v>0.48373035457240227</v>
      </c>
      <c r="M69">
        <v>0.48155226868900014</v>
      </c>
      <c r="N69">
        <v>0.46320736024429376</v>
      </c>
      <c r="O69">
        <v>0.45366303661886009</v>
      </c>
      <c r="Q69" t="s">
        <v>162</v>
      </c>
      <c r="R69" t="s">
        <v>100</v>
      </c>
      <c r="S69">
        <v>5.7770455727533365E-2</v>
      </c>
      <c r="T69">
        <v>3.7437876684827273E-2</v>
      </c>
      <c r="U69">
        <v>3.0434769984494705E-2</v>
      </c>
      <c r="V69">
        <v>2.6823661250476281E-2</v>
      </c>
      <c r="W69">
        <v>3.4753247882428666E-2</v>
      </c>
      <c r="X69">
        <v>6.6861463226847336E-3</v>
      </c>
      <c r="Y69">
        <v>1.4176792997256292E-2</v>
      </c>
      <c r="Z69">
        <v>8.9721798584034271E-2</v>
      </c>
      <c r="AA69">
        <v>1.7270928486149837E-2</v>
      </c>
      <c r="AB69">
        <v>2.7136491493890514E-2</v>
      </c>
      <c r="AC69">
        <v>3.1181092538384723E-2</v>
      </c>
      <c r="AD69">
        <v>1.1855076512724341E-2</v>
      </c>
      <c r="AF69" t="s">
        <v>162</v>
      </c>
      <c r="AG69" t="s">
        <v>101</v>
      </c>
      <c r="AH69">
        <v>3.5974188348428443E-2</v>
      </c>
      <c r="AI69">
        <v>8.2260581136814948E-2</v>
      </c>
      <c r="AJ69">
        <v>5.6843890420214122E-2</v>
      </c>
      <c r="AK69">
        <v>2.302292001965486E-2</v>
      </c>
      <c r="AL69">
        <v>3.5246845205399009E-2</v>
      </c>
      <c r="AM69">
        <v>4.156088118201158E-2</v>
      </c>
      <c r="AN69">
        <v>1.5263903422488781E-2</v>
      </c>
      <c r="AO69">
        <v>6.6394892741524575E-2</v>
      </c>
      <c r="AP69">
        <v>0.13485316149278614</v>
      </c>
      <c r="AQ69">
        <v>3.7301242199345372E-2</v>
      </c>
      <c r="AR69">
        <v>3.8765076503549926E-2</v>
      </c>
      <c r="AS69">
        <v>4.0860205126304311E-2</v>
      </c>
      <c r="AU69" t="s">
        <v>162</v>
      </c>
      <c r="AV69" t="s">
        <v>102</v>
      </c>
      <c r="AW69">
        <v>0.21838290357835316</v>
      </c>
      <c r="AX69">
        <v>0.2010334128310774</v>
      </c>
      <c r="AY69">
        <v>0.21812874642363136</v>
      </c>
      <c r="AZ69">
        <v>0.24516543900315096</v>
      </c>
      <c r="BA69">
        <v>0.16844990161092846</v>
      </c>
      <c r="BB69">
        <v>0.18010723921266156</v>
      </c>
      <c r="BC69">
        <v>0.39207437135709738</v>
      </c>
      <c r="BD69">
        <v>0.23362356751488894</v>
      </c>
      <c r="BE69">
        <v>0.20651469727851551</v>
      </c>
      <c r="BF69">
        <v>0.25750994992286586</v>
      </c>
      <c r="BG69">
        <v>0.25000846702487833</v>
      </c>
      <c r="BH69">
        <v>0.25058585920772763</v>
      </c>
      <c r="BR69" t="s">
        <v>162</v>
      </c>
      <c r="BS69">
        <v>0.26741501454751498</v>
      </c>
      <c r="BT69">
        <v>0.26876310390713604</v>
      </c>
      <c r="BU69">
        <v>0.27404615832084706</v>
      </c>
      <c r="BV69">
        <v>0.28360794950810764</v>
      </c>
      <c r="BW69">
        <v>0.34743980902774702</v>
      </c>
      <c r="BX69">
        <v>0.36002127388570027</v>
      </c>
      <c r="BY69">
        <v>0.11473583136878679</v>
      </c>
      <c r="BZ69">
        <v>0.13704138240421682</v>
      </c>
      <c r="CA69">
        <v>0.1731524000253975</v>
      </c>
      <c r="CB69">
        <v>0.27596329877123271</v>
      </c>
      <c r="CC69">
        <v>0.27475207386581202</v>
      </c>
      <c r="CD69">
        <v>0.3102783437485403</v>
      </c>
      <c r="CF69" t="s">
        <v>139</v>
      </c>
      <c r="CG69" t="s">
        <v>108</v>
      </c>
      <c r="CH69" t="s">
        <v>109</v>
      </c>
      <c r="CI69">
        <v>0.56636210015158772</v>
      </c>
    </row>
    <row r="70" spans="2:87" x14ac:dyDescent="0.45">
      <c r="B70" t="s">
        <v>164</v>
      </c>
      <c r="C70" t="s">
        <v>99</v>
      </c>
      <c r="D70">
        <v>0.57134695990559026</v>
      </c>
      <c r="E70">
        <v>0.57931937867572891</v>
      </c>
      <c r="F70">
        <v>0.55742977252538983</v>
      </c>
      <c r="G70">
        <v>0.51530835764147809</v>
      </c>
      <c r="H70">
        <v>0.47108355739105556</v>
      </c>
      <c r="I70">
        <v>0.45540912106921927</v>
      </c>
      <c r="J70">
        <v>0.59154721283904177</v>
      </c>
      <c r="K70">
        <v>0.49402431208313236</v>
      </c>
      <c r="L70">
        <v>0.54587638064690402</v>
      </c>
      <c r="M70">
        <v>0.54925322419109068</v>
      </c>
      <c r="N70">
        <v>0.51242621598332772</v>
      </c>
      <c r="O70">
        <v>0.52397776694876674</v>
      </c>
      <c r="Q70" t="s">
        <v>164</v>
      </c>
      <c r="R70" t="s">
        <v>100</v>
      </c>
      <c r="S70">
        <v>8.3605679094175794E-2</v>
      </c>
      <c r="T70">
        <v>7.1157562293694548E-2</v>
      </c>
      <c r="U70">
        <v>7.3839792187199355E-2</v>
      </c>
      <c r="V70">
        <v>3.4339036934084008E-2</v>
      </c>
      <c r="W70">
        <v>7.2631788959560434E-2</v>
      </c>
      <c r="X70">
        <v>2.1062847418297927E-2</v>
      </c>
      <c r="Y70">
        <v>1.7610701133581486E-2</v>
      </c>
      <c r="Z70">
        <v>0.12487430138397178</v>
      </c>
      <c r="AA70">
        <v>3.7474125353786643E-2</v>
      </c>
      <c r="AB70">
        <v>4.1311896408381087E-2</v>
      </c>
      <c r="AC70">
        <v>5.8162120793728143E-2</v>
      </c>
      <c r="AD70">
        <v>3.1694472502358906E-2</v>
      </c>
      <c r="AF70" t="s">
        <v>164</v>
      </c>
      <c r="AG70" t="s">
        <v>101</v>
      </c>
      <c r="AH70">
        <v>0.11708009429557632</v>
      </c>
      <c r="AI70">
        <v>9.8284002854336305E-2</v>
      </c>
      <c r="AJ70">
        <v>8.9832917642155119E-2</v>
      </c>
      <c r="AK70">
        <v>3.0969020006150486E-2</v>
      </c>
      <c r="AL70">
        <v>5.5459895044609721E-2</v>
      </c>
      <c r="AM70">
        <v>9.1989709228735783E-2</v>
      </c>
      <c r="AN70">
        <v>5.3952641766754204E-2</v>
      </c>
      <c r="AO70">
        <v>8.5573842471752953E-2</v>
      </c>
      <c r="AP70">
        <v>0.20675913922167236</v>
      </c>
      <c r="AQ70">
        <v>5.9773130357321173E-2</v>
      </c>
      <c r="AR70">
        <v>6.4694517839044022E-2</v>
      </c>
      <c r="AS70">
        <v>5.6918184557550981E-2</v>
      </c>
      <c r="AU70" t="s">
        <v>164</v>
      </c>
      <c r="AV70" t="s">
        <v>102</v>
      </c>
      <c r="AW70">
        <v>0.25830473662935427</v>
      </c>
      <c r="AX70">
        <v>0.27576162600556547</v>
      </c>
      <c r="AY70">
        <v>0.27033524802178682</v>
      </c>
      <c r="AZ70">
        <v>0.31241721357898178</v>
      </c>
      <c r="BA70">
        <v>0.20196081791412671</v>
      </c>
      <c r="BB70">
        <v>0.19769378273546906</v>
      </c>
      <c r="BC70">
        <v>0.44847168036627844</v>
      </c>
      <c r="BD70">
        <v>0.19904520052859973</v>
      </c>
      <c r="BE70">
        <v>0.20985368536581783</v>
      </c>
      <c r="BF70">
        <v>0.30089291386527978</v>
      </c>
      <c r="BG70">
        <v>0.25286818375423098</v>
      </c>
      <c r="BH70">
        <v>0.28672562816627811</v>
      </c>
      <c r="BR70" t="s">
        <v>164</v>
      </c>
      <c r="BS70">
        <v>0.15547150228960543</v>
      </c>
      <c r="BT70">
        <v>0.16553989726809556</v>
      </c>
      <c r="BU70">
        <v>0.14929614659771853</v>
      </c>
      <c r="BV70">
        <v>0.20043437635291608</v>
      </c>
      <c r="BW70">
        <v>0.23830317641060925</v>
      </c>
      <c r="BX70">
        <v>0.25123091479936455</v>
      </c>
      <c r="BY70">
        <v>5.3523604345692116E-2</v>
      </c>
      <c r="BZ70">
        <v>6.7711281878943499E-2</v>
      </c>
      <c r="CA70">
        <v>8.3065128323733542E-2</v>
      </c>
      <c r="CB70">
        <v>0.18741789718790902</v>
      </c>
      <c r="CC70">
        <v>0.19536200869827311</v>
      </c>
      <c r="CD70">
        <v>0.24212236089995565</v>
      </c>
      <c r="CF70" t="s">
        <v>141</v>
      </c>
      <c r="CG70" t="s">
        <v>108</v>
      </c>
      <c r="CH70" t="s">
        <v>109</v>
      </c>
      <c r="CI70">
        <v>0.30563667234962677</v>
      </c>
    </row>
    <row r="71" spans="2:87" x14ac:dyDescent="0.45">
      <c r="B71" t="s">
        <v>166</v>
      </c>
      <c r="C71" t="s">
        <v>99</v>
      </c>
      <c r="D71">
        <v>0.55727837074684949</v>
      </c>
      <c r="E71">
        <v>0.57437458679549536</v>
      </c>
      <c r="F71">
        <v>0.56586915776057445</v>
      </c>
      <c r="G71">
        <v>0.56712228544353915</v>
      </c>
      <c r="H71">
        <v>0.49650731274782262</v>
      </c>
      <c r="I71">
        <v>0.57802077859743028</v>
      </c>
      <c r="J71">
        <v>0.54891118322600185</v>
      </c>
      <c r="K71">
        <v>0.41896061226138648</v>
      </c>
      <c r="L71">
        <v>0.43421469819159658</v>
      </c>
      <c r="M71">
        <v>0.53350077762512327</v>
      </c>
      <c r="N71">
        <v>0.4736896406199696</v>
      </c>
      <c r="O71">
        <v>0.52541567064698258</v>
      </c>
      <c r="Q71" t="s">
        <v>166</v>
      </c>
      <c r="R71" t="s">
        <v>100</v>
      </c>
      <c r="S71">
        <v>5.4007693124035368E-2</v>
      </c>
      <c r="T71">
        <v>5.3075007173968125E-2</v>
      </c>
      <c r="U71">
        <v>5.5038633382974225E-2</v>
      </c>
      <c r="V71">
        <v>1.8801079744406798E-2</v>
      </c>
      <c r="W71">
        <v>0.10627512645570143</v>
      </c>
      <c r="X71">
        <v>3.3332470244315092E-2</v>
      </c>
      <c r="Y71">
        <v>9.4526939228395626E-2</v>
      </c>
      <c r="Z71">
        <v>3.7662978301542652E-2</v>
      </c>
      <c r="AA71">
        <v>0.14208087843804809</v>
      </c>
      <c r="AB71">
        <v>4.14298494868773E-2</v>
      </c>
      <c r="AC71">
        <v>7.0995944716453888E-2</v>
      </c>
      <c r="AD71">
        <v>4.1801513224146505E-2</v>
      </c>
      <c r="AF71" t="s">
        <v>166</v>
      </c>
      <c r="AG71" t="s">
        <v>101</v>
      </c>
      <c r="AH71">
        <v>2.8530739230461961E-2</v>
      </c>
      <c r="AI71">
        <v>0.10814807724834601</v>
      </c>
      <c r="AJ71">
        <v>6.6884224641355197E-2</v>
      </c>
      <c r="AK71">
        <v>5.5834745829279393E-2</v>
      </c>
      <c r="AL71">
        <v>7.0969475343993838E-2</v>
      </c>
      <c r="AM71">
        <v>0.17320246152105392</v>
      </c>
      <c r="AN71">
        <v>0.14977631238997288</v>
      </c>
      <c r="AO71">
        <v>9.9288758203265534E-2</v>
      </c>
      <c r="AP71">
        <v>5.24945481055175E-2</v>
      </c>
      <c r="AQ71">
        <v>4.8151171765889143E-2</v>
      </c>
      <c r="AR71">
        <v>3.9137596055574812E-2</v>
      </c>
      <c r="AS71">
        <v>5.1579142950567883E-2</v>
      </c>
      <c r="AU71" t="s">
        <v>166</v>
      </c>
      <c r="AV71" t="s">
        <v>102</v>
      </c>
      <c r="AW71">
        <v>0.35481009526479118</v>
      </c>
      <c r="AX71">
        <v>0.28336048529759911</v>
      </c>
      <c r="AY71">
        <v>0.31441166609253351</v>
      </c>
      <c r="AZ71">
        <v>0.37152535590358593</v>
      </c>
      <c r="BA71">
        <v>0.20405446939488606</v>
      </c>
      <c r="BB71">
        <v>0.24424799123195262</v>
      </c>
      <c r="BC71">
        <v>0.18876547322751819</v>
      </c>
      <c r="BD71">
        <v>0.19844149191558336</v>
      </c>
      <c r="BE71">
        <v>0.15245641623010958</v>
      </c>
      <c r="BF71">
        <v>0.32284891750147371</v>
      </c>
      <c r="BG71">
        <v>0.24720374557524258</v>
      </c>
      <c r="BH71">
        <v>0.3019267731135441</v>
      </c>
      <c r="BR71" t="s">
        <v>166</v>
      </c>
      <c r="BS71">
        <v>0.12487877540746316</v>
      </c>
      <c r="BT71">
        <v>0.12418833690824815</v>
      </c>
      <c r="BU71">
        <v>0.1216042015921428</v>
      </c>
      <c r="BV71">
        <v>0.108958108173639</v>
      </c>
      <c r="BW71">
        <v>0.11149968763208523</v>
      </c>
      <c r="BX71">
        <v>0.1069693745040517</v>
      </c>
      <c r="BY71">
        <v>3.3753809061043125E-2</v>
      </c>
      <c r="BZ71">
        <v>3.158103429722478E-2</v>
      </c>
      <c r="CA71">
        <v>2.1467079764461494E-2</v>
      </c>
      <c r="CB71">
        <v>0.11661240387727778</v>
      </c>
      <c r="CC71">
        <v>0.1029239335762603</v>
      </c>
      <c r="CD71">
        <v>0.11688473393702231</v>
      </c>
      <c r="CF71" t="s">
        <v>143</v>
      </c>
      <c r="CG71" t="s">
        <v>108</v>
      </c>
      <c r="CH71" t="s">
        <v>109</v>
      </c>
      <c r="CI71">
        <v>0.33929474615515359</v>
      </c>
    </row>
    <row r="72" spans="2:87" x14ac:dyDescent="0.45">
      <c r="B72" t="s">
        <v>168</v>
      </c>
      <c r="C72" t="s">
        <v>99</v>
      </c>
      <c r="D72">
        <v>0.34386912969897476</v>
      </c>
      <c r="E72">
        <v>0.38553605986645589</v>
      </c>
      <c r="F72">
        <v>0.33503172289349242</v>
      </c>
      <c r="G72">
        <v>0.38798202166278595</v>
      </c>
      <c r="H72">
        <v>0.41824626654193092</v>
      </c>
      <c r="I72">
        <v>0.38306678923771736</v>
      </c>
      <c r="J72">
        <v>0.42053766669715609</v>
      </c>
      <c r="K72">
        <v>0.44843379201933481</v>
      </c>
      <c r="L72">
        <v>0.3878917178474689</v>
      </c>
      <c r="M72">
        <v>0.35033480213017887</v>
      </c>
      <c r="N72">
        <v>0.38145607234983059</v>
      </c>
      <c r="O72">
        <v>0.34745281546528606</v>
      </c>
      <c r="Q72" t="s">
        <v>168</v>
      </c>
      <c r="R72" t="s">
        <v>100</v>
      </c>
      <c r="S72">
        <v>1.8564076834833534E-2</v>
      </c>
      <c r="T72">
        <v>1.8543160334333925E-2</v>
      </c>
      <c r="U72">
        <v>2.0949714863724777E-2</v>
      </c>
      <c r="V72">
        <v>2.3627687328029189E-2</v>
      </c>
      <c r="W72">
        <v>3.2440435885926495E-2</v>
      </c>
      <c r="X72">
        <v>1.2997548135758409E-2</v>
      </c>
      <c r="Y72">
        <v>5.1504533208587659E-3</v>
      </c>
      <c r="Z72">
        <v>2.9681490715520616E-2</v>
      </c>
      <c r="AA72">
        <v>2.1479906954897088E-2</v>
      </c>
      <c r="AB72">
        <v>1.7219937537866731E-2</v>
      </c>
      <c r="AC72">
        <v>2.6541522265319618E-2</v>
      </c>
      <c r="AD72">
        <v>1.2913972834517617E-2</v>
      </c>
      <c r="AF72" t="s">
        <v>168</v>
      </c>
      <c r="AG72" t="s">
        <v>101</v>
      </c>
      <c r="AH72">
        <v>3.6756199752882739E-2</v>
      </c>
      <c r="AI72">
        <v>4.3117435692351803E-2</v>
      </c>
      <c r="AJ72">
        <v>2.3494545958957922E-2</v>
      </c>
      <c r="AK72">
        <v>1.6503245675539346E-2</v>
      </c>
      <c r="AL72">
        <v>5.2219998818836759E-2</v>
      </c>
      <c r="AM72">
        <v>4.0643399831339549E-2</v>
      </c>
      <c r="AN72">
        <v>3.3438008373529747E-2</v>
      </c>
      <c r="AO72">
        <v>3.0064698983488864E-2</v>
      </c>
      <c r="AP72">
        <v>3.0557659207860206E-2</v>
      </c>
      <c r="AQ72">
        <v>1.5732888803997473E-2</v>
      </c>
      <c r="AR72">
        <v>2.8630752731229028E-2</v>
      </c>
      <c r="AS72">
        <v>3.0272860376842875E-2</v>
      </c>
      <c r="AU72" t="s">
        <v>168</v>
      </c>
      <c r="AV72" t="s">
        <v>102</v>
      </c>
      <c r="AW72">
        <v>0.17068900179192803</v>
      </c>
      <c r="AX72">
        <v>0.19641509300925256</v>
      </c>
      <c r="AY72">
        <v>0.17156988741999715</v>
      </c>
      <c r="AZ72">
        <v>0.2296553956939624</v>
      </c>
      <c r="BA72">
        <v>0.20602021262050491</v>
      </c>
      <c r="BB72">
        <v>0.2098829270759516</v>
      </c>
      <c r="BC72">
        <v>0.25658877702402683</v>
      </c>
      <c r="BD72">
        <v>0.25908246898229975</v>
      </c>
      <c r="BE72">
        <v>0.21895588549874104</v>
      </c>
      <c r="BF72">
        <v>0.19924856655195206</v>
      </c>
      <c r="BG72">
        <v>0.20535883792145165</v>
      </c>
      <c r="BH72">
        <v>0.18511361437724255</v>
      </c>
      <c r="BR72" t="s">
        <v>168</v>
      </c>
      <c r="BS72">
        <v>0.28736208054920365</v>
      </c>
      <c r="BT72">
        <v>0.28050792357614485</v>
      </c>
      <c r="BU72">
        <v>0.3069741260831263</v>
      </c>
      <c r="BV72">
        <v>0.18352751484887789</v>
      </c>
      <c r="BW72">
        <v>0.22453292554233009</v>
      </c>
      <c r="BX72">
        <v>0.22469288603296661</v>
      </c>
      <c r="BY72">
        <v>0.17666597677361087</v>
      </c>
      <c r="BZ72">
        <v>0.18892963912256475</v>
      </c>
      <c r="CA72">
        <v>0.20487453655807639</v>
      </c>
      <c r="CB72">
        <v>0.24690454443090928</v>
      </c>
      <c r="CC72">
        <v>0.24507811977600327</v>
      </c>
      <c r="CD72">
        <v>0.25749017297350602</v>
      </c>
      <c r="CF72" t="s">
        <v>145</v>
      </c>
      <c r="CG72" t="s">
        <v>108</v>
      </c>
      <c r="CH72" t="s">
        <v>109</v>
      </c>
      <c r="CI72">
        <v>0.36523107218634143</v>
      </c>
    </row>
    <row r="73" spans="2:87" x14ac:dyDescent="0.45">
      <c r="B73" t="s">
        <v>170</v>
      </c>
      <c r="C73" t="s">
        <v>99</v>
      </c>
      <c r="D73">
        <v>0.43623150607131816</v>
      </c>
      <c r="E73">
        <v>0.50668274118569701</v>
      </c>
      <c r="F73">
        <v>0.43449066097433392</v>
      </c>
      <c r="G73">
        <v>0.50736278665138745</v>
      </c>
      <c r="H73">
        <v>0.45092388774374664</v>
      </c>
      <c r="I73">
        <v>0.43287273702855406</v>
      </c>
      <c r="J73">
        <v>0.55119265438725118</v>
      </c>
      <c r="K73">
        <v>0.48165364729050075</v>
      </c>
      <c r="L73">
        <v>0.45016537586666344</v>
      </c>
      <c r="M73">
        <v>0.44924123703224766</v>
      </c>
      <c r="N73">
        <v>0.44743031193669069</v>
      </c>
      <c r="O73">
        <v>0.41986930774211462</v>
      </c>
      <c r="Q73" t="s">
        <v>170</v>
      </c>
      <c r="R73" t="s">
        <v>100</v>
      </c>
      <c r="S73">
        <v>6.1623597220079207E-2</v>
      </c>
      <c r="T73">
        <v>3.5208354156332229E-2</v>
      </c>
      <c r="U73">
        <v>2.5941771210981051E-2</v>
      </c>
      <c r="V73">
        <v>2.1924285679531516E-2</v>
      </c>
      <c r="W73">
        <v>5.0618321250004518E-2</v>
      </c>
      <c r="X73">
        <v>1.8965851410042277E-2</v>
      </c>
      <c r="Y73">
        <v>1.8821909870162815E-2</v>
      </c>
      <c r="Z73">
        <v>7.2191481372147412E-2</v>
      </c>
      <c r="AA73">
        <v>2.0924984880640589E-2</v>
      </c>
      <c r="AB73">
        <v>4.6840413471428463E-2</v>
      </c>
      <c r="AC73">
        <v>4.4536998878286251E-2</v>
      </c>
      <c r="AD73">
        <v>2.0812525111248797E-2</v>
      </c>
      <c r="AF73" t="s">
        <v>170</v>
      </c>
      <c r="AG73" t="s">
        <v>101</v>
      </c>
      <c r="AH73">
        <v>4.5330789847781425E-2</v>
      </c>
      <c r="AI73">
        <v>8.5167393930435001E-2</v>
      </c>
      <c r="AJ73">
        <v>3.9756065451251786E-2</v>
      </c>
      <c r="AK73">
        <v>4.2636869826033388E-2</v>
      </c>
      <c r="AL73">
        <v>3.2051426448344772E-2</v>
      </c>
      <c r="AM73">
        <v>6.2701499773538547E-2</v>
      </c>
      <c r="AN73">
        <v>2.3026344857637337E-2</v>
      </c>
      <c r="AO73">
        <v>6.8376017435015743E-2</v>
      </c>
      <c r="AP73">
        <v>8.9844899469066181E-2</v>
      </c>
      <c r="AQ73">
        <v>6.3983271597920749E-2</v>
      </c>
      <c r="AR73">
        <v>4.7829991436176979E-2</v>
      </c>
      <c r="AS73">
        <v>6.7162437902265615E-2</v>
      </c>
      <c r="AU73" t="s">
        <v>170</v>
      </c>
      <c r="AV73" t="s">
        <v>102</v>
      </c>
      <c r="AW73">
        <v>0.19748116507511232</v>
      </c>
      <c r="AX73">
        <v>0.24556670578234951</v>
      </c>
      <c r="AY73">
        <v>0.23422441534011215</v>
      </c>
      <c r="AZ73">
        <v>0.30555680526848916</v>
      </c>
      <c r="BA73">
        <v>0.23582011036425482</v>
      </c>
      <c r="BB73">
        <v>0.22693953273148576</v>
      </c>
      <c r="BC73">
        <v>0.37760363543344483</v>
      </c>
      <c r="BD73">
        <v>0.22675606463185066</v>
      </c>
      <c r="BE73">
        <v>0.21533872253490188</v>
      </c>
      <c r="BF73">
        <v>0.20260019179437916</v>
      </c>
      <c r="BG73">
        <v>0.22155972512150093</v>
      </c>
      <c r="BH73">
        <v>0.20911971634384752</v>
      </c>
      <c r="BR73" t="s">
        <v>170</v>
      </c>
      <c r="BS73">
        <v>0.21216395077185776</v>
      </c>
      <c r="BT73">
        <v>0.21171654200937276</v>
      </c>
      <c r="BU73">
        <v>0.22694340465539323</v>
      </c>
      <c r="BV73">
        <v>0.17509758895297198</v>
      </c>
      <c r="BW73">
        <v>0.23837091391236107</v>
      </c>
      <c r="BX73">
        <v>0.22743640692379685</v>
      </c>
      <c r="BY73">
        <v>9.8631073108625844E-2</v>
      </c>
      <c r="BZ73">
        <v>0.13409503068383263</v>
      </c>
      <c r="CA73">
        <v>0.15425783391488657</v>
      </c>
      <c r="CB73">
        <v>0.16988409708076291</v>
      </c>
      <c r="CC73">
        <v>0.17895104756280464</v>
      </c>
      <c r="CD73">
        <v>0.1909925714151364</v>
      </c>
      <c r="CF73" t="s">
        <v>147</v>
      </c>
      <c r="CG73" t="s">
        <v>108</v>
      </c>
      <c r="CH73" t="s">
        <v>109</v>
      </c>
      <c r="CI73">
        <v>0.47398003145553769</v>
      </c>
    </row>
    <row r="74" spans="2:87" x14ac:dyDescent="0.45">
      <c r="B74" t="s">
        <v>172</v>
      </c>
      <c r="C74" t="s">
        <v>99</v>
      </c>
      <c r="D74">
        <v>0.3242632197427151</v>
      </c>
      <c r="E74">
        <v>0.37892091659877375</v>
      </c>
      <c r="F74">
        <v>0.32366864491713021</v>
      </c>
      <c r="G74">
        <v>0.32480157528360248</v>
      </c>
      <c r="H74">
        <v>0.34515468371990921</v>
      </c>
      <c r="I74">
        <v>0.33862741890776193</v>
      </c>
      <c r="J74">
        <v>0.39673392568796317</v>
      </c>
      <c r="K74">
        <v>0.4354279392082292</v>
      </c>
      <c r="L74">
        <v>0.38002595392401867</v>
      </c>
      <c r="M74">
        <v>0.32862159524265555</v>
      </c>
      <c r="N74">
        <v>0.35694291087526059</v>
      </c>
      <c r="O74">
        <v>0.32671401264511751</v>
      </c>
      <c r="Q74" t="s">
        <v>172</v>
      </c>
      <c r="R74" t="s">
        <v>100</v>
      </c>
      <c r="S74">
        <v>2.6994644745171444E-2</v>
      </c>
      <c r="T74">
        <v>2.3728838202183154E-2</v>
      </c>
      <c r="U74">
        <v>1.3065376704852916E-2</v>
      </c>
      <c r="V74">
        <v>2.0870107128877737E-2</v>
      </c>
      <c r="W74">
        <v>2.2554949475711118E-2</v>
      </c>
      <c r="X74">
        <v>1.0434995212443272E-2</v>
      </c>
      <c r="Y74">
        <v>1.2024660535965982E-3</v>
      </c>
      <c r="Z74">
        <v>2.5602926919133132E-2</v>
      </c>
      <c r="AA74">
        <v>1.4447959032438149E-2</v>
      </c>
      <c r="AB74">
        <v>2.1064138158455301E-2</v>
      </c>
      <c r="AC74">
        <v>1.6866463692653128E-2</v>
      </c>
      <c r="AD74">
        <v>1.6253959801594327E-2</v>
      </c>
      <c r="AF74" t="s">
        <v>172</v>
      </c>
      <c r="AG74" t="s">
        <v>101</v>
      </c>
      <c r="AH74">
        <v>3.6353772352682466E-2</v>
      </c>
      <c r="AI74">
        <v>3.3695115024208772E-2</v>
      </c>
      <c r="AJ74">
        <v>3.0406820716350907E-2</v>
      </c>
      <c r="AK74">
        <v>1.3281668834593589E-2</v>
      </c>
      <c r="AL74">
        <v>4.1182818125142795E-2</v>
      </c>
      <c r="AM74">
        <v>2.7774528013257752E-2</v>
      </c>
      <c r="AN74">
        <v>1.1228191938890679E-2</v>
      </c>
      <c r="AO74">
        <v>1.4201798254357597E-2</v>
      </c>
      <c r="AP74">
        <v>3.4180204356820669E-2</v>
      </c>
      <c r="AQ74">
        <v>2.892925332894828E-2</v>
      </c>
      <c r="AR74">
        <v>3.0365146940896599E-2</v>
      </c>
      <c r="AS74">
        <v>2.9266310837129422E-2</v>
      </c>
      <c r="AU74" t="s">
        <v>172</v>
      </c>
      <c r="AV74" t="s">
        <v>102</v>
      </c>
      <c r="AW74">
        <v>0.13383844921972318</v>
      </c>
      <c r="AX74">
        <v>0.18048793844183006</v>
      </c>
      <c r="AY74">
        <v>0.15475678995937145</v>
      </c>
      <c r="AZ74">
        <v>0.17361493862492461</v>
      </c>
      <c r="BA74">
        <v>0.15734718308834783</v>
      </c>
      <c r="BB74">
        <v>0.18319223920248193</v>
      </c>
      <c r="BC74">
        <v>0.26181478239222178</v>
      </c>
      <c r="BD74">
        <v>0.25276058216644987</v>
      </c>
      <c r="BE74">
        <v>0.19741337266650813</v>
      </c>
      <c r="BF74">
        <v>0.15393747959652021</v>
      </c>
      <c r="BG74">
        <v>0.17894992259813838</v>
      </c>
      <c r="BH74">
        <v>0.16032317565879575</v>
      </c>
      <c r="BR74" t="s">
        <v>172</v>
      </c>
      <c r="BS74">
        <v>0.32180212969917321</v>
      </c>
      <c r="BT74">
        <v>0.32921456878628658</v>
      </c>
      <c r="BU74">
        <v>0.34177128678455287</v>
      </c>
      <c r="BV74">
        <v>0.27082064391965743</v>
      </c>
      <c r="BW74">
        <v>0.31310332391289214</v>
      </c>
      <c r="BX74">
        <v>0.29696413182155912</v>
      </c>
      <c r="BY74">
        <v>0.19198214535351482</v>
      </c>
      <c r="BZ74">
        <v>0.2146472570937332</v>
      </c>
      <c r="CA74">
        <v>0.21515204200979579</v>
      </c>
      <c r="CB74">
        <v>0.31188170005032229</v>
      </c>
      <c r="CC74">
        <v>0.32682352160152628</v>
      </c>
      <c r="CD74">
        <v>0.32457107301668481</v>
      </c>
      <c r="CF74" t="s">
        <v>149</v>
      </c>
      <c r="CG74" t="s">
        <v>108</v>
      </c>
      <c r="CH74" t="s">
        <v>109</v>
      </c>
      <c r="CI74">
        <v>0.30014199653675822</v>
      </c>
    </row>
    <row r="75" spans="2:87" x14ac:dyDescent="0.45">
      <c r="B75" t="s">
        <v>173</v>
      </c>
      <c r="C75" t="s">
        <v>99</v>
      </c>
      <c r="D75">
        <v>0.28518061768766328</v>
      </c>
      <c r="E75">
        <v>0.35281803964752845</v>
      </c>
      <c r="F75">
        <v>0.30057625714764968</v>
      </c>
      <c r="G75">
        <v>0.29708877625466301</v>
      </c>
      <c r="H75">
        <v>0.34577535386904951</v>
      </c>
      <c r="I75">
        <v>0.29034513867103651</v>
      </c>
      <c r="J75">
        <v>0.30866502695836423</v>
      </c>
      <c r="K75">
        <v>0.37474313511241453</v>
      </c>
      <c r="L75">
        <v>0.28593141964775243</v>
      </c>
      <c r="M75">
        <v>0.33296937758133172</v>
      </c>
      <c r="N75">
        <v>0.36322856714974944</v>
      </c>
      <c r="O75">
        <v>0.31884111891221611</v>
      </c>
      <c r="Q75" t="s">
        <v>173</v>
      </c>
      <c r="R75" t="s">
        <v>100</v>
      </c>
      <c r="S75">
        <v>2.9556749836898627E-2</v>
      </c>
      <c r="T75">
        <v>2.5165553887806252E-2</v>
      </c>
      <c r="U75">
        <v>3.8057460210326452E-2</v>
      </c>
      <c r="V75">
        <v>2.2698074305743835E-2</v>
      </c>
      <c r="W75">
        <v>2.3898298083210302E-2</v>
      </c>
      <c r="X75">
        <v>3.8262033397651073E-2</v>
      </c>
      <c r="Y75">
        <v>1.6882076716765535E-2</v>
      </c>
      <c r="Z75">
        <v>3.9720629433852926E-2</v>
      </c>
      <c r="AA75">
        <v>2.2623731881145547E-2</v>
      </c>
      <c r="AB75">
        <v>1.6619425676526189E-2</v>
      </c>
      <c r="AC75">
        <v>4.5501003093627201E-2</v>
      </c>
      <c r="AD75">
        <v>2.202007789804792E-2</v>
      </c>
      <c r="AF75" t="s">
        <v>173</v>
      </c>
      <c r="AG75" t="s">
        <v>101</v>
      </c>
      <c r="AH75">
        <v>4.0918729758503906E-2</v>
      </c>
      <c r="AI75">
        <v>4.1461048951412824E-2</v>
      </c>
      <c r="AJ75">
        <v>2.5371275109608304E-2</v>
      </c>
      <c r="AK75">
        <v>6.707496297948122E-2</v>
      </c>
      <c r="AL75">
        <v>3.4481580042963443E-2</v>
      </c>
      <c r="AM75">
        <v>3.5710355961559026E-2</v>
      </c>
      <c r="AN75">
        <v>2.3202328702734719E-2</v>
      </c>
      <c r="AO75">
        <v>5.0115677762994915E-2</v>
      </c>
      <c r="AP75">
        <v>1.1785728567430443E-2</v>
      </c>
      <c r="AQ75">
        <v>2.6706993125883184E-2</v>
      </c>
      <c r="AR75">
        <v>3.4910854199638207E-2</v>
      </c>
      <c r="AS75">
        <v>4.491366122649107E-2</v>
      </c>
      <c r="AU75" t="s">
        <v>173</v>
      </c>
      <c r="AV75" t="s">
        <v>102</v>
      </c>
      <c r="AW75">
        <v>9.8103027602341339E-2</v>
      </c>
      <c r="AX75">
        <v>0.15716087997086389</v>
      </c>
      <c r="AY75">
        <v>0.12075867482434575</v>
      </c>
      <c r="AZ75">
        <v>0.11382197020470675</v>
      </c>
      <c r="BA75">
        <v>0.17282200403174164</v>
      </c>
      <c r="BB75">
        <v>0.11550602425580274</v>
      </c>
      <c r="BC75">
        <v>0.169246204333283</v>
      </c>
      <c r="BD75">
        <v>0.16398497547254956</v>
      </c>
      <c r="BE75">
        <v>0.16271906138335612</v>
      </c>
      <c r="BF75">
        <v>0.18501496591378341</v>
      </c>
      <c r="BG75">
        <v>0.14933361985453469</v>
      </c>
      <c r="BH75">
        <v>0.13450950207229942</v>
      </c>
      <c r="BR75" t="s">
        <v>173</v>
      </c>
      <c r="BS75">
        <v>0.3736599648934692</v>
      </c>
      <c r="BT75">
        <v>0.3338254610537903</v>
      </c>
      <c r="BU75">
        <v>0.35958024592892301</v>
      </c>
      <c r="BV75">
        <v>0.28827190237305983</v>
      </c>
      <c r="BW75">
        <v>0.24706638688988522</v>
      </c>
      <c r="BX75">
        <v>0.27697949889465134</v>
      </c>
      <c r="BY75">
        <v>0.20193108322835485</v>
      </c>
      <c r="BZ75">
        <v>0.15753630314646752</v>
      </c>
      <c r="CA75">
        <v>0.20411728437039328</v>
      </c>
      <c r="CB75">
        <v>0.30071582777178557</v>
      </c>
      <c r="CC75">
        <v>0.29342488111354637</v>
      </c>
      <c r="CD75">
        <v>0.32394023981799669</v>
      </c>
      <c r="CF75" t="s">
        <v>151</v>
      </c>
      <c r="CG75" t="s">
        <v>108</v>
      </c>
      <c r="CH75" t="s">
        <v>109</v>
      </c>
      <c r="CI75">
        <v>0.36222953501966265</v>
      </c>
    </row>
    <row r="76" spans="2:87" x14ac:dyDescent="0.45">
      <c r="B76" t="s">
        <v>174</v>
      </c>
      <c r="C76" t="s">
        <v>99</v>
      </c>
      <c r="D76">
        <v>0.28864224205130229</v>
      </c>
      <c r="E76">
        <v>0.35925080726273068</v>
      </c>
      <c r="F76">
        <v>0.31965696713929764</v>
      </c>
      <c r="G76">
        <v>0.30875631764826267</v>
      </c>
      <c r="H76">
        <v>0.37885932310658749</v>
      </c>
      <c r="I76">
        <v>0.31949466689015921</v>
      </c>
      <c r="J76">
        <v>0.28951256948522408</v>
      </c>
      <c r="K76">
        <v>0.37561283499884662</v>
      </c>
      <c r="L76">
        <v>0.25978579064533674</v>
      </c>
      <c r="M76">
        <v>0.31966449890852555</v>
      </c>
      <c r="N76">
        <v>0.38333192214402306</v>
      </c>
      <c r="O76">
        <v>0.32901883732661036</v>
      </c>
      <c r="Q76" t="s">
        <v>174</v>
      </c>
      <c r="R76" t="s">
        <v>100</v>
      </c>
      <c r="S76">
        <v>3.8699215539106747E-2</v>
      </c>
      <c r="T76">
        <v>3.1142072717119235E-2</v>
      </c>
      <c r="U76">
        <v>3.8925811125587767E-2</v>
      </c>
      <c r="V76">
        <v>4.5982131422250633E-2</v>
      </c>
      <c r="W76">
        <v>4.1482151377542922E-2</v>
      </c>
      <c r="X76">
        <v>3.3295440537232733E-2</v>
      </c>
      <c r="Y76">
        <v>3.3506063504636453E-2</v>
      </c>
      <c r="Z76">
        <v>6.3575833305737517E-2</v>
      </c>
      <c r="AA76">
        <v>7.1461768461363567E-2</v>
      </c>
      <c r="AB76">
        <v>2.4271755493682438E-2</v>
      </c>
      <c r="AC76">
        <v>4.6633944162290379E-2</v>
      </c>
      <c r="AD76">
        <v>6.3702940454356052E-2</v>
      </c>
      <c r="AF76" t="s">
        <v>174</v>
      </c>
      <c r="AG76" t="s">
        <v>101</v>
      </c>
      <c r="AH76">
        <v>4.856392352848074E-2</v>
      </c>
      <c r="AI76">
        <v>5.0447031457846007E-2</v>
      </c>
      <c r="AJ76">
        <v>2.090064966141943E-2</v>
      </c>
      <c r="AK76">
        <v>5.9697302038801456E-2</v>
      </c>
      <c r="AL76">
        <v>6.118496342206501E-2</v>
      </c>
      <c r="AM76">
        <v>5.4963425239531662E-2</v>
      </c>
      <c r="AN76">
        <v>7.3029691142126971E-2</v>
      </c>
      <c r="AO76">
        <v>5.6485498139360608E-2</v>
      </c>
      <c r="AP76">
        <v>2.2317482166853791E-2</v>
      </c>
      <c r="AQ76">
        <v>7.6161325058531432E-2</v>
      </c>
      <c r="AR76">
        <v>5.0227715407226779E-2</v>
      </c>
      <c r="AS76">
        <v>2.7972701853911468E-2</v>
      </c>
      <c r="AU76" t="s">
        <v>174</v>
      </c>
      <c r="AV76" t="s">
        <v>102</v>
      </c>
      <c r="AW76">
        <v>7.995847264668561E-2</v>
      </c>
      <c r="AX76">
        <v>0.14785707105387624</v>
      </c>
      <c r="AY76">
        <v>0.1532728730452726</v>
      </c>
      <c r="AZ76">
        <v>0.10950403582061757</v>
      </c>
      <c r="BA76">
        <v>0.15552304541814921</v>
      </c>
      <c r="BB76">
        <v>0.12689194004595269</v>
      </c>
      <c r="BC76">
        <v>8.9449202658099164E-2</v>
      </c>
      <c r="BD76">
        <v>0.15012750850596265</v>
      </c>
      <c r="BE76">
        <v>7.5865975734891372E-2</v>
      </c>
      <c r="BF76">
        <v>0.11842765826106384</v>
      </c>
      <c r="BG76">
        <v>0.16186479176686439</v>
      </c>
      <c r="BH76">
        <v>0.11980199772883811</v>
      </c>
      <c r="BR76" t="s">
        <v>174</v>
      </c>
      <c r="BS76">
        <v>0.30334563548171056</v>
      </c>
      <c r="BT76">
        <v>0.25297058051065324</v>
      </c>
      <c r="BU76">
        <v>0.28717951081334619</v>
      </c>
      <c r="BV76">
        <v>0.23281885948963862</v>
      </c>
      <c r="BW76">
        <v>0.21612211304021611</v>
      </c>
      <c r="BX76">
        <v>0.24438853475573499</v>
      </c>
      <c r="BY76">
        <v>0.15305541774102291</v>
      </c>
      <c r="BZ76">
        <v>0.10727313990241483</v>
      </c>
      <c r="CA76">
        <v>0.17626281688808679</v>
      </c>
      <c r="CB76">
        <v>0.24938479687456178</v>
      </c>
      <c r="CC76">
        <v>0.22493917125823987</v>
      </c>
      <c r="CD76">
        <v>0.25941701938999329</v>
      </c>
      <c r="CF76" t="s">
        <v>153</v>
      </c>
      <c r="CG76" t="s">
        <v>108</v>
      </c>
      <c r="CH76" t="s">
        <v>109</v>
      </c>
      <c r="CI76">
        <v>0.31129060889509053</v>
      </c>
    </row>
    <row r="77" spans="2:87" x14ac:dyDescent="0.45">
      <c r="B77" t="s">
        <v>175</v>
      </c>
      <c r="C77" t="s">
        <v>99</v>
      </c>
      <c r="D77">
        <v>0.40894050329963644</v>
      </c>
      <c r="E77">
        <v>0.46280356306028153</v>
      </c>
      <c r="F77">
        <v>0.38338870285692006</v>
      </c>
      <c r="G77">
        <v>0.37657439219888117</v>
      </c>
      <c r="H77">
        <v>0.44433051541718038</v>
      </c>
      <c r="I77">
        <v>0.371670490796768</v>
      </c>
      <c r="J77">
        <v>0.35152266455245512</v>
      </c>
      <c r="K77">
        <v>0.49154836126327095</v>
      </c>
      <c r="L77">
        <v>0.35756121297868171</v>
      </c>
      <c r="M77">
        <v>0.38600357883381298</v>
      </c>
      <c r="N77">
        <v>0.45368568411030852</v>
      </c>
      <c r="O77">
        <v>0.39839493032404644</v>
      </c>
      <c r="Q77" t="s">
        <v>175</v>
      </c>
      <c r="R77" t="s">
        <v>100</v>
      </c>
      <c r="S77">
        <v>8.2248399570858471E-2</v>
      </c>
      <c r="T77">
        <v>3.3579771809996356E-2</v>
      </c>
      <c r="U77">
        <v>6.6389223272568104E-2</v>
      </c>
      <c r="V77">
        <v>2.8160535959925251E-2</v>
      </c>
      <c r="W77">
        <v>5.6087737783011682E-2</v>
      </c>
      <c r="X77">
        <v>3.6007779899357835E-2</v>
      </c>
      <c r="Y77">
        <v>6.8044088269751196E-2</v>
      </c>
      <c r="Z77">
        <v>5.5611411801863832E-2</v>
      </c>
      <c r="AA77">
        <v>0.10930601352526984</v>
      </c>
      <c r="AB77">
        <v>4.6000015123827627E-2</v>
      </c>
      <c r="AC77">
        <v>3.8641226140247641E-2</v>
      </c>
      <c r="AD77">
        <v>5.0274480478192787E-2</v>
      </c>
      <c r="AF77" t="s">
        <v>175</v>
      </c>
      <c r="AG77" t="s">
        <v>101</v>
      </c>
      <c r="AH77">
        <v>8.2135080948931113E-2</v>
      </c>
      <c r="AI77">
        <v>7.8006374633800918E-2</v>
      </c>
      <c r="AJ77">
        <v>6.4450059422704833E-2</v>
      </c>
      <c r="AK77">
        <v>4.2080019542018801E-2</v>
      </c>
      <c r="AL77">
        <v>6.350998877872488E-2</v>
      </c>
      <c r="AM77">
        <v>4.5194576189826773E-2</v>
      </c>
      <c r="AN77">
        <v>4.7949031109060805E-2</v>
      </c>
      <c r="AO77">
        <v>7.1443791242088731E-2</v>
      </c>
      <c r="AP77">
        <v>2.9669199782605512E-2</v>
      </c>
      <c r="AQ77">
        <v>7.946275712745457E-2</v>
      </c>
      <c r="AR77">
        <v>5.0657239961966444E-2</v>
      </c>
      <c r="AS77">
        <v>7.2562260518019478E-2</v>
      </c>
      <c r="AU77" t="s">
        <v>175</v>
      </c>
      <c r="AV77" t="s">
        <v>102</v>
      </c>
      <c r="AW77">
        <v>0.13363521718701665</v>
      </c>
      <c r="AX77">
        <v>0.22658603486180273</v>
      </c>
      <c r="AY77">
        <v>0.14609036790361765</v>
      </c>
      <c r="AZ77">
        <v>0.19512589565406782</v>
      </c>
      <c r="BA77">
        <v>0.20544410730816276</v>
      </c>
      <c r="BB77">
        <v>0.17697704610194306</v>
      </c>
      <c r="BC77">
        <v>0.12217252728909905</v>
      </c>
      <c r="BD77">
        <v>0.26322301719589947</v>
      </c>
      <c r="BE77">
        <v>0.10687140285664137</v>
      </c>
      <c r="BF77">
        <v>0.15046852592658197</v>
      </c>
      <c r="BG77">
        <v>0.25778247461173825</v>
      </c>
      <c r="BH77">
        <v>0.16239227621967658</v>
      </c>
      <c r="BR77" t="s">
        <v>175</v>
      </c>
      <c r="BS77">
        <v>0.21973826315677056</v>
      </c>
      <c r="BT77">
        <v>0.2021003167215891</v>
      </c>
      <c r="BU77">
        <v>0.21143960462677747</v>
      </c>
      <c r="BV77">
        <v>0.19316590837386205</v>
      </c>
      <c r="BW77">
        <v>0.19124037613893996</v>
      </c>
      <c r="BX77">
        <v>0.21269263436340147</v>
      </c>
      <c r="BY77">
        <v>8.9470614208344748E-2</v>
      </c>
      <c r="BZ77">
        <v>7.6728013057001637E-2</v>
      </c>
      <c r="CA77">
        <v>0.10144693446190696</v>
      </c>
      <c r="CB77">
        <v>0.15350149278486722</v>
      </c>
      <c r="CC77">
        <v>0.1368155675350182</v>
      </c>
      <c r="CD77">
        <v>0.16660199294245881</v>
      </c>
      <c r="CF77" t="s">
        <v>155</v>
      </c>
      <c r="CG77" t="s">
        <v>108</v>
      </c>
      <c r="CH77" t="s">
        <v>109</v>
      </c>
      <c r="CI77">
        <v>0.47683075825860993</v>
      </c>
    </row>
    <row r="78" spans="2:87" x14ac:dyDescent="0.45">
      <c r="B78" t="s">
        <v>176</v>
      </c>
      <c r="C78" t="s">
        <v>99</v>
      </c>
      <c r="D78">
        <v>0.3119678602560465</v>
      </c>
      <c r="E78">
        <v>0.39252297911117828</v>
      </c>
      <c r="F78">
        <v>0.34123420625549766</v>
      </c>
      <c r="G78">
        <v>0.32547523147136187</v>
      </c>
      <c r="H78">
        <v>0.39942344551542014</v>
      </c>
      <c r="I78">
        <v>0.32308047756083458</v>
      </c>
      <c r="J78">
        <v>0.26736813790503139</v>
      </c>
      <c r="K78">
        <v>0.43362197275275105</v>
      </c>
      <c r="L78">
        <v>0.23949275412583146</v>
      </c>
      <c r="M78">
        <v>0.32078326312379729</v>
      </c>
      <c r="N78">
        <v>0.39529103781764974</v>
      </c>
      <c r="O78">
        <v>0.33015548328707867</v>
      </c>
      <c r="Q78" t="s">
        <v>176</v>
      </c>
      <c r="R78" t="s">
        <v>100</v>
      </c>
      <c r="S78">
        <v>4.227677769074422E-2</v>
      </c>
      <c r="T78">
        <v>2.8726833412125823E-2</v>
      </c>
      <c r="U78">
        <v>4.4987034874547617E-2</v>
      </c>
      <c r="V78">
        <v>3.9250937092189436E-2</v>
      </c>
      <c r="W78">
        <v>4.7974478336541233E-2</v>
      </c>
      <c r="X78">
        <v>2.6399704788023868E-2</v>
      </c>
      <c r="Y78">
        <v>3.4894538934256647E-2</v>
      </c>
      <c r="Z78">
        <v>5.929284983800133E-2</v>
      </c>
      <c r="AA78">
        <v>7.8667544480497856E-2</v>
      </c>
      <c r="AB78">
        <v>3.4697015558539553E-2</v>
      </c>
      <c r="AC78">
        <v>2.6740733320029603E-2</v>
      </c>
      <c r="AD78">
        <v>6.0117493041584563E-2</v>
      </c>
      <c r="AF78" t="s">
        <v>176</v>
      </c>
      <c r="AG78" t="s">
        <v>101</v>
      </c>
      <c r="AH78">
        <v>4.4627999844446646E-2</v>
      </c>
      <c r="AI78">
        <v>5.1393141182422442E-2</v>
      </c>
      <c r="AJ78">
        <v>3.0476244257178407E-2</v>
      </c>
      <c r="AK78">
        <v>3.4996625631381624E-2</v>
      </c>
      <c r="AL78">
        <v>5.7687818881946316E-2</v>
      </c>
      <c r="AM78">
        <v>5.1485018003918671E-2</v>
      </c>
      <c r="AN78">
        <v>5.2218589744945712E-2</v>
      </c>
      <c r="AO78">
        <v>3.1026306848872517E-2</v>
      </c>
      <c r="AP78">
        <v>1.4532514126725224E-2</v>
      </c>
      <c r="AQ78">
        <v>8.5549066952805952E-2</v>
      </c>
      <c r="AR78">
        <v>3.6983005777165671E-2</v>
      </c>
      <c r="AS78">
        <v>1.8828948302931754E-2</v>
      </c>
      <c r="AU78" t="s">
        <v>176</v>
      </c>
      <c r="AV78" t="s">
        <v>102</v>
      </c>
      <c r="AW78">
        <v>0.11198370060191952</v>
      </c>
      <c r="AX78">
        <v>0.18102096214960328</v>
      </c>
      <c r="AY78">
        <v>0.16871455151535866</v>
      </c>
      <c r="AZ78">
        <v>0.15878542219762842</v>
      </c>
      <c r="BA78">
        <v>0.16493751236191365</v>
      </c>
      <c r="BB78">
        <v>0.14681997714194986</v>
      </c>
      <c r="BC78">
        <v>8.9844633319702868E-2</v>
      </c>
      <c r="BD78">
        <v>0.2375799976819514</v>
      </c>
      <c r="BE78">
        <v>5.8452776008170802E-2</v>
      </c>
      <c r="BF78">
        <v>9.00853484312686E-2</v>
      </c>
      <c r="BG78">
        <v>0.22283961845382994</v>
      </c>
      <c r="BH78">
        <v>0.13823723749404251</v>
      </c>
      <c r="BR78" t="s">
        <v>176</v>
      </c>
      <c r="BS78">
        <v>0.26487708005360266</v>
      </c>
      <c r="BT78">
        <v>0.21986169766796648</v>
      </c>
      <c r="BU78">
        <v>0.25136577787508352</v>
      </c>
      <c r="BV78">
        <v>0.23155671150454063</v>
      </c>
      <c r="BW78">
        <v>0.21389533504307159</v>
      </c>
      <c r="BX78">
        <v>0.24619009792847105</v>
      </c>
      <c r="BY78">
        <v>0.11831807299890236</v>
      </c>
      <c r="BZ78">
        <v>8.7706325106432531E-2</v>
      </c>
      <c r="CA78">
        <v>0.15054985249496203</v>
      </c>
      <c r="CB78">
        <v>0.21684802796381678</v>
      </c>
      <c r="CC78">
        <v>0.18753694492343367</v>
      </c>
      <c r="CD78">
        <v>0.22381276480099754</v>
      </c>
      <c r="CF78" t="s">
        <v>157</v>
      </c>
      <c r="CG78" t="s">
        <v>108</v>
      </c>
      <c r="CH78" t="s">
        <v>109</v>
      </c>
      <c r="CI78">
        <v>0.35233108610943115</v>
      </c>
    </row>
    <row r="79" spans="2:87" x14ac:dyDescent="0.45">
      <c r="B79" t="s">
        <v>177</v>
      </c>
      <c r="C79" t="s">
        <v>99</v>
      </c>
      <c r="D79">
        <v>0.38178834136786666</v>
      </c>
      <c r="E79">
        <v>0.39809900869043813</v>
      </c>
      <c r="F79">
        <v>0.34628962504743649</v>
      </c>
      <c r="G79">
        <v>0.33505278259860566</v>
      </c>
      <c r="H79">
        <v>0.38641196169748926</v>
      </c>
      <c r="I79">
        <v>0.34290586004712914</v>
      </c>
      <c r="J79">
        <v>0.34527676326166928</v>
      </c>
      <c r="K79">
        <v>0.47585140112774937</v>
      </c>
      <c r="L79">
        <v>0.31253904172949065</v>
      </c>
      <c r="M79">
        <v>0.36756205271007991</v>
      </c>
      <c r="N79">
        <v>0.41196028283146902</v>
      </c>
      <c r="O79">
        <v>0.35600944189090472</v>
      </c>
      <c r="Q79" t="s">
        <v>177</v>
      </c>
      <c r="R79" t="s">
        <v>100</v>
      </c>
      <c r="S79">
        <v>1.4662744304341854E-2</v>
      </c>
      <c r="T79">
        <v>2.120627666213391E-2</v>
      </c>
      <c r="U79">
        <v>5.2041541413448397E-2</v>
      </c>
      <c r="V79">
        <v>3.7830105931100887E-2</v>
      </c>
      <c r="W79">
        <v>4.024587288729517E-2</v>
      </c>
      <c r="X79">
        <v>2.1197052859380026E-2</v>
      </c>
      <c r="Y79">
        <v>1.9532547953491731E-2</v>
      </c>
      <c r="Z79">
        <v>6.2012535932208297E-2</v>
      </c>
      <c r="AA79">
        <v>1.6953825602386834E-2</v>
      </c>
      <c r="AB79">
        <v>2.3408638811965535E-2</v>
      </c>
      <c r="AC79">
        <v>1.9417162822352507E-2</v>
      </c>
      <c r="AD79">
        <v>2.6448115112805978E-2</v>
      </c>
      <c r="AF79" t="s">
        <v>177</v>
      </c>
      <c r="AG79" t="s">
        <v>101</v>
      </c>
      <c r="AH79">
        <v>7.025881666999971E-2</v>
      </c>
      <c r="AI79">
        <v>3.0886877532825093E-2</v>
      </c>
      <c r="AJ79">
        <v>4.1229420483816379E-2</v>
      </c>
      <c r="AK79">
        <v>4.7819442134859398E-2</v>
      </c>
      <c r="AL79">
        <v>4.878522544967915E-2</v>
      </c>
      <c r="AM79">
        <v>4.4505836159798612E-2</v>
      </c>
      <c r="AN79">
        <v>3.3534255920810677E-2</v>
      </c>
      <c r="AO79">
        <v>4.7583083380190426E-2</v>
      </c>
      <c r="AP79">
        <v>3.2796751754279825E-2</v>
      </c>
      <c r="AQ79">
        <v>4.5610405821625642E-2</v>
      </c>
      <c r="AR79">
        <v>2.6989338246563441E-2</v>
      </c>
      <c r="AS79">
        <v>3.9411762488995972E-2</v>
      </c>
      <c r="AU79" t="s">
        <v>177</v>
      </c>
      <c r="AV79" t="s">
        <v>102</v>
      </c>
      <c r="AW79">
        <v>0.17874553806167112</v>
      </c>
      <c r="AX79">
        <v>0.21987413273642256</v>
      </c>
      <c r="AY79">
        <v>0.13886840208940349</v>
      </c>
      <c r="AZ79">
        <v>0.14065420105656351</v>
      </c>
      <c r="BA79">
        <v>0.17273513980355459</v>
      </c>
      <c r="BB79">
        <v>0.17259998548139735</v>
      </c>
      <c r="BC79">
        <v>0.21043003355665524</v>
      </c>
      <c r="BD79">
        <v>0.24524544048012392</v>
      </c>
      <c r="BE79">
        <v>0.16892601173611996</v>
      </c>
      <c r="BF79">
        <v>0.17484389979397855</v>
      </c>
      <c r="BG79">
        <v>0.2368177202000496</v>
      </c>
      <c r="BH79">
        <v>0.17663014046307315</v>
      </c>
      <c r="BR79" t="s">
        <v>177</v>
      </c>
      <c r="BS79">
        <v>0.23848166295735868</v>
      </c>
      <c r="BT79">
        <v>0.23225718583506805</v>
      </c>
      <c r="BU79">
        <v>0.25086520201394524</v>
      </c>
      <c r="BV79">
        <v>0.21893502027895725</v>
      </c>
      <c r="BW79">
        <v>0.22197381501747096</v>
      </c>
      <c r="BX79">
        <v>0.24015562460710804</v>
      </c>
      <c r="BY79">
        <v>0.13900115155141887</v>
      </c>
      <c r="BZ79">
        <v>0.1182299170411035</v>
      </c>
      <c r="CA79">
        <v>0.14948535138995289</v>
      </c>
      <c r="CB79">
        <v>0.23972189419909909</v>
      </c>
      <c r="CC79">
        <v>0.23132971718604564</v>
      </c>
      <c r="CD79">
        <v>0.24957248893635747</v>
      </c>
      <c r="CF79" t="s">
        <v>159</v>
      </c>
      <c r="CG79" t="s">
        <v>108</v>
      </c>
      <c r="CH79" t="s">
        <v>109</v>
      </c>
      <c r="CI79">
        <v>0.59307868562336641</v>
      </c>
    </row>
    <row r="80" spans="2:87" x14ac:dyDescent="0.45">
      <c r="B80" t="s">
        <v>178</v>
      </c>
      <c r="C80" t="s">
        <v>99</v>
      </c>
      <c r="D80">
        <v>0.41386453292688136</v>
      </c>
      <c r="E80">
        <v>0.41878277668445563</v>
      </c>
      <c r="F80">
        <v>0.43157402290048463</v>
      </c>
      <c r="G80">
        <v>0.41352551788296804</v>
      </c>
      <c r="H80">
        <v>0.39658176132626383</v>
      </c>
      <c r="I80">
        <v>0.41189872289780266</v>
      </c>
      <c r="J80">
        <v>0.38593654378594422</v>
      </c>
      <c r="K80">
        <v>0.40011983759590442</v>
      </c>
      <c r="L80">
        <v>0.32718106757971321</v>
      </c>
      <c r="M80">
        <v>0.41886162758207146</v>
      </c>
      <c r="N80">
        <v>0.39392650286678571</v>
      </c>
      <c r="O80">
        <v>0.43155308145939791</v>
      </c>
      <c r="Q80" t="s">
        <v>178</v>
      </c>
      <c r="R80" t="s">
        <v>100</v>
      </c>
      <c r="S80">
        <v>9.4097968930453635E-2</v>
      </c>
      <c r="T80">
        <v>4.4680149365022202E-2</v>
      </c>
      <c r="U80">
        <v>4.031154264468572E-2</v>
      </c>
      <c r="V80">
        <v>7.3334474385299941E-2</v>
      </c>
      <c r="W80">
        <v>3.8118331747280972E-2</v>
      </c>
      <c r="X80">
        <v>3.0409572138529926E-2</v>
      </c>
      <c r="Y80">
        <v>7.1077108763082306E-2</v>
      </c>
      <c r="Z80">
        <v>8.8893143458875543E-2</v>
      </c>
      <c r="AA80">
        <v>7.5217252462990158E-2</v>
      </c>
      <c r="AB80">
        <v>5.8284635854703663E-2</v>
      </c>
      <c r="AC80">
        <v>3.7892821177017963E-2</v>
      </c>
      <c r="AD80">
        <v>2.4211550182299185E-2</v>
      </c>
      <c r="AF80" t="s">
        <v>178</v>
      </c>
      <c r="AG80" t="s">
        <v>101</v>
      </c>
      <c r="AH80">
        <v>5.9653690875998928E-2</v>
      </c>
      <c r="AI80">
        <v>8.5061480492904074E-2</v>
      </c>
      <c r="AJ80">
        <v>9.6342535418353636E-2</v>
      </c>
      <c r="AK80">
        <v>6.1847097178978162E-2</v>
      </c>
      <c r="AL80">
        <v>5.0273872086363899E-2</v>
      </c>
      <c r="AM80">
        <v>2.789862583832416E-2</v>
      </c>
      <c r="AN80">
        <v>8.6459160444951083E-2</v>
      </c>
      <c r="AO80">
        <v>4.1453829711499239E-2</v>
      </c>
      <c r="AP80">
        <v>6.4945415083417599E-2</v>
      </c>
      <c r="AQ80">
        <v>7.0463793029167193E-2</v>
      </c>
      <c r="AR80">
        <v>7.5019777012387073E-2</v>
      </c>
      <c r="AS80">
        <v>1.478561415912515E-2</v>
      </c>
      <c r="AU80" t="s">
        <v>178</v>
      </c>
      <c r="AV80" t="s">
        <v>102</v>
      </c>
      <c r="AW80">
        <v>0.14286942005888947</v>
      </c>
      <c r="AX80">
        <v>0.15684758682624966</v>
      </c>
      <c r="AY80">
        <v>0.18234361583770964</v>
      </c>
      <c r="AZ80">
        <v>0.16113030453029181</v>
      </c>
      <c r="BA80">
        <v>0.18393198846666559</v>
      </c>
      <c r="BB80">
        <v>0.23102885467301093</v>
      </c>
      <c r="BC80">
        <v>0.13092995900589513</v>
      </c>
      <c r="BD80">
        <v>0.14862861981344344</v>
      </c>
      <c r="BE80">
        <v>9.0328883261194301E-2</v>
      </c>
      <c r="BF80">
        <v>0.17384671170507734</v>
      </c>
      <c r="BG80">
        <v>0.1680048878038134</v>
      </c>
      <c r="BH80">
        <v>0.2753032978433107</v>
      </c>
      <c r="BR80" t="s">
        <v>178</v>
      </c>
      <c r="BS80">
        <v>0.1876168025483938</v>
      </c>
      <c r="BT80">
        <v>0.1922225070371632</v>
      </c>
      <c r="BU80">
        <v>0.17503219982021259</v>
      </c>
      <c r="BV80">
        <v>0.12827797759005169</v>
      </c>
      <c r="BW80">
        <v>0.19076395775010402</v>
      </c>
      <c r="BX80">
        <v>0.14970650003539684</v>
      </c>
      <c r="BY80">
        <v>4.5648412988186358E-2</v>
      </c>
      <c r="BZ80">
        <v>7.8601725784270743E-2</v>
      </c>
      <c r="CA80">
        <v>6.9579069383134226E-2</v>
      </c>
      <c r="CB80">
        <v>0.16156607670659837</v>
      </c>
      <c r="CC80">
        <v>0.17497158233645421</v>
      </c>
      <c r="CD80">
        <v>0.16393177330431238</v>
      </c>
      <c r="CF80" t="s">
        <v>161</v>
      </c>
      <c r="CG80" t="s">
        <v>108</v>
      </c>
      <c r="CH80" t="s">
        <v>109</v>
      </c>
      <c r="CI80">
        <v>0.54744535801468597</v>
      </c>
    </row>
    <row r="81" spans="2:87" x14ac:dyDescent="0.45">
      <c r="B81" t="s">
        <v>179</v>
      </c>
      <c r="C81" t="s">
        <v>99</v>
      </c>
      <c r="D81">
        <v>0.42587906641266504</v>
      </c>
      <c r="E81">
        <v>0.4382602163973115</v>
      </c>
      <c r="F81">
        <v>0.37858266067073654</v>
      </c>
      <c r="G81">
        <v>0.39654664377124388</v>
      </c>
      <c r="H81">
        <v>0.41695813334916831</v>
      </c>
      <c r="I81">
        <v>0.4049378616458208</v>
      </c>
      <c r="J81">
        <v>0.39545685320130453</v>
      </c>
      <c r="K81">
        <v>0.42635250259412399</v>
      </c>
      <c r="L81">
        <v>0.38874861657490994</v>
      </c>
      <c r="M81">
        <v>0.4053192660756203</v>
      </c>
      <c r="N81">
        <v>0.42774801557628223</v>
      </c>
      <c r="O81">
        <v>0.40761848345617951</v>
      </c>
      <c r="Q81" t="s">
        <v>179</v>
      </c>
      <c r="R81" t="s">
        <v>100</v>
      </c>
      <c r="S81">
        <v>7.0340776388220644E-2</v>
      </c>
      <c r="T81">
        <v>2.5822463272473613E-2</v>
      </c>
      <c r="U81">
        <v>2.3733464146040509E-2</v>
      </c>
      <c r="V81">
        <v>3.4680403210959047E-2</v>
      </c>
      <c r="W81">
        <v>3.4279523580990408E-2</v>
      </c>
      <c r="X81">
        <v>1.4359333734674594E-2</v>
      </c>
      <c r="Y81">
        <v>1.0490893121867741E-2</v>
      </c>
      <c r="Z81">
        <v>4.6311774113442845E-2</v>
      </c>
      <c r="AA81">
        <v>2.0181138376150494E-2</v>
      </c>
      <c r="AB81">
        <v>1.1837235284250226E-2</v>
      </c>
      <c r="AC81">
        <v>1.6001303205736173E-2</v>
      </c>
      <c r="AD81">
        <v>2.675299407702432E-2</v>
      </c>
      <c r="AF81" t="s">
        <v>179</v>
      </c>
      <c r="AG81" t="s">
        <v>101</v>
      </c>
      <c r="AH81">
        <v>7.406044475166941E-2</v>
      </c>
      <c r="AI81">
        <v>6.7919308978734771E-2</v>
      </c>
      <c r="AJ81">
        <v>3.3404666852453337E-2</v>
      </c>
      <c r="AK81">
        <v>1.5047383224707309E-2</v>
      </c>
      <c r="AL81">
        <v>5.7396418823611496E-2</v>
      </c>
      <c r="AM81">
        <v>2.5207825102866489E-2</v>
      </c>
      <c r="AN81">
        <v>9.8014550882200135E-3</v>
      </c>
      <c r="AO81">
        <v>2.9971997696626524E-2</v>
      </c>
      <c r="AP81">
        <v>5.5065244171240382E-2</v>
      </c>
      <c r="AQ81">
        <v>5.1057998777318099E-2</v>
      </c>
      <c r="AR81">
        <v>5.4805448730339034E-3</v>
      </c>
      <c r="AS81">
        <v>2.6301762632540384E-2</v>
      </c>
      <c r="AU81" t="s">
        <v>179</v>
      </c>
      <c r="AV81" t="s">
        <v>102</v>
      </c>
      <c r="AW81">
        <v>0.14575218905117074</v>
      </c>
      <c r="AX81">
        <v>0.20705492440181103</v>
      </c>
      <c r="AY81">
        <v>0.20324095476588991</v>
      </c>
      <c r="AZ81">
        <v>0.23482980811851309</v>
      </c>
      <c r="BA81">
        <v>0.20374023360086524</v>
      </c>
      <c r="BB81">
        <v>0.25497569682587951</v>
      </c>
      <c r="BC81">
        <v>0.26725337173765173</v>
      </c>
      <c r="BD81">
        <v>0.23011329708412451</v>
      </c>
      <c r="BE81">
        <v>0.19867066286372337</v>
      </c>
      <c r="BF81">
        <v>0.21619704104672316</v>
      </c>
      <c r="BG81">
        <v>0.28557877145943439</v>
      </c>
      <c r="BH81">
        <v>0.22826920462871103</v>
      </c>
      <c r="BR81" t="s">
        <v>179</v>
      </c>
      <c r="BS81">
        <v>0.16073133203173712</v>
      </c>
      <c r="BT81">
        <v>0.18777983995775269</v>
      </c>
      <c r="BU81">
        <v>0.16132067858241333</v>
      </c>
      <c r="BV81">
        <v>0.12429039531226733</v>
      </c>
      <c r="BW81">
        <v>0.15808497604674343</v>
      </c>
      <c r="BX81">
        <v>0.14638866925582983</v>
      </c>
      <c r="BY81">
        <v>7.111798865994641E-2</v>
      </c>
      <c r="BZ81">
        <v>7.685690531682339E-2</v>
      </c>
      <c r="CA81">
        <v>7.9665519253260764E-2</v>
      </c>
      <c r="CB81">
        <v>0.1411899238806269</v>
      </c>
      <c r="CC81">
        <v>0.14786517519186129</v>
      </c>
      <c r="CD81">
        <v>0.15349040425591343</v>
      </c>
      <c r="CF81" t="s">
        <v>163</v>
      </c>
      <c r="CG81" t="s">
        <v>108</v>
      </c>
      <c r="CH81" t="s">
        <v>109</v>
      </c>
      <c r="CI81">
        <v>0.61161180282732652</v>
      </c>
    </row>
    <row r="82" spans="2:87" x14ac:dyDescent="0.45">
      <c r="B82" t="s">
        <v>180</v>
      </c>
      <c r="C82" t="s">
        <v>99</v>
      </c>
      <c r="D82">
        <v>0.34838695503675199</v>
      </c>
      <c r="E82">
        <v>0.35092480416286864</v>
      </c>
      <c r="F82">
        <v>0.34612993916964158</v>
      </c>
      <c r="G82">
        <v>0.33914714084403108</v>
      </c>
      <c r="H82">
        <v>0.3997780942589127</v>
      </c>
      <c r="I82">
        <v>0.35791363060367914</v>
      </c>
      <c r="J82">
        <v>0.34714799674526664</v>
      </c>
      <c r="K82">
        <v>0.4097805300683528</v>
      </c>
      <c r="L82">
        <v>0.33010974697572726</v>
      </c>
      <c r="M82">
        <v>0.35575566046019691</v>
      </c>
      <c r="N82">
        <v>0.38758605526447276</v>
      </c>
      <c r="O82">
        <v>0.34467343639535242</v>
      </c>
      <c r="Q82" t="s">
        <v>180</v>
      </c>
      <c r="R82" t="s">
        <v>100</v>
      </c>
      <c r="S82">
        <v>3.3128878745699544E-2</v>
      </c>
      <c r="T82">
        <v>3.2551041346910302E-2</v>
      </c>
      <c r="U82">
        <v>2.4319223606541727E-2</v>
      </c>
      <c r="V82">
        <v>3.1945671985664635E-2</v>
      </c>
      <c r="W82">
        <v>3.3391274241108555E-2</v>
      </c>
      <c r="X82">
        <v>4.4823768474909875E-2</v>
      </c>
      <c r="Y82">
        <v>3.4608965595247183E-2</v>
      </c>
      <c r="Z82">
        <v>4.3243982496940753E-2</v>
      </c>
      <c r="AA82">
        <v>5.0482432989549395E-2</v>
      </c>
      <c r="AB82">
        <v>1.7900929298524503E-2</v>
      </c>
      <c r="AC82">
        <v>2.501292619083352E-2</v>
      </c>
      <c r="AD82">
        <v>5.0381628256061725E-2</v>
      </c>
      <c r="AF82" t="s">
        <v>180</v>
      </c>
      <c r="AG82" t="s">
        <v>101</v>
      </c>
      <c r="AH82">
        <v>3.3537799042729168E-2</v>
      </c>
      <c r="AI82">
        <v>4.3381346158911767E-2</v>
      </c>
      <c r="AJ82">
        <v>4.8876396654082763E-2</v>
      </c>
      <c r="AK82">
        <v>5.1698150029141285E-2</v>
      </c>
      <c r="AL82">
        <v>5.2884413920070039E-2</v>
      </c>
      <c r="AM82">
        <v>4.8505425322237929E-2</v>
      </c>
      <c r="AN82">
        <v>5.8680890526029747E-2</v>
      </c>
      <c r="AO82">
        <v>4.3762059064957358E-2</v>
      </c>
      <c r="AP82">
        <v>3.7722563443973421E-2</v>
      </c>
      <c r="AQ82">
        <v>6.1364302201473965E-2</v>
      </c>
      <c r="AR82">
        <v>3.0824523125049862E-2</v>
      </c>
      <c r="AS82">
        <v>4.0313592645054831E-2</v>
      </c>
      <c r="AU82" t="s">
        <v>180</v>
      </c>
      <c r="AV82" t="s">
        <v>102</v>
      </c>
      <c r="AW82">
        <v>0.16053508929758084</v>
      </c>
      <c r="AX82">
        <v>0.15122929357793463</v>
      </c>
      <c r="AY82">
        <v>0.17080087892924109</v>
      </c>
      <c r="AZ82">
        <v>0.15245409260422876</v>
      </c>
      <c r="BA82">
        <v>0.18519036934154154</v>
      </c>
      <c r="BB82">
        <v>0.15523681544833573</v>
      </c>
      <c r="BC82">
        <v>0.13834925489572145</v>
      </c>
      <c r="BD82">
        <v>0.20884943025681119</v>
      </c>
      <c r="BE82">
        <v>0.13372512195408728</v>
      </c>
      <c r="BF82">
        <v>0.16682947700502243</v>
      </c>
      <c r="BG82">
        <v>0.20347337883021085</v>
      </c>
      <c r="BH82">
        <v>0.13437163717308884</v>
      </c>
      <c r="BR82" t="s">
        <v>180</v>
      </c>
      <c r="BS82">
        <v>0.27367204706554737</v>
      </c>
      <c r="BT82">
        <v>0.25566462988267297</v>
      </c>
      <c r="BU82">
        <v>0.2760033623334921</v>
      </c>
      <c r="BV82">
        <v>0.20532213936114027</v>
      </c>
      <c r="BW82">
        <v>0.21027235824558299</v>
      </c>
      <c r="BX82">
        <v>0.21742018830366378</v>
      </c>
      <c r="BY82">
        <v>0.14515617812575965</v>
      </c>
      <c r="BZ82">
        <v>0.11303984379592023</v>
      </c>
      <c r="CA82">
        <v>0.14116518347753873</v>
      </c>
      <c r="CB82">
        <v>0.27600091589570674</v>
      </c>
      <c r="CC82">
        <v>0.25689668749378314</v>
      </c>
      <c r="CD82">
        <v>0.27948690139718979</v>
      </c>
      <c r="CF82" t="s">
        <v>165</v>
      </c>
      <c r="CG82" t="s">
        <v>108</v>
      </c>
      <c r="CH82" t="s">
        <v>109</v>
      </c>
      <c r="CI82">
        <v>0.58697035247585772</v>
      </c>
    </row>
    <row r="83" spans="2:87" x14ac:dyDescent="0.45">
      <c r="B83" t="s">
        <v>181</v>
      </c>
      <c r="C83" t="s">
        <v>99</v>
      </c>
      <c r="D83">
        <v>0.3842495260046232</v>
      </c>
      <c r="E83">
        <v>0.38912187632961076</v>
      </c>
      <c r="F83">
        <v>0.37586156539587434</v>
      </c>
      <c r="G83">
        <v>0.32613384551478036</v>
      </c>
      <c r="H83">
        <v>0.41924477230347029</v>
      </c>
      <c r="I83">
        <v>0.35489847017958581</v>
      </c>
      <c r="J83">
        <v>0.3410215826150314</v>
      </c>
      <c r="K83">
        <v>0.41533492369090103</v>
      </c>
      <c r="L83">
        <v>0.30030040573269656</v>
      </c>
      <c r="M83">
        <v>0.38522486588830784</v>
      </c>
      <c r="N83">
        <v>0.43507046087741508</v>
      </c>
      <c r="O83">
        <v>0.36632567320102827</v>
      </c>
      <c r="Q83" t="s">
        <v>181</v>
      </c>
      <c r="R83" t="s">
        <v>100</v>
      </c>
      <c r="S83">
        <v>3.3791625935562834E-2</v>
      </c>
      <c r="T83">
        <v>3.0144586455039209E-2</v>
      </c>
      <c r="U83">
        <v>3.0138421960583334E-2</v>
      </c>
      <c r="V83">
        <v>2.4804559607495634E-2</v>
      </c>
      <c r="W83">
        <v>3.9573617631004608E-2</v>
      </c>
      <c r="X83">
        <v>5.4095278062095686E-2</v>
      </c>
      <c r="Y83">
        <v>3.585510417153992E-2</v>
      </c>
      <c r="Z83">
        <v>6.5090670167931436E-2</v>
      </c>
      <c r="AA83">
        <v>3.9052729600224885E-2</v>
      </c>
      <c r="AB83">
        <v>1.8088804045905314E-2</v>
      </c>
      <c r="AC83">
        <v>2.3026027680366452E-2</v>
      </c>
      <c r="AD83">
        <v>4.7451951597618093E-2</v>
      </c>
      <c r="AF83" t="s">
        <v>181</v>
      </c>
      <c r="AG83" t="s">
        <v>101</v>
      </c>
      <c r="AH83">
        <v>4.7352924695317399E-2</v>
      </c>
      <c r="AI83">
        <v>3.6218743840725376E-2</v>
      </c>
      <c r="AJ83">
        <v>5.4931707845833386E-2</v>
      </c>
      <c r="AK83">
        <v>5.8124777094776071E-2</v>
      </c>
      <c r="AL83">
        <v>4.908366740746279E-2</v>
      </c>
      <c r="AM83">
        <v>3.719815562452658E-2</v>
      </c>
      <c r="AN83">
        <v>5.149673455472626E-2</v>
      </c>
      <c r="AO83">
        <v>4.5643934730718073E-2</v>
      </c>
      <c r="AP83">
        <v>4.0975867269205504E-2</v>
      </c>
      <c r="AQ83">
        <v>6.5693191203110221E-2</v>
      </c>
      <c r="AR83">
        <v>3.1312028392004337E-2</v>
      </c>
      <c r="AS83">
        <v>4.988074371639227E-2</v>
      </c>
      <c r="AU83" t="s">
        <v>181</v>
      </c>
      <c r="AV83" t="s">
        <v>102</v>
      </c>
      <c r="AW83">
        <v>0.17626570512990888</v>
      </c>
      <c r="AX83">
        <v>0.19526203271928189</v>
      </c>
      <c r="AY83">
        <v>0.17525911333500022</v>
      </c>
      <c r="AZ83">
        <v>0.14267819941069346</v>
      </c>
      <c r="BA83">
        <v>0.2047545364735277</v>
      </c>
      <c r="BB83">
        <v>0.15704787470836065</v>
      </c>
      <c r="BC83">
        <v>0.15611654995685897</v>
      </c>
      <c r="BD83">
        <v>0.1913629089900781</v>
      </c>
      <c r="BE83">
        <v>0.12038072231935362</v>
      </c>
      <c r="BF83">
        <v>0.17669304682478104</v>
      </c>
      <c r="BG83">
        <v>0.24120178896431377</v>
      </c>
      <c r="BH83">
        <v>0.13734624357686809</v>
      </c>
      <c r="BR83" t="s">
        <v>181</v>
      </c>
      <c r="BS83">
        <v>0.230794637023745</v>
      </c>
      <c r="BT83">
        <v>0.22668788718389471</v>
      </c>
      <c r="BU83">
        <v>0.23952883183343027</v>
      </c>
      <c r="BV83">
        <v>0.17827625507882</v>
      </c>
      <c r="BW83">
        <v>0.16364623222752236</v>
      </c>
      <c r="BX83">
        <v>0.19340415437141553</v>
      </c>
      <c r="BY83">
        <v>0.11751036662749516</v>
      </c>
      <c r="BZ83">
        <v>0.10188507146746101</v>
      </c>
      <c r="CA83">
        <v>0.12728915156501044</v>
      </c>
      <c r="CB83">
        <v>0.24066692922744876</v>
      </c>
      <c r="CC83">
        <v>0.21610502013881608</v>
      </c>
      <c r="CD83">
        <v>0.23893222670294903</v>
      </c>
      <c r="CF83" t="s">
        <v>167</v>
      </c>
      <c r="CG83" t="s">
        <v>108</v>
      </c>
      <c r="CH83" t="s">
        <v>109</v>
      </c>
      <c r="CI83">
        <v>0.67507505332674789</v>
      </c>
    </row>
    <row r="84" spans="2:87" x14ac:dyDescent="0.45">
      <c r="B84" t="s">
        <v>182</v>
      </c>
      <c r="C84" t="s">
        <v>99</v>
      </c>
      <c r="D84">
        <v>0.4454067285874746</v>
      </c>
      <c r="E84">
        <v>0.41990014168192363</v>
      </c>
      <c r="F84">
        <v>0.40490000666281029</v>
      </c>
      <c r="G84">
        <v>0.42473936793323008</v>
      </c>
      <c r="H84">
        <v>0.4369798976300639</v>
      </c>
      <c r="I84">
        <v>0.40069588085887381</v>
      </c>
      <c r="J84">
        <v>0.41132391609871255</v>
      </c>
      <c r="K84">
        <v>0.4796264549093312</v>
      </c>
      <c r="L84">
        <v>0.39186008791261751</v>
      </c>
      <c r="M84">
        <v>0.41041457057699871</v>
      </c>
      <c r="N84">
        <v>0.43829302617235788</v>
      </c>
      <c r="O84">
        <v>0.38127251981352789</v>
      </c>
      <c r="Q84" t="s">
        <v>182</v>
      </c>
      <c r="R84" t="s">
        <v>100</v>
      </c>
      <c r="S84">
        <v>2.3348815824018286E-2</v>
      </c>
      <c r="T84">
        <v>4.4869196124630369E-2</v>
      </c>
      <c r="U84">
        <v>2.6289956423728767E-2</v>
      </c>
      <c r="V84">
        <v>5.3088729090232954E-2</v>
      </c>
      <c r="W84">
        <v>6.4051347630129846E-2</v>
      </c>
      <c r="X84">
        <v>5.0563527259889926E-2</v>
      </c>
      <c r="Y84">
        <v>2.447070299173806E-2</v>
      </c>
      <c r="Z84">
        <v>6.6783170627310817E-2</v>
      </c>
      <c r="AA84">
        <v>2.9677213424919999E-2</v>
      </c>
      <c r="AB84">
        <v>3.3397372376095309E-2</v>
      </c>
      <c r="AC84">
        <v>1.7227010878853935E-2</v>
      </c>
      <c r="AD84">
        <v>3.1103072287687057E-2</v>
      </c>
      <c r="AF84" t="s">
        <v>182</v>
      </c>
      <c r="AG84" t="s">
        <v>101</v>
      </c>
      <c r="AH84">
        <v>2.887270262865347E-2</v>
      </c>
      <c r="AI84">
        <v>4.6430462229862225E-2</v>
      </c>
      <c r="AJ84">
        <v>6.0164719037898655E-2</v>
      </c>
      <c r="AK84">
        <v>8.3390019598863802E-2</v>
      </c>
      <c r="AL84">
        <v>6.7764546338324627E-2</v>
      </c>
      <c r="AM84">
        <v>6.9026634700198417E-2</v>
      </c>
      <c r="AN84">
        <v>4.479557367862054E-2</v>
      </c>
      <c r="AO84">
        <v>1.5334295066892167E-2</v>
      </c>
      <c r="AP84">
        <v>7.587493525191881E-2</v>
      </c>
      <c r="AQ84">
        <v>8.7310709002971471E-2</v>
      </c>
      <c r="AR84">
        <v>3.0114877490441682E-2</v>
      </c>
      <c r="AS84">
        <v>1.9654863598788694E-2</v>
      </c>
      <c r="AU84" t="s">
        <v>182</v>
      </c>
      <c r="AV84" t="s">
        <v>102</v>
      </c>
      <c r="AW84">
        <v>0.27112278468928919</v>
      </c>
      <c r="AX84">
        <v>0.1998420976099109</v>
      </c>
      <c r="AY84">
        <v>0.19906843396319046</v>
      </c>
      <c r="AZ84">
        <v>0.17023097304510817</v>
      </c>
      <c r="BA84">
        <v>0.18441471095584283</v>
      </c>
      <c r="BB84">
        <v>0.17337400468727629</v>
      </c>
      <c r="BC84">
        <v>0.23529925911103564</v>
      </c>
      <c r="BD84">
        <v>0.27498772231302382</v>
      </c>
      <c r="BE84">
        <v>0.16614741028198168</v>
      </c>
      <c r="BF84">
        <v>0.16514537243742169</v>
      </c>
      <c r="BG84">
        <v>0.2643413952005535</v>
      </c>
      <c r="BH84">
        <v>0.21732930502667197</v>
      </c>
      <c r="BR84" t="s">
        <v>182</v>
      </c>
      <c r="BS84">
        <v>0.17250745965340433</v>
      </c>
      <c r="BT84">
        <v>0.1626217378435017</v>
      </c>
      <c r="BU84">
        <v>0.19240946808538095</v>
      </c>
      <c r="BV84">
        <v>0.12910407535635629</v>
      </c>
      <c r="BW84">
        <v>0.12284618041939135</v>
      </c>
      <c r="BX84">
        <v>0.15541887942198263</v>
      </c>
      <c r="BY84">
        <v>9.8749493277547187E-2</v>
      </c>
      <c r="BZ84">
        <v>9.5078698742919035E-2</v>
      </c>
      <c r="CA84">
        <v>0.12994712676577894</v>
      </c>
      <c r="CB84">
        <v>0.19814831747323755</v>
      </c>
      <c r="CC84">
        <v>0.18360496708459115</v>
      </c>
      <c r="CD84">
        <v>0.19852954194255845</v>
      </c>
      <c r="CF84" t="s">
        <v>169</v>
      </c>
      <c r="CG84" t="s">
        <v>108</v>
      </c>
      <c r="CH84" t="s">
        <v>109</v>
      </c>
      <c r="CI84">
        <v>0.64839102083444677</v>
      </c>
    </row>
    <row r="85" spans="2:87" x14ac:dyDescent="0.45">
      <c r="B85" t="s">
        <v>183</v>
      </c>
      <c r="C85" t="s">
        <v>99</v>
      </c>
      <c r="D85">
        <v>0.42047570819760238</v>
      </c>
      <c r="E85">
        <v>0.40444620827788108</v>
      </c>
      <c r="F85">
        <v>0.39874486494253791</v>
      </c>
      <c r="G85">
        <v>0.39168789881487931</v>
      </c>
      <c r="H85">
        <v>0.39738315555943221</v>
      </c>
      <c r="I85">
        <v>0.39884765131321781</v>
      </c>
      <c r="J85">
        <v>0.43044002691032229</v>
      </c>
      <c r="K85">
        <v>0.46290775992242639</v>
      </c>
      <c r="L85">
        <v>0.34639538843328127</v>
      </c>
      <c r="M85">
        <v>0.4171668061514604</v>
      </c>
      <c r="N85">
        <v>0.4251643890556876</v>
      </c>
      <c r="O85">
        <v>0.38735048599448529</v>
      </c>
      <c r="Q85" t="s">
        <v>183</v>
      </c>
      <c r="R85" t="s">
        <v>100</v>
      </c>
      <c r="S85">
        <v>3.4478969192329283E-2</v>
      </c>
      <c r="T85">
        <v>4.5127075201971296E-2</v>
      </c>
      <c r="U85">
        <v>3.1230918051501196E-2</v>
      </c>
      <c r="V85">
        <v>3.6063687086311622E-2</v>
      </c>
      <c r="W85">
        <v>5.1923299910051499E-2</v>
      </c>
      <c r="X85">
        <v>1.7329360423858898E-2</v>
      </c>
      <c r="Y85">
        <v>1.5054714458606306E-2</v>
      </c>
      <c r="Z85">
        <v>4.2053765756071046E-2</v>
      </c>
      <c r="AA85">
        <v>1.276944916399623E-2</v>
      </c>
      <c r="AB85">
        <v>3.6928804518911576E-2</v>
      </c>
      <c r="AC85">
        <v>1.9840082074095846E-2</v>
      </c>
      <c r="AD85">
        <v>3.670509974006532E-2</v>
      </c>
      <c r="AF85" t="s">
        <v>183</v>
      </c>
      <c r="AG85" t="s">
        <v>101</v>
      </c>
      <c r="AH85">
        <v>4.885052013645319E-2</v>
      </c>
      <c r="AI85">
        <v>5.5938302900873114E-2</v>
      </c>
      <c r="AJ85">
        <v>6.6961811067312998E-2</v>
      </c>
      <c r="AK85">
        <v>4.4043704209668022E-2</v>
      </c>
      <c r="AL85">
        <v>5.3464429677865973E-2</v>
      </c>
      <c r="AM85">
        <v>8.1842345936796804E-2</v>
      </c>
      <c r="AN85">
        <v>1.0866892471422127E-2</v>
      </c>
      <c r="AO85">
        <v>2.2886041502286823E-2</v>
      </c>
      <c r="AP85">
        <v>4.7769472656296573E-2</v>
      </c>
      <c r="AQ85">
        <v>5.8228915494422787E-2</v>
      </c>
      <c r="AR85">
        <v>4.7699311919158896E-2</v>
      </c>
      <c r="AS85">
        <v>3.4039817764261321E-2</v>
      </c>
      <c r="AU85" t="s">
        <v>183</v>
      </c>
      <c r="AV85" t="s">
        <v>102</v>
      </c>
      <c r="AW85">
        <v>0.22613224145063388</v>
      </c>
      <c r="AX85">
        <v>0.17784121067807193</v>
      </c>
      <c r="AY85">
        <v>0.18620678860846077</v>
      </c>
      <c r="AZ85">
        <v>0.19955177246979955</v>
      </c>
      <c r="BA85">
        <v>0.17478712061791277</v>
      </c>
      <c r="BB85">
        <v>0.19242937244845357</v>
      </c>
      <c r="BC85">
        <v>0.30348047532026651</v>
      </c>
      <c r="BD85">
        <v>0.27247134138036178</v>
      </c>
      <c r="BE85">
        <v>0.17549619207444653</v>
      </c>
      <c r="BF85">
        <v>0.20031641342714548</v>
      </c>
      <c r="BG85">
        <v>0.23225658663616647</v>
      </c>
      <c r="BH85">
        <v>0.19826804037248727</v>
      </c>
      <c r="BR85" t="s">
        <v>183</v>
      </c>
      <c r="BS85">
        <v>0.19816184963563924</v>
      </c>
      <c r="BT85">
        <v>0.20714256839057291</v>
      </c>
      <c r="BU85">
        <v>0.21594512439837246</v>
      </c>
      <c r="BV85">
        <v>0.15331089612651844</v>
      </c>
      <c r="BW85">
        <v>0.18892348692219132</v>
      </c>
      <c r="BX85">
        <v>0.18960220377394671</v>
      </c>
      <c r="BY85">
        <v>0.10485087784501562</v>
      </c>
      <c r="BZ85">
        <v>0.12627029162522202</v>
      </c>
      <c r="CA85">
        <v>0.13015113247262061</v>
      </c>
      <c r="CB85">
        <v>0.2184128962253532</v>
      </c>
      <c r="CC85">
        <v>0.22555987162438138</v>
      </c>
      <c r="CD85">
        <v>0.22693282443303409</v>
      </c>
      <c r="CF85" t="s">
        <v>171</v>
      </c>
      <c r="CG85" t="s">
        <v>108</v>
      </c>
      <c r="CH85" t="s">
        <v>109</v>
      </c>
      <c r="CI85">
        <v>0.59231708253375948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390E3-6168-4E8D-AC8D-2B3672A59622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0.33422375616539246</v>
      </c>
      <c r="P11">
        <v>2020</v>
      </c>
      <c r="Q11" t="s">
        <v>193</v>
      </c>
      <c r="R11">
        <v>0.31556666666666666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8.9903744818597753E-2</v>
      </c>
      <c r="P12">
        <v>2020</v>
      </c>
      <c r="Q12" t="s">
        <v>195</v>
      </c>
      <c r="R12">
        <v>0.32903333333333334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0.16135490523742346</v>
      </c>
      <c r="P13">
        <v>2020</v>
      </c>
      <c r="Q13" t="s">
        <v>196</v>
      </c>
      <c r="R13">
        <v>0.2475333333333333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0.34341032577090225</v>
      </c>
      <c r="P14">
        <v>2020</v>
      </c>
      <c r="Q14" t="s">
        <v>197</v>
      </c>
      <c r="R14">
        <v>0.21636666666666668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0.13281779002140848</v>
      </c>
      <c r="P15">
        <v>2021</v>
      </c>
      <c r="Q15" t="s">
        <v>193</v>
      </c>
      <c r="R15">
        <v>0.33883333333333332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0.21033216469750315</v>
      </c>
      <c r="P16">
        <v>2021</v>
      </c>
      <c r="Q16" t="s">
        <v>195</v>
      </c>
      <c r="R16">
        <v>0.27746666666666669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0.25648962628082539</v>
      </c>
      <c r="P17">
        <v>2021</v>
      </c>
      <c r="Q17" t="s">
        <v>196</v>
      </c>
      <c r="R17">
        <v>0.27649999999999997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0.10536236988881864</v>
      </c>
      <c r="P18">
        <v>2021</v>
      </c>
      <c r="Q18" t="s">
        <v>197</v>
      </c>
      <c r="R18">
        <v>0.17016666666666666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0.13209071708321041</v>
      </c>
      <c r="P19">
        <v>2022</v>
      </c>
      <c r="Q19" t="s">
        <v>193</v>
      </c>
      <c r="R19">
        <v>0.25390000000000001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0.37086759523409962</v>
      </c>
      <c r="P20">
        <v>2022</v>
      </c>
      <c r="Q20" t="s">
        <v>195</v>
      </c>
      <c r="R20">
        <v>0.23780000000000001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0.1709931594553209</v>
      </c>
      <c r="P21">
        <v>2022</v>
      </c>
      <c r="Q21" t="s">
        <v>196</v>
      </c>
      <c r="R21">
        <v>0.16893333333333335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0.23823455411858552</v>
      </c>
      <c r="P22">
        <v>2022</v>
      </c>
      <c r="Q22" t="s">
        <v>197</v>
      </c>
      <c r="R22">
        <v>0.15003333333333332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0.29620000000000002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0.27356666666666668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0.23003333333333331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0.2056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0.30990000000000001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0.24750000000000003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0.23356666666666667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0.18826666666666667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0.30763333333333337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0.32896666666666668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0.23676666666666665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0.20086666666666667</v>
      </c>
      <c r="S34" t="s">
        <v>194</v>
      </c>
    </row>
    <row r="35" spans="8:19" x14ac:dyDescent="0.45">
      <c r="P35">
        <v>2028</v>
      </c>
      <c r="Q35" t="s">
        <v>193</v>
      </c>
      <c r="R35">
        <v>0.3652333333333333</v>
      </c>
      <c r="S35" t="s">
        <v>194</v>
      </c>
    </row>
    <row r="36" spans="8:19" x14ac:dyDescent="0.45">
      <c r="P36">
        <v>2028</v>
      </c>
      <c r="Q36" t="s">
        <v>195</v>
      </c>
      <c r="R36">
        <v>0.34646666666666665</v>
      </c>
      <c r="S36" t="s">
        <v>194</v>
      </c>
    </row>
    <row r="37" spans="8:19" x14ac:dyDescent="0.45">
      <c r="P37">
        <v>2028</v>
      </c>
      <c r="Q37" t="s">
        <v>196</v>
      </c>
      <c r="R37">
        <v>0.25796666666666668</v>
      </c>
      <c r="S37" t="s">
        <v>194</v>
      </c>
    </row>
    <row r="38" spans="8:19" x14ac:dyDescent="0.45">
      <c r="P38">
        <v>2028</v>
      </c>
      <c r="Q38" t="s">
        <v>197</v>
      </c>
      <c r="R38">
        <v>0.19089999999999999</v>
      </c>
      <c r="S38" t="s">
        <v>194</v>
      </c>
    </row>
    <row r="39" spans="8:19" x14ac:dyDescent="0.45">
      <c r="P39">
        <v>2029</v>
      </c>
      <c r="Q39" t="s">
        <v>193</v>
      </c>
      <c r="R39">
        <v>0.31886666666666669</v>
      </c>
      <c r="S39" t="s">
        <v>194</v>
      </c>
    </row>
    <row r="40" spans="8:19" x14ac:dyDescent="0.45">
      <c r="P40">
        <v>2029</v>
      </c>
      <c r="Q40" t="s">
        <v>195</v>
      </c>
      <c r="R40">
        <v>0.34953333333333331</v>
      </c>
      <c r="S40" t="s">
        <v>194</v>
      </c>
    </row>
    <row r="41" spans="8:19" x14ac:dyDescent="0.45">
      <c r="P41">
        <v>2029</v>
      </c>
      <c r="Q41" t="s">
        <v>196</v>
      </c>
      <c r="R41">
        <v>0.24443333333333331</v>
      </c>
      <c r="S41" t="s">
        <v>194</v>
      </c>
    </row>
    <row r="42" spans="8:19" x14ac:dyDescent="0.45">
      <c r="P42">
        <v>2029</v>
      </c>
      <c r="Q42" t="s">
        <v>197</v>
      </c>
      <c r="R42">
        <v>0.16983333333333331</v>
      </c>
      <c r="S42" t="s">
        <v>194</v>
      </c>
    </row>
    <row r="43" spans="8:19" x14ac:dyDescent="0.45">
      <c r="P43">
        <v>2030</v>
      </c>
      <c r="Q43" t="s">
        <v>193</v>
      </c>
      <c r="R43">
        <v>0.31743333333333329</v>
      </c>
      <c r="S43" t="s">
        <v>194</v>
      </c>
    </row>
    <row r="44" spans="8:19" x14ac:dyDescent="0.45">
      <c r="P44">
        <v>2030</v>
      </c>
      <c r="Q44" t="s">
        <v>195</v>
      </c>
      <c r="R44">
        <v>0.36359999999999992</v>
      </c>
      <c r="S44" t="s">
        <v>194</v>
      </c>
    </row>
    <row r="45" spans="8:19" x14ac:dyDescent="0.45">
      <c r="P45">
        <v>2030</v>
      </c>
      <c r="Q45" t="s">
        <v>196</v>
      </c>
      <c r="R45">
        <v>0.24803333333333333</v>
      </c>
      <c r="S45" t="s">
        <v>194</v>
      </c>
    </row>
    <row r="46" spans="8:19" x14ac:dyDescent="0.45">
      <c r="P46">
        <v>2030</v>
      </c>
      <c r="Q46" t="s">
        <v>197</v>
      </c>
      <c r="R46">
        <v>0.20230000000000001</v>
      </c>
      <c r="S46" t="s">
        <v>194</v>
      </c>
    </row>
    <row r="47" spans="8:19" x14ac:dyDescent="0.45">
      <c r="P47">
        <v>2031</v>
      </c>
      <c r="Q47" t="s">
        <v>193</v>
      </c>
      <c r="R47">
        <v>0.33770000000000006</v>
      </c>
      <c r="S47" t="s">
        <v>194</v>
      </c>
    </row>
    <row r="48" spans="8:19" x14ac:dyDescent="0.45">
      <c r="P48">
        <v>2031</v>
      </c>
      <c r="Q48" t="s">
        <v>195</v>
      </c>
      <c r="R48">
        <v>0.34693333333333332</v>
      </c>
      <c r="S48" t="s">
        <v>194</v>
      </c>
    </row>
    <row r="49" spans="16:19" x14ac:dyDescent="0.45">
      <c r="P49">
        <v>2031</v>
      </c>
      <c r="Q49" t="s">
        <v>196</v>
      </c>
      <c r="R49">
        <v>0.2714333333333333</v>
      </c>
      <c r="S49" t="s">
        <v>194</v>
      </c>
    </row>
    <row r="50" spans="16:19" x14ac:dyDescent="0.45">
      <c r="P50">
        <v>2031</v>
      </c>
      <c r="Q50" t="s">
        <v>197</v>
      </c>
      <c r="R50">
        <v>0.20003333333333337</v>
      </c>
      <c r="S50" t="s">
        <v>194</v>
      </c>
    </row>
    <row r="51" spans="16:19" x14ac:dyDescent="0.45">
      <c r="P51">
        <v>2032</v>
      </c>
      <c r="Q51" t="s">
        <v>193</v>
      </c>
      <c r="R51">
        <v>0.2742</v>
      </c>
      <c r="S51" t="s">
        <v>194</v>
      </c>
    </row>
    <row r="52" spans="16:19" x14ac:dyDescent="0.45">
      <c r="P52">
        <v>2032</v>
      </c>
      <c r="Q52" t="s">
        <v>195</v>
      </c>
      <c r="R52">
        <v>0.25089999999999996</v>
      </c>
      <c r="S52" t="s">
        <v>194</v>
      </c>
    </row>
    <row r="53" spans="16:19" x14ac:dyDescent="0.45">
      <c r="P53">
        <v>2032</v>
      </c>
      <c r="Q53" t="s">
        <v>196</v>
      </c>
      <c r="R53">
        <v>0.23026666666666665</v>
      </c>
      <c r="S53" t="s">
        <v>194</v>
      </c>
    </row>
    <row r="54" spans="16:19" x14ac:dyDescent="0.45">
      <c r="P54">
        <v>2032</v>
      </c>
      <c r="Q54" t="s">
        <v>197</v>
      </c>
      <c r="R54">
        <v>0.18776666666666667</v>
      </c>
      <c r="S54" t="s">
        <v>194</v>
      </c>
    </row>
    <row r="55" spans="16:19" x14ac:dyDescent="0.45">
      <c r="P55">
        <v>2033</v>
      </c>
      <c r="Q55" t="s">
        <v>193</v>
      </c>
      <c r="R55">
        <v>0.30149999999999993</v>
      </c>
      <c r="S55" t="s">
        <v>194</v>
      </c>
    </row>
    <row r="56" spans="16:19" x14ac:dyDescent="0.45">
      <c r="P56">
        <v>2033</v>
      </c>
      <c r="Q56" t="s">
        <v>195</v>
      </c>
      <c r="R56">
        <v>0.33426666666666666</v>
      </c>
      <c r="S56" t="s">
        <v>194</v>
      </c>
    </row>
    <row r="57" spans="16:19" x14ac:dyDescent="0.45">
      <c r="P57">
        <v>2033</v>
      </c>
      <c r="Q57" t="s">
        <v>196</v>
      </c>
      <c r="R57">
        <v>0.25666666666666665</v>
      </c>
      <c r="S57" t="s">
        <v>194</v>
      </c>
    </row>
    <row r="58" spans="16:19" x14ac:dyDescent="0.45">
      <c r="P58">
        <v>2033</v>
      </c>
      <c r="Q58" t="s">
        <v>197</v>
      </c>
      <c r="R58">
        <v>0.17489999999999997</v>
      </c>
      <c r="S58" t="s">
        <v>194</v>
      </c>
    </row>
    <row r="59" spans="16:19" x14ac:dyDescent="0.45">
      <c r="P59">
        <v>2034</v>
      </c>
      <c r="Q59" t="s">
        <v>193</v>
      </c>
      <c r="R59">
        <v>0.27499999999999997</v>
      </c>
      <c r="S59" t="s">
        <v>194</v>
      </c>
    </row>
    <row r="60" spans="16:19" x14ac:dyDescent="0.45">
      <c r="P60">
        <v>2034</v>
      </c>
      <c r="Q60" t="s">
        <v>195</v>
      </c>
      <c r="R60">
        <v>0.27550000000000002</v>
      </c>
      <c r="S60" t="s">
        <v>194</v>
      </c>
    </row>
    <row r="61" spans="16:19" x14ac:dyDescent="0.45">
      <c r="P61">
        <v>2034</v>
      </c>
      <c r="Q61" t="s">
        <v>196</v>
      </c>
      <c r="R61">
        <v>0.23386666666666667</v>
      </c>
      <c r="S61" t="s">
        <v>194</v>
      </c>
    </row>
    <row r="62" spans="16:19" x14ac:dyDescent="0.45">
      <c r="P62">
        <v>2034</v>
      </c>
      <c r="Q62" t="s">
        <v>197</v>
      </c>
      <c r="R62">
        <v>0.15140000000000001</v>
      </c>
      <c r="S62" t="s">
        <v>194</v>
      </c>
    </row>
    <row r="63" spans="16:19" x14ac:dyDescent="0.45">
      <c r="P63">
        <v>2035</v>
      </c>
      <c r="Q63" t="s">
        <v>193</v>
      </c>
      <c r="R63">
        <v>0.28456666666666669</v>
      </c>
      <c r="S63" t="s">
        <v>194</v>
      </c>
    </row>
    <row r="64" spans="16:19" x14ac:dyDescent="0.45">
      <c r="P64">
        <v>2035</v>
      </c>
      <c r="Q64" t="s">
        <v>195</v>
      </c>
      <c r="R64">
        <v>0.33493333333333331</v>
      </c>
      <c r="S64" t="s">
        <v>194</v>
      </c>
    </row>
    <row r="65" spans="16:19" x14ac:dyDescent="0.45">
      <c r="P65">
        <v>2035</v>
      </c>
      <c r="Q65" t="s">
        <v>196</v>
      </c>
      <c r="R65">
        <v>0.25253333333333333</v>
      </c>
      <c r="S65" t="s">
        <v>194</v>
      </c>
    </row>
    <row r="66" spans="16:19" x14ac:dyDescent="0.45">
      <c r="P66">
        <v>2035</v>
      </c>
      <c r="Q66" t="s">
        <v>197</v>
      </c>
      <c r="R66">
        <v>0.17956666666666665</v>
      </c>
      <c r="S66" t="s">
        <v>194</v>
      </c>
    </row>
    <row r="67" spans="16:19" x14ac:dyDescent="0.45">
      <c r="P67">
        <v>2036</v>
      </c>
      <c r="Q67" t="s">
        <v>193</v>
      </c>
      <c r="R67">
        <v>0.28899999999999998</v>
      </c>
      <c r="S67" t="s">
        <v>194</v>
      </c>
    </row>
    <row r="68" spans="16:19" x14ac:dyDescent="0.45">
      <c r="P68">
        <v>2036</v>
      </c>
      <c r="Q68" t="s">
        <v>195</v>
      </c>
      <c r="R68">
        <v>0.29876666666666668</v>
      </c>
      <c r="S68" t="s">
        <v>194</v>
      </c>
    </row>
    <row r="69" spans="16:19" x14ac:dyDescent="0.45">
      <c r="P69">
        <v>2036</v>
      </c>
      <c r="Q69" t="s">
        <v>196</v>
      </c>
      <c r="R69">
        <v>0.24546666666666669</v>
      </c>
      <c r="S69" t="s">
        <v>194</v>
      </c>
    </row>
    <row r="70" spans="16:19" x14ac:dyDescent="0.45">
      <c r="P70">
        <v>2036</v>
      </c>
      <c r="Q70" t="s">
        <v>197</v>
      </c>
      <c r="R70">
        <v>0.1855</v>
      </c>
      <c r="S70" t="s">
        <v>194</v>
      </c>
    </row>
    <row r="71" spans="16:19" x14ac:dyDescent="0.45">
      <c r="P71">
        <v>2037</v>
      </c>
      <c r="Q71" t="s">
        <v>193</v>
      </c>
      <c r="R71">
        <v>0.27283333333333332</v>
      </c>
      <c r="S71" t="s">
        <v>194</v>
      </c>
    </row>
    <row r="72" spans="16:19" x14ac:dyDescent="0.45">
      <c r="P72">
        <v>2037</v>
      </c>
      <c r="Q72" t="s">
        <v>195</v>
      </c>
      <c r="R72">
        <v>0.27016666666666667</v>
      </c>
      <c r="S72" t="s">
        <v>194</v>
      </c>
    </row>
    <row r="73" spans="16:19" x14ac:dyDescent="0.45">
      <c r="P73">
        <v>2037</v>
      </c>
      <c r="Q73" t="s">
        <v>196</v>
      </c>
      <c r="R73">
        <v>0.20276666666666668</v>
      </c>
      <c r="S73" t="s">
        <v>194</v>
      </c>
    </row>
    <row r="74" spans="16:19" x14ac:dyDescent="0.45">
      <c r="P74">
        <v>2037</v>
      </c>
      <c r="Q74" t="s">
        <v>197</v>
      </c>
      <c r="R74">
        <v>0.1724</v>
      </c>
      <c r="S74" t="s">
        <v>194</v>
      </c>
    </row>
    <row r="75" spans="16:19" x14ac:dyDescent="0.45">
      <c r="P75">
        <v>2038</v>
      </c>
      <c r="Q75" t="s">
        <v>193</v>
      </c>
      <c r="R75">
        <v>0.3177666666666667</v>
      </c>
      <c r="S75" t="s">
        <v>194</v>
      </c>
    </row>
    <row r="76" spans="16:19" x14ac:dyDescent="0.45">
      <c r="P76">
        <v>2038</v>
      </c>
      <c r="Q76" t="s">
        <v>195</v>
      </c>
      <c r="R76">
        <v>0.29699999999999999</v>
      </c>
      <c r="S76" t="s">
        <v>194</v>
      </c>
    </row>
    <row r="77" spans="16:19" x14ac:dyDescent="0.45">
      <c r="P77">
        <v>2038</v>
      </c>
      <c r="Q77" t="s">
        <v>196</v>
      </c>
      <c r="R77">
        <v>0.23066666666666669</v>
      </c>
      <c r="S77" t="s">
        <v>194</v>
      </c>
    </row>
    <row r="78" spans="16:19" x14ac:dyDescent="0.45">
      <c r="P78">
        <v>2038</v>
      </c>
      <c r="Q78" t="s">
        <v>197</v>
      </c>
      <c r="R78">
        <v>0.17943333333333333</v>
      </c>
      <c r="S78" t="s">
        <v>194</v>
      </c>
    </row>
    <row r="79" spans="16:19" x14ac:dyDescent="0.45">
      <c r="P79">
        <v>2039</v>
      </c>
      <c r="Q79" t="s">
        <v>193</v>
      </c>
      <c r="R79">
        <v>0.3617333333333333</v>
      </c>
      <c r="S79" t="s">
        <v>194</v>
      </c>
    </row>
    <row r="80" spans="16:19" x14ac:dyDescent="0.45">
      <c r="P80">
        <v>2039</v>
      </c>
      <c r="Q80" t="s">
        <v>195</v>
      </c>
      <c r="R80">
        <v>0.29273333333333335</v>
      </c>
      <c r="S80" t="s">
        <v>194</v>
      </c>
    </row>
    <row r="81" spans="16:19" x14ac:dyDescent="0.45">
      <c r="P81">
        <v>2039</v>
      </c>
      <c r="Q81" t="s">
        <v>196</v>
      </c>
      <c r="R81">
        <v>0.25616666666666665</v>
      </c>
      <c r="S81" t="s">
        <v>194</v>
      </c>
    </row>
    <row r="82" spans="16:19" x14ac:dyDescent="0.45">
      <c r="P82">
        <v>2039</v>
      </c>
      <c r="Q82" t="s">
        <v>197</v>
      </c>
      <c r="R82">
        <v>0.20813333333333331</v>
      </c>
      <c r="S82" t="s">
        <v>194</v>
      </c>
    </row>
    <row r="83" spans="16:19" x14ac:dyDescent="0.45">
      <c r="P83">
        <v>2040</v>
      </c>
      <c r="Q83" t="s">
        <v>193</v>
      </c>
      <c r="R83">
        <v>0.38593333333333329</v>
      </c>
      <c r="S83" t="s">
        <v>194</v>
      </c>
    </row>
    <row r="84" spans="16:19" x14ac:dyDescent="0.45">
      <c r="P84">
        <v>2040</v>
      </c>
      <c r="Q84" t="s">
        <v>195</v>
      </c>
      <c r="R84">
        <v>0.36663333333333331</v>
      </c>
      <c r="S84" t="s">
        <v>194</v>
      </c>
    </row>
    <row r="85" spans="16:19" x14ac:dyDescent="0.45">
      <c r="P85">
        <v>2040</v>
      </c>
      <c r="Q85" t="s">
        <v>196</v>
      </c>
      <c r="R85">
        <v>0.28786666666666666</v>
      </c>
      <c r="S85" t="s">
        <v>194</v>
      </c>
    </row>
    <row r="86" spans="16:19" x14ac:dyDescent="0.45">
      <c r="P86">
        <v>2040</v>
      </c>
      <c r="Q86" t="s">
        <v>197</v>
      </c>
      <c r="R86">
        <v>0.23529999999999998</v>
      </c>
      <c r="S86" t="s">
        <v>194</v>
      </c>
    </row>
    <row r="87" spans="16:19" x14ac:dyDescent="0.45">
      <c r="P87">
        <v>2041</v>
      </c>
      <c r="Q87" t="s">
        <v>193</v>
      </c>
      <c r="R87">
        <v>0.37480000000000002</v>
      </c>
      <c r="S87" t="s">
        <v>194</v>
      </c>
    </row>
    <row r="88" spans="16:19" x14ac:dyDescent="0.45">
      <c r="P88">
        <v>2041</v>
      </c>
      <c r="Q88" t="s">
        <v>195</v>
      </c>
      <c r="R88">
        <v>0.34139999999999998</v>
      </c>
      <c r="S88" t="s">
        <v>194</v>
      </c>
    </row>
    <row r="89" spans="16:19" x14ac:dyDescent="0.45">
      <c r="P89">
        <v>2041</v>
      </c>
      <c r="Q89" t="s">
        <v>196</v>
      </c>
      <c r="R89">
        <v>0.2883</v>
      </c>
      <c r="S89" t="s">
        <v>194</v>
      </c>
    </row>
    <row r="90" spans="16:19" x14ac:dyDescent="0.45">
      <c r="P90">
        <v>2041</v>
      </c>
      <c r="Q90" t="s">
        <v>197</v>
      </c>
      <c r="R90">
        <v>0.28793333333333332</v>
      </c>
      <c r="S90" t="s">
        <v>194</v>
      </c>
    </row>
    <row r="91" spans="16:19" x14ac:dyDescent="0.45">
      <c r="P91">
        <v>2042</v>
      </c>
      <c r="Q91" t="s">
        <v>193</v>
      </c>
      <c r="R91">
        <v>0.41136666666666666</v>
      </c>
      <c r="S91" t="s">
        <v>194</v>
      </c>
    </row>
    <row r="92" spans="16:19" x14ac:dyDescent="0.45">
      <c r="P92">
        <v>2042</v>
      </c>
      <c r="Q92" t="s">
        <v>195</v>
      </c>
      <c r="R92">
        <v>0.40083333333333332</v>
      </c>
      <c r="S92" t="s">
        <v>194</v>
      </c>
    </row>
    <row r="93" spans="16:19" x14ac:dyDescent="0.45">
      <c r="P93">
        <v>2042</v>
      </c>
      <c r="Q93" t="s">
        <v>196</v>
      </c>
      <c r="R93">
        <v>0.31986666666666669</v>
      </c>
      <c r="S93" t="s">
        <v>194</v>
      </c>
    </row>
    <row r="94" spans="16:19" x14ac:dyDescent="0.45">
      <c r="P94">
        <v>2042</v>
      </c>
      <c r="Q94" t="s">
        <v>197</v>
      </c>
      <c r="R94">
        <v>0.24186666666666667</v>
      </c>
      <c r="S94" t="s">
        <v>194</v>
      </c>
    </row>
    <row r="95" spans="16:19" x14ac:dyDescent="0.45">
      <c r="P95">
        <v>2043</v>
      </c>
      <c r="Q95" t="s">
        <v>193</v>
      </c>
      <c r="R95">
        <v>0.36306666666666665</v>
      </c>
      <c r="S95" t="s">
        <v>194</v>
      </c>
    </row>
    <row r="96" spans="16:19" x14ac:dyDescent="0.45">
      <c r="P96">
        <v>2043</v>
      </c>
      <c r="Q96" t="s">
        <v>195</v>
      </c>
      <c r="R96">
        <v>0.34923333333333334</v>
      </c>
      <c r="S96" t="s">
        <v>194</v>
      </c>
    </row>
    <row r="97" spans="16:19" x14ac:dyDescent="0.45">
      <c r="P97">
        <v>2043</v>
      </c>
      <c r="Q97" t="s">
        <v>196</v>
      </c>
      <c r="R97">
        <v>0.25130000000000002</v>
      </c>
      <c r="S97" t="s">
        <v>194</v>
      </c>
    </row>
    <row r="98" spans="16:19" x14ac:dyDescent="0.45">
      <c r="P98">
        <v>2043</v>
      </c>
      <c r="Q98" t="s">
        <v>197</v>
      </c>
      <c r="R98">
        <v>0.28016666666666662</v>
      </c>
      <c r="S98" t="s">
        <v>194</v>
      </c>
    </row>
    <row r="99" spans="16:19" x14ac:dyDescent="0.45">
      <c r="P99">
        <v>2044</v>
      </c>
      <c r="Q99" t="s">
        <v>193</v>
      </c>
      <c r="R99">
        <v>0.37040000000000001</v>
      </c>
      <c r="S99" t="s">
        <v>194</v>
      </c>
    </row>
    <row r="100" spans="16:19" x14ac:dyDescent="0.45">
      <c r="P100">
        <v>2044</v>
      </c>
      <c r="Q100" t="s">
        <v>195</v>
      </c>
      <c r="R100">
        <v>0.32103333333333334</v>
      </c>
      <c r="S100" t="s">
        <v>194</v>
      </c>
    </row>
    <row r="101" spans="16:19" x14ac:dyDescent="0.45">
      <c r="P101">
        <v>2044</v>
      </c>
      <c r="Q101" t="s">
        <v>196</v>
      </c>
      <c r="R101">
        <v>0.29316666666666663</v>
      </c>
      <c r="S101" t="s">
        <v>194</v>
      </c>
    </row>
    <row r="102" spans="16:19" x14ac:dyDescent="0.45">
      <c r="P102">
        <v>2044</v>
      </c>
      <c r="Q102" t="s">
        <v>197</v>
      </c>
      <c r="R102">
        <v>0.2056</v>
      </c>
      <c r="S102" t="s">
        <v>194</v>
      </c>
    </row>
    <row r="103" spans="16:19" x14ac:dyDescent="0.45">
      <c r="P103">
        <v>2045</v>
      </c>
      <c r="Q103" t="s">
        <v>193</v>
      </c>
      <c r="R103">
        <v>0.37253333333333333</v>
      </c>
      <c r="S103" t="s">
        <v>194</v>
      </c>
    </row>
    <row r="104" spans="16:19" x14ac:dyDescent="0.45">
      <c r="P104">
        <v>2045</v>
      </c>
      <c r="Q104" t="s">
        <v>195</v>
      </c>
      <c r="R104">
        <v>0.35886666666666667</v>
      </c>
      <c r="S104" t="s">
        <v>194</v>
      </c>
    </row>
    <row r="105" spans="16:19" x14ac:dyDescent="0.45">
      <c r="P105">
        <v>2045</v>
      </c>
      <c r="Q105" t="s">
        <v>196</v>
      </c>
      <c r="R105">
        <v>0.30459999999999998</v>
      </c>
      <c r="S105" t="s">
        <v>194</v>
      </c>
    </row>
    <row r="106" spans="16:19" x14ac:dyDescent="0.45">
      <c r="P106">
        <v>2045</v>
      </c>
      <c r="Q106" t="s">
        <v>197</v>
      </c>
      <c r="R106">
        <v>0.21409999999999998</v>
      </c>
      <c r="S106" t="s">
        <v>194</v>
      </c>
    </row>
    <row r="107" spans="16:19" x14ac:dyDescent="0.45">
      <c r="P107">
        <v>2046</v>
      </c>
      <c r="Q107" t="s">
        <v>193</v>
      </c>
      <c r="R107">
        <v>0.38046666666666668</v>
      </c>
      <c r="S107" t="s">
        <v>194</v>
      </c>
    </row>
    <row r="108" spans="16:19" x14ac:dyDescent="0.45">
      <c r="P108">
        <v>2046</v>
      </c>
      <c r="Q108" t="s">
        <v>195</v>
      </c>
      <c r="R108">
        <v>0.40293333333333331</v>
      </c>
      <c r="S108" t="s">
        <v>194</v>
      </c>
    </row>
    <row r="109" spans="16:19" x14ac:dyDescent="0.45">
      <c r="P109">
        <v>2046</v>
      </c>
      <c r="Q109" t="s">
        <v>196</v>
      </c>
      <c r="R109">
        <v>0.31109999999999999</v>
      </c>
      <c r="S109" t="s">
        <v>194</v>
      </c>
    </row>
    <row r="110" spans="16:19" x14ac:dyDescent="0.45">
      <c r="P110">
        <v>2046</v>
      </c>
      <c r="Q110" t="s">
        <v>197</v>
      </c>
      <c r="R110">
        <v>0.26540000000000002</v>
      </c>
      <c r="S110" t="s">
        <v>194</v>
      </c>
    </row>
    <row r="111" spans="16:19" x14ac:dyDescent="0.45">
      <c r="P111">
        <v>2047</v>
      </c>
      <c r="Q111" t="s">
        <v>193</v>
      </c>
      <c r="R111">
        <v>0.32696666666666663</v>
      </c>
      <c r="S111" t="s">
        <v>194</v>
      </c>
    </row>
    <row r="112" spans="16:19" x14ac:dyDescent="0.45">
      <c r="P112">
        <v>2047</v>
      </c>
      <c r="Q112" t="s">
        <v>195</v>
      </c>
      <c r="R112">
        <v>0.32516666666666666</v>
      </c>
      <c r="S112" t="s">
        <v>194</v>
      </c>
    </row>
    <row r="113" spans="16:19" x14ac:dyDescent="0.45">
      <c r="P113">
        <v>2047</v>
      </c>
      <c r="Q113" t="s">
        <v>196</v>
      </c>
      <c r="R113">
        <v>0.29059999999999997</v>
      </c>
      <c r="S113" t="s">
        <v>194</v>
      </c>
    </row>
    <row r="114" spans="16:19" x14ac:dyDescent="0.45">
      <c r="P114">
        <v>2047</v>
      </c>
      <c r="Q114" t="s">
        <v>197</v>
      </c>
      <c r="R114">
        <v>0.18203333333333335</v>
      </c>
      <c r="S114" t="s">
        <v>194</v>
      </c>
    </row>
    <row r="115" spans="16:19" x14ac:dyDescent="0.45">
      <c r="P115">
        <v>2048</v>
      </c>
      <c r="Q115" t="s">
        <v>193</v>
      </c>
      <c r="R115">
        <v>0.29153333333333337</v>
      </c>
      <c r="S115" t="s">
        <v>194</v>
      </c>
    </row>
    <row r="116" spans="16:19" x14ac:dyDescent="0.45">
      <c r="P116">
        <v>2048</v>
      </c>
      <c r="Q116" t="s">
        <v>195</v>
      </c>
      <c r="R116">
        <v>0.29143333333333327</v>
      </c>
      <c r="S116" t="s">
        <v>194</v>
      </c>
    </row>
    <row r="117" spans="16:19" x14ac:dyDescent="0.45">
      <c r="P117">
        <v>2048</v>
      </c>
      <c r="Q117" t="s">
        <v>196</v>
      </c>
      <c r="R117">
        <v>0.20753333333333335</v>
      </c>
      <c r="S117" t="s">
        <v>194</v>
      </c>
    </row>
    <row r="118" spans="16:19" x14ac:dyDescent="0.45">
      <c r="P118">
        <v>2048</v>
      </c>
      <c r="Q118" t="s">
        <v>197</v>
      </c>
      <c r="R118">
        <v>0.22473333333333331</v>
      </c>
      <c r="S118" t="s">
        <v>194</v>
      </c>
    </row>
    <row r="119" spans="16:19" x14ac:dyDescent="0.45">
      <c r="P119">
        <v>2049</v>
      </c>
      <c r="Q119" t="s">
        <v>193</v>
      </c>
      <c r="R119">
        <v>0.27843333333333331</v>
      </c>
      <c r="S119" t="s">
        <v>194</v>
      </c>
    </row>
    <row r="120" spans="16:19" x14ac:dyDescent="0.45">
      <c r="P120">
        <v>2049</v>
      </c>
      <c r="Q120" t="s">
        <v>195</v>
      </c>
      <c r="R120">
        <v>0.30353333333333332</v>
      </c>
      <c r="S120" t="s">
        <v>194</v>
      </c>
    </row>
    <row r="121" spans="16:19" x14ac:dyDescent="0.45">
      <c r="P121">
        <v>2049</v>
      </c>
      <c r="Q121" t="s">
        <v>196</v>
      </c>
      <c r="R121">
        <v>0.25676666666666664</v>
      </c>
      <c r="S121" t="s">
        <v>194</v>
      </c>
    </row>
    <row r="122" spans="16:19" x14ac:dyDescent="0.45">
      <c r="P122">
        <v>2049</v>
      </c>
      <c r="Q122" t="s">
        <v>197</v>
      </c>
      <c r="R122">
        <v>0.21706666666666666</v>
      </c>
      <c r="S122" t="s">
        <v>194</v>
      </c>
    </row>
    <row r="123" spans="16:19" x14ac:dyDescent="0.45">
      <c r="P123">
        <v>2050</v>
      </c>
      <c r="Q123" t="s">
        <v>193</v>
      </c>
      <c r="R123">
        <v>0.31180000000000002</v>
      </c>
      <c r="S123" t="s">
        <v>194</v>
      </c>
    </row>
    <row r="124" spans="16:19" x14ac:dyDescent="0.45">
      <c r="P124">
        <v>2050</v>
      </c>
      <c r="Q124" t="s">
        <v>195</v>
      </c>
      <c r="R124">
        <v>0.29100000000000004</v>
      </c>
      <c r="S124" t="s">
        <v>194</v>
      </c>
    </row>
    <row r="125" spans="16:19" x14ac:dyDescent="0.45">
      <c r="P125">
        <v>2050</v>
      </c>
      <c r="Q125" t="s">
        <v>196</v>
      </c>
      <c r="R125">
        <v>0.31703333333333333</v>
      </c>
      <c r="S125" t="s">
        <v>194</v>
      </c>
    </row>
    <row r="126" spans="16:19" x14ac:dyDescent="0.45">
      <c r="P126">
        <v>2050</v>
      </c>
      <c r="Q126" t="s">
        <v>197</v>
      </c>
      <c r="R126">
        <v>0.19446666666666668</v>
      </c>
      <c r="S126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71CC-2D9E-430D-8617-339A0710F176}">
  <dimension ref="B9:O4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199</v>
      </c>
      <c r="C11" t="s">
        <v>5</v>
      </c>
      <c r="D11">
        <v>0</v>
      </c>
      <c r="E11" t="s">
        <v>6</v>
      </c>
      <c r="G11" t="s">
        <v>200</v>
      </c>
      <c r="H11" t="s">
        <v>5</v>
      </c>
      <c r="I11">
        <v>9.9471765165682083E-2</v>
      </c>
      <c r="J11" t="s">
        <v>6</v>
      </c>
      <c r="L11" t="s">
        <v>201</v>
      </c>
      <c r="M11" t="s">
        <v>5</v>
      </c>
      <c r="N11">
        <v>9.4032088879370937E-2</v>
      </c>
      <c r="O11" t="s">
        <v>6</v>
      </c>
    </row>
    <row r="12" spans="2:15" x14ac:dyDescent="0.45">
      <c r="B12" t="s">
        <v>199</v>
      </c>
      <c r="C12" t="s">
        <v>9</v>
      </c>
      <c r="D12">
        <v>0.11876911387469449</v>
      </c>
      <c r="E12" t="s">
        <v>6</v>
      </c>
      <c r="G12" t="s">
        <v>200</v>
      </c>
      <c r="H12" t="s">
        <v>9</v>
      </c>
      <c r="I12">
        <v>0.12006650476905113</v>
      </c>
      <c r="J12" t="s">
        <v>6</v>
      </c>
      <c r="L12" t="s">
        <v>201</v>
      </c>
      <c r="M12" t="s">
        <v>9</v>
      </c>
      <c r="N12">
        <v>0.1163509540132746</v>
      </c>
      <c r="O12" t="s">
        <v>6</v>
      </c>
    </row>
    <row r="13" spans="2:15" x14ac:dyDescent="0.45">
      <c r="B13" t="s">
        <v>199</v>
      </c>
      <c r="C13" t="s">
        <v>10</v>
      </c>
      <c r="D13">
        <v>1.957536047664547E-4</v>
      </c>
      <c r="E13" t="s">
        <v>6</v>
      </c>
      <c r="G13" t="s">
        <v>200</v>
      </c>
      <c r="H13" t="s">
        <v>10</v>
      </c>
      <c r="I13">
        <v>7.5556130755222217E-2</v>
      </c>
      <c r="J13" t="s">
        <v>6</v>
      </c>
      <c r="L13" t="s">
        <v>201</v>
      </c>
      <c r="M13" t="s">
        <v>10</v>
      </c>
      <c r="N13">
        <v>6.9760846195677392E-2</v>
      </c>
      <c r="O13" t="s">
        <v>6</v>
      </c>
    </row>
    <row r="14" spans="2:15" x14ac:dyDescent="0.45">
      <c r="B14" t="s">
        <v>199</v>
      </c>
      <c r="C14" t="s">
        <v>11</v>
      </c>
      <c r="D14">
        <v>4.7648349908719859E-3</v>
      </c>
      <c r="E14" t="s">
        <v>6</v>
      </c>
      <c r="G14" t="s">
        <v>200</v>
      </c>
      <c r="H14" t="s">
        <v>11</v>
      </c>
      <c r="I14">
        <v>8.9353345036429291E-2</v>
      </c>
      <c r="J14" t="s">
        <v>6</v>
      </c>
      <c r="L14" t="s">
        <v>201</v>
      </c>
      <c r="M14" t="s">
        <v>11</v>
      </c>
      <c r="N14">
        <v>8.9643355376997635E-2</v>
      </c>
      <c r="O14" t="s">
        <v>6</v>
      </c>
    </row>
    <row r="15" spans="2:15" x14ac:dyDescent="0.45">
      <c r="B15" t="s">
        <v>199</v>
      </c>
      <c r="C15" t="s">
        <v>12</v>
      </c>
      <c r="D15">
        <v>0.31529686753053876</v>
      </c>
      <c r="E15" t="s">
        <v>6</v>
      </c>
      <c r="G15" t="s">
        <v>200</v>
      </c>
      <c r="H15" t="s">
        <v>12</v>
      </c>
      <c r="I15">
        <v>0.11335174004169263</v>
      </c>
      <c r="J15" t="s">
        <v>6</v>
      </c>
      <c r="L15" t="s">
        <v>201</v>
      </c>
      <c r="M15" t="s">
        <v>12</v>
      </c>
      <c r="N15">
        <v>0.1075517528046331</v>
      </c>
      <c r="O15" t="s">
        <v>6</v>
      </c>
    </row>
    <row r="16" spans="2:15" x14ac:dyDescent="0.45">
      <c r="B16" t="s">
        <v>199</v>
      </c>
      <c r="C16" t="s">
        <v>13</v>
      </c>
      <c r="D16">
        <v>1.0874135526014154E-2</v>
      </c>
      <c r="E16" t="s">
        <v>6</v>
      </c>
      <c r="G16" t="s">
        <v>200</v>
      </c>
      <c r="H16" t="s">
        <v>13</v>
      </c>
      <c r="I16">
        <v>6.837994002066225E-2</v>
      </c>
      <c r="J16" t="s">
        <v>6</v>
      </c>
      <c r="L16" t="s">
        <v>201</v>
      </c>
      <c r="M16" t="s">
        <v>13</v>
      </c>
      <c r="N16">
        <v>6.8816271276202795E-2</v>
      </c>
      <c r="O16" t="s">
        <v>6</v>
      </c>
    </row>
    <row r="17" spans="2:15" x14ac:dyDescent="0.45">
      <c r="B17" t="s">
        <v>199</v>
      </c>
      <c r="C17" t="s">
        <v>14</v>
      </c>
      <c r="D17">
        <v>8.3032107971812239E-3</v>
      </c>
      <c r="E17" t="s">
        <v>6</v>
      </c>
      <c r="G17" t="s">
        <v>200</v>
      </c>
      <c r="H17" t="s">
        <v>14</v>
      </c>
      <c r="I17">
        <v>5.4041434764491157E-2</v>
      </c>
      <c r="J17" t="s">
        <v>6</v>
      </c>
      <c r="L17" t="s">
        <v>201</v>
      </c>
      <c r="M17" t="s">
        <v>14</v>
      </c>
      <c r="N17">
        <v>6.6450862252232748E-2</v>
      </c>
      <c r="O17" t="s">
        <v>6</v>
      </c>
    </row>
    <row r="18" spans="2:15" x14ac:dyDescent="0.45">
      <c r="B18" t="s">
        <v>199</v>
      </c>
      <c r="C18" t="s">
        <v>15</v>
      </c>
      <c r="D18">
        <v>0.34788654897110177</v>
      </c>
      <c r="E18" t="s">
        <v>6</v>
      </c>
      <c r="G18" t="s">
        <v>200</v>
      </c>
      <c r="H18" t="s">
        <v>15</v>
      </c>
      <c r="I18">
        <v>6.6701163753992737E-2</v>
      </c>
      <c r="J18" t="s">
        <v>6</v>
      </c>
      <c r="L18" t="s">
        <v>201</v>
      </c>
      <c r="M18" t="s">
        <v>15</v>
      </c>
      <c r="N18">
        <v>7.9406511196116178E-2</v>
      </c>
      <c r="O18" t="s">
        <v>6</v>
      </c>
    </row>
    <row r="19" spans="2:15" x14ac:dyDescent="0.45">
      <c r="B19" t="s">
        <v>199</v>
      </c>
      <c r="C19" t="s">
        <v>16</v>
      </c>
      <c r="D19">
        <v>1.802924628059268E-2</v>
      </c>
      <c r="E19" t="s">
        <v>6</v>
      </c>
      <c r="G19" t="s">
        <v>200</v>
      </c>
      <c r="H19" t="s">
        <v>16</v>
      </c>
      <c r="I19">
        <v>4.4056768669288121E-2</v>
      </c>
      <c r="J19" t="s">
        <v>6</v>
      </c>
      <c r="L19" t="s">
        <v>201</v>
      </c>
      <c r="M19" t="s">
        <v>16</v>
      </c>
      <c r="N19">
        <v>5.2163488662040534E-2</v>
      </c>
      <c r="O19" t="s">
        <v>6</v>
      </c>
    </row>
    <row r="20" spans="2:15" x14ac:dyDescent="0.45">
      <c r="B20" t="s">
        <v>199</v>
      </c>
      <c r="C20" t="s">
        <v>17</v>
      </c>
      <c r="D20">
        <v>4.253127670898174E-4</v>
      </c>
      <c r="E20" t="s">
        <v>6</v>
      </c>
      <c r="G20" t="s">
        <v>200</v>
      </c>
      <c r="H20" t="s">
        <v>17</v>
      </c>
      <c r="I20">
        <v>8.9414049612171531E-2</v>
      </c>
      <c r="J20" t="s">
        <v>6</v>
      </c>
      <c r="L20" t="s">
        <v>201</v>
      </c>
      <c r="M20" t="s">
        <v>17</v>
      </c>
      <c r="N20">
        <v>8.3560234096527727E-2</v>
      </c>
      <c r="O20" t="s">
        <v>6</v>
      </c>
    </row>
    <row r="21" spans="2:15" x14ac:dyDescent="0.45">
      <c r="B21" t="s">
        <v>199</v>
      </c>
      <c r="C21" t="s">
        <v>18</v>
      </c>
      <c r="D21">
        <v>0.17413535743454925</v>
      </c>
      <c r="E21" t="s">
        <v>6</v>
      </c>
      <c r="G21" t="s">
        <v>200</v>
      </c>
      <c r="H21" t="s">
        <v>18</v>
      </c>
      <c r="I21">
        <v>0.11036711722304296</v>
      </c>
      <c r="J21" t="s">
        <v>6</v>
      </c>
      <c r="L21" t="s">
        <v>201</v>
      </c>
      <c r="M21" t="s">
        <v>18</v>
      </c>
      <c r="N21">
        <v>0.10621559552032854</v>
      </c>
      <c r="O21" t="s">
        <v>6</v>
      </c>
    </row>
    <row r="22" spans="2:15" x14ac:dyDescent="0.45">
      <c r="B22" t="s">
        <v>199</v>
      </c>
      <c r="C22" t="s">
        <v>19</v>
      </c>
      <c r="D22">
        <v>1.3196182225982886E-3</v>
      </c>
      <c r="E22" t="s">
        <v>6</v>
      </c>
      <c r="G22" t="s">
        <v>200</v>
      </c>
      <c r="H22" t="s">
        <v>19</v>
      </c>
      <c r="I22">
        <v>6.9240040188274121E-2</v>
      </c>
      <c r="J22" t="s">
        <v>6</v>
      </c>
      <c r="L22" t="s">
        <v>201</v>
      </c>
      <c r="M22" t="s">
        <v>19</v>
      </c>
      <c r="N22">
        <v>6.6048039726597396E-2</v>
      </c>
      <c r="O22" t="s">
        <v>6</v>
      </c>
    </row>
    <row r="23" spans="2:15" x14ac:dyDescent="0.45">
      <c r="B23" t="s">
        <v>202</v>
      </c>
      <c r="C23" t="s">
        <v>5</v>
      </c>
      <c r="D23">
        <v>0</v>
      </c>
      <c r="E23" t="s">
        <v>6</v>
      </c>
      <c r="G23" t="s">
        <v>203</v>
      </c>
      <c r="H23" t="s">
        <v>5</v>
      </c>
      <c r="I23">
        <v>0.1035919871296184</v>
      </c>
      <c r="J23" t="s">
        <v>6</v>
      </c>
      <c r="L23" t="s">
        <v>204</v>
      </c>
      <c r="M23" t="s">
        <v>5</v>
      </c>
      <c r="N23">
        <v>9.2094698563633601E-2</v>
      </c>
      <c r="O23" t="s">
        <v>6</v>
      </c>
    </row>
    <row r="24" spans="2:15" x14ac:dyDescent="0.45">
      <c r="B24" t="s">
        <v>202</v>
      </c>
      <c r="C24" t="s">
        <v>9</v>
      </c>
      <c r="D24">
        <v>0.12812417418120409</v>
      </c>
      <c r="E24" t="s">
        <v>6</v>
      </c>
      <c r="G24" t="s">
        <v>203</v>
      </c>
      <c r="H24" t="s">
        <v>9</v>
      </c>
      <c r="I24">
        <v>0.1267436512603789</v>
      </c>
      <c r="J24" t="s">
        <v>6</v>
      </c>
      <c r="L24" t="s">
        <v>204</v>
      </c>
      <c r="M24" t="s">
        <v>9</v>
      </c>
      <c r="N24">
        <v>0.1140255160930255</v>
      </c>
      <c r="O24" t="s">
        <v>6</v>
      </c>
    </row>
    <row r="25" spans="2:15" x14ac:dyDescent="0.45">
      <c r="B25" t="s">
        <v>202</v>
      </c>
      <c r="C25" t="s">
        <v>10</v>
      </c>
      <c r="D25">
        <v>1.1728794096713511E-4</v>
      </c>
      <c r="E25" t="s">
        <v>6</v>
      </c>
      <c r="G25" t="s">
        <v>203</v>
      </c>
      <c r="H25" t="s">
        <v>10</v>
      </c>
      <c r="I25">
        <v>7.8884379104137606E-2</v>
      </c>
      <c r="J25" t="s">
        <v>6</v>
      </c>
      <c r="L25" t="s">
        <v>204</v>
      </c>
      <c r="M25" t="s">
        <v>10</v>
      </c>
      <c r="N25">
        <v>7.1426298744950392E-2</v>
      </c>
      <c r="O25" t="s">
        <v>6</v>
      </c>
    </row>
    <row r="26" spans="2:15" x14ac:dyDescent="0.45">
      <c r="B26" t="s">
        <v>202</v>
      </c>
      <c r="C26" t="s">
        <v>11</v>
      </c>
      <c r="D26">
        <v>4.5012246165599982E-3</v>
      </c>
      <c r="E26" t="s">
        <v>6</v>
      </c>
      <c r="G26" t="s">
        <v>203</v>
      </c>
      <c r="H26" t="s">
        <v>11</v>
      </c>
      <c r="I26">
        <v>8.7827453190477342E-2</v>
      </c>
      <c r="J26" t="s">
        <v>6</v>
      </c>
      <c r="L26" t="s">
        <v>204</v>
      </c>
      <c r="M26" t="s">
        <v>11</v>
      </c>
      <c r="N26">
        <v>8.7445858150386135E-2</v>
      </c>
      <c r="O26" t="s">
        <v>6</v>
      </c>
    </row>
    <row r="27" spans="2:15" x14ac:dyDescent="0.45">
      <c r="B27" t="s">
        <v>202</v>
      </c>
      <c r="C27" t="s">
        <v>12</v>
      </c>
      <c r="D27">
        <v>0.29623954229053229</v>
      </c>
      <c r="E27" t="s">
        <v>6</v>
      </c>
      <c r="G27" t="s">
        <v>203</v>
      </c>
      <c r="H27" t="s">
        <v>12</v>
      </c>
      <c r="I27">
        <v>0.11663648666585852</v>
      </c>
      <c r="J27" t="s">
        <v>6</v>
      </c>
      <c r="L27" t="s">
        <v>204</v>
      </c>
      <c r="M27" t="s">
        <v>12</v>
      </c>
      <c r="N27">
        <v>9.7829301512225186E-2</v>
      </c>
      <c r="O27" t="s">
        <v>6</v>
      </c>
    </row>
    <row r="28" spans="2:15" x14ac:dyDescent="0.45">
      <c r="B28" t="s">
        <v>202</v>
      </c>
      <c r="C28" t="s">
        <v>13</v>
      </c>
      <c r="D28">
        <v>9.542138213872696E-3</v>
      </c>
      <c r="E28" t="s">
        <v>6</v>
      </c>
      <c r="G28" t="s">
        <v>203</v>
      </c>
      <c r="H28" t="s">
        <v>13</v>
      </c>
      <c r="I28">
        <v>6.4932148131506745E-2</v>
      </c>
      <c r="J28" t="s">
        <v>6</v>
      </c>
      <c r="L28" t="s">
        <v>204</v>
      </c>
      <c r="M28" t="s">
        <v>13</v>
      </c>
      <c r="N28">
        <v>6.5882133046509611E-2</v>
      </c>
      <c r="O28" t="s">
        <v>6</v>
      </c>
    </row>
    <row r="29" spans="2:15" x14ac:dyDescent="0.45">
      <c r="B29" t="s">
        <v>202</v>
      </c>
      <c r="C29" t="s">
        <v>14</v>
      </c>
      <c r="D29">
        <v>7.4021323292132457E-3</v>
      </c>
      <c r="E29" t="s">
        <v>6</v>
      </c>
      <c r="G29" t="s">
        <v>203</v>
      </c>
      <c r="H29" t="s">
        <v>14</v>
      </c>
      <c r="I29">
        <v>5.4757890143547483E-2</v>
      </c>
      <c r="J29" t="s">
        <v>6</v>
      </c>
      <c r="L29" t="s">
        <v>204</v>
      </c>
      <c r="M29" t="s">
        <v>14</v>
      </c>
      <c r="N29">
        <v>6.9479369698684471E-2</v>
      </c>
      <c r="O29" t="s">
        <v>6</v>
      </c>
    </row>
    <row r="30" spans="2:15" x14ac:dyDescent="0.45">
      <c r="B30" t="s">
        <v>202</v>
      </c>
      <c r="C30" t="s">
        <v>15</v>
      </c>
      <c r="D30">
        <v>0.34834221222453032</v>
      </c>
      <c r="E30" t="s">
        <v>6</v>
      </c>
      <c r="G30" t="s">
        <v>203</v>
      </c>
      <c r="H30" t="s">
        <v>15</v>
      </c>
      <c r="I30">
        <v>7.0059861183862621E-2</v>
      </c>
      <c r="J30" t="s">
        <v>6</v>
      </c>
      <c r="L30" t="s">
        <v>204</v>
      </c>
      <c r="M30" t="s">
        <v>15</v>
      </c>
      <c r="N30">
        <v>8.3715997668000267E-2</v>
      </c>
      <c r="O30" t="s">
        <v>6</v>
      </c>
    </row>
    <row r="31" spans="2:15" x14ac:dyDescent="0.45">
      <c r="B31" t="s">
        <v>202</v>
      </c>
      <c r="C31" t="s">
        <v>16</v>
      </c>
      <c r="D31">
        <v>1.6756057272301797E-2</v>
      </c>
      <c r="E31" t="s">
        <v>6</v>
      </c>
      <c r="G31" t="s">
        <v>203</v>
      </c>
      <c r="H31" t="s">
        <v>16</v>
      </c>
      <c r="I31">
        <v>4.4575534644629107E-2</v>
      </c>
      <c r="J31" t="s">
        <v>6</v>
      </c>
      <c r="L31" t="s">
        <v>204</v>
      </c>
      <c r="M31" t="s">
        <v>16</v>
      </c>
      <c r="N31">
        <v>6.027062595080062E-2</v>
      </c>
      <c r="O31" t="s">
        <v>6</v>
      </c>
    </row>
    <row r="32" spans="2:15" x14ac:dyDescent="0.45">
      <c r="B32" t="s">
        <v>202</v>
      </c>
      <c r="C32" t="s">
        <v>17</v>
      </c>
      <c r="D32">
        <v>4.2921592275849645E-4</v>
      </c>
      <c r="E32" t="s">
        <v>6</v>
      </c>
      <c r="G32" t="s">
        <v>203</v>
      </c>
      <c r="H32" t="s">
        <v>17</v>
      </c>
      <c r="I32">
        <v>8.0891543687854631E-2</v>
      </c>
      <c r="J32" t="s">
        <v>6</v>
      </c>
      <c r="L32" t="s">
        <v>204</v>
      </c>
      <c r="M32" t="s">
        <v>17</v>
      </c>
      <c r="N32">
        <v>8.2598189078466958E-2</v>
      </c>
      <c r="O32" t="s">
        <v>6</v>
      </c>
    </row>
    <row r="33" spans="2:15" x14ac:dyDescent="0.45">
      <c r="B33" t="s">
        <v>202</v>
      </c>
      <c r="C33" t="s">
        <v>18</v>
      </c>
      <c r="D33">
        <v>0.18704719034969994</v>
      </c>
      <c r="E33" t="s">
        <v>6</v>
      </c>
      <c r="G33" t="s">
        <v>203</v>
      </c>
      <c r="H33" t="s">
        <v>18</v>
      </c>
      <c r="I33">
        <v>0.10875057862426363</v>
      </c>
      <c r="J33" t="s">
        <v>6</v>
      </c>
      <c r="L33" t="s">
        <v>204</v>
      </c>
      <c r="M33" t="s">
        <v>18</v>
      </c>
      <c r="N33">
        <v>0.10765318317333274</v>
      </c>
      <c r="O33" t="s">
        <v>6</v>
      </c>
    </row>
    <row r="34" spans="2:15" x14ac:dyDescent="0.45">
      <c r="B34" t="s">
        <v>202</v>
      </c>
      <c r="C34" t="s">
        <v>19</v>
      </c>
      <c r="D34">
        <v>1.4988246583609172E-3</v>
      </c>
      <c r="E34" t="s">
        <v>6</v>
      </c>
      <c r="G34" t="s">
        <v>203</v>
      </c>
      <c r="H34" t="s">
        <v>19</v>
      </c>
      <c r="I34">
        <v>6.2348486233866032E-2</v>
      </c>
      <c r="J34" t="s">
        <v>6</v>
      </c>
      <c r="L34" t="s">
        <v>204</v>
      </c>
      <c r="M34" t="s">
        <v>19</v>
      </c>
      <c r="N34">
        <v>6.7578828319984477E-2</v>
      </c>
      <c r="O34" t="s">
        <v>6</v>
      </c>
    </row>
    <row r="35" spans="2:15" x14ac:dyDescent="0.45">
      <c r="B35" t="s">
        <v>205</v>
      </c>
      <c r="C35" t="s">
        <v>5</v>
      </c>
      <c r="D35">
        <v>0</v>
      </c>
      <c r="E35" t="s">
        <v>6</v>
      </c>
      <c r="G35" t="s">
        <v>206</v>
      </c>
      <c r="H35" t="s">
        <v>5</v>
      </c>
      <c r="I35">
        <v>0.10240744122356767</v>
      </c>
      <c r="J35" t="s">
        <v>6</v>
      </c>
      <c r="L35" t="s">
        <v>207</v>
      </c>
      <c r="M35" t="s">
        <v>5</v>
      </c>
      <c r="N35">
        <v>9.577327077592139E-2</v>
      </c>
      <c r="O35" t="s">
        <v>6</v>
      </c>
    </row>
    <row r="36" spans="2:15" x14ac:dyDescent="0.45">
      <c r="B36" t="s">
        <v>205</v>
      </c>
      <c r="C36" t="s">
        <v>9</v>
      </c>
      <c r="D36">
        <v>0.12428450419078876</v>
      </c>
      <c r="E36" t="s">
        <v>6</v>
      </c>
      <c r="G36" t="s">
        <v>206</v>
      </c>
      <c r="H36" t="s">
        <v>9</v>
      </c>
      <c r="I36">
        <v>0.12327962741229208</v>
      </c>
      <c r="J36" t="s">
        <v>6</v>
      </c>
      <c r="L36" t="s">
        <v>207</v>
      </c>
      <c r="M36" t="s">
        <v>9</v>
      </c>
      <c r="N36">
        <v>0.1159474502928733</v>
      </c>
      <c r="O36" t="s">
        <v>6</v>
      </c>
    </row>
    <row r="37" spans="2:15" x14ac:dyDescent="0.45">
      <c r="B37" t="s">
        <v>205</v>
      </c>
      <c r="C37" t="s">
        <v>10</v>
      </c>
      <c r="D37">
        <v>1.5540002812303557E-4</v>
      </c>
      <c r="E37" t="s">
        <v>6</v>
      </c>
      <c r="G37" t="s">
        <v>206</v>
      </c>
      <c r="H37" t="s">
        <v>10</v>
      </c>
      <c r="I37">
        <v>7.8998707708494001E-2</v>
      </c>
      <c r="J37" t="s">
        <v>6</v>
      </c>
      <c r="L37" t="s">
        <v>207</v>
      </c>
      <c r="M37" t="s">
        <v>10</v>
      </c>
      <c r="N37">
        <v>7.3107018537085275E-2</v>
      </c>
      <c r="O37" t="s">
        <v>6</v>
      </c>
    </row>
    <row r="38" spans="2:15" x14ac:dyDescent="0.45">
      <c r="B38" t="s">
        <v>205</v>
      </c>
      <c r="C38" t="s">
        <v>11</v>
      </c>
      <c r="D38">
        <v>4.7824201712856392E-3</v>
      </c>
      <c r="E38" t="s">
        <v>6</v>
      </c>
      <c r="G38" t="s">
        <v>206</v>
      </c>
      <c r="H38" t="s">
        <v>11</v>
      </c>
      <c r="I38">
        <v>8.395539555627872E-2</v>
      </c>
      <c r="J38" t="s">
        <v>6</v>
      </c>
      <c r="L38" t="s">
        <v>207</v>
      </c>
      <c r="M38" t="s">
        <v>11</v>
      </c>
      <c r="N38">
        <v>8.6134347289872029E-2</v>
      </c>
      <c r="O38" t="s">
        <v>6</v>
      </c>
    </row>
    <row r="39" spans="2:15" x14ac:dyDescent="0.45">
      <c r="B39" t="s">
        <v>205</v>
      </c>
      <c r="C39" t="s">
        <v>12</v>
      </c>
      <c r="D39">
        <v>0.30929329149362955</v>
      </c>
      <c r="E39" t="s">
        <v>6</v>
      </c>
      <c r="G39" t="s">
        <v>206</v>
      </c>
      <c r="H39" t="s">
        <v>12</v>
      </c>
      <c r="I39">
        <v>0.11608227446700228</v>
      </c>
      <c r="J39" t="s">
        <v>6</v>
      </c>
      <c r="L39" t="s">
        <v>207</v>
      </c>
      <c r="M39" t="s">
        <v>12</v>
      </c>
      <c r="N39">
        <v>0.10812728605880804</v>
      </c>
      <c r="O39" t="s">
        <v>6</v>
      </c>
    </row>
    <row r="40" spans="2:15" x14ac:dyDescent="0.45">
      <c r="B40" t="s">
        <v>205</v>
      </c>
      <c r="C40" t="s">
        <v>13</v>
      </c>
      <c r="D40">
        <v>1.0216502449829506E-2</v>
      </c>
      <c r="E40" t="s">
        <v>6</v>
      </c>
      <c r="G40" t="s">
        <v>206</v>
      </c>
      <c r="H40" t="s">
        <v>13</v>
      </c>
      <c r="I40">
        <v>6.4558317046661498E-2</v>
      </c>
      <c r="J40" t="s">
        <v>6</v>
      </c>
      <c r="L40" t="s">
        <v>207</v>
      </c>
      <c r="M40" t="s">
        <v>13</v>
      </c>
      <c r="N40">
        <v>6.6961524175822768E-2</v>
      </c>
      <c r="O40" t="s">
        <v>6</v>
      </c>
    </row>
    <row r="41" spans="2:15" x14ac:dyDescent="0.45">
      <c r="B41" t="s">
        <v>205</v>
      </c>
      <c r="C41" t="s">
        <v>14</v>
      </c>
      <c r="D41">
        <v>8.1325317594131905E-3</v>
      </c>
      <c r="E41" t="s">
        <v>6</v>
      </c>
      <c r="G41" t="s">
        <v>206</v>
      </c>
      <c r="H41" t="s">
        <v>14</v>
      </c>
      <c r="I41">
        <v>4.979976976508646E-2</v>
      </c>
      <c r="J41" t="s">
        <v>6</v>
      </c>
      <c r="L41" t="s">
        <v>207</v>
      </c>
      <c r="M41" t="s">
        <v>14</v>
      </c>
      <c r="N41">
        <v>6.3106398419163809E-2</v>
      </c>
      <c r="O41" t="s">
        <v>6</v>
      </c>
    </row>
    <row r="42" spans="2:15" x14ac:dyDescent="0.45">
      <c r="B42" t="s">
        <v>205</v>
      </c>
      <c r="C42" t="s">
        <v>15</v>
      </c>
      <c r="D42">
        <v>0.34283085990141127</v>
      </c>
      <c r="E42" t="s">
        <v>6</v>
      </c>
      <c r="G42" t="s">
        <v>206</v>
      </c>
      <c r="H42" t="s">
        <v>15</v>
      </c>
      <c r="I42">
        <v>6.7723167936300802E-2</v>
      </c>
      <c r="J42" t="s">
        <v>6</v>
      </c>
      <c r="L42" t="s">
        <v>207</v>
      </c>
      <c r="M42" t="s">
        <v>15</v>
      </c>
      <c r="N42">
        <v>7.5641185019722529E-2</v>
      </c>
      <c r="O42" t="s">
        <v>6</v>
      </c>
    </row>
    <row r="43" spans="2:15" x14ac:dyDescent="0.45">
      <c r="B43" t="s">
        <v>205</v>
      </c>
      <c r="C43" t="s">
        <v>16</v>
      </c>
      <c r="D43">
        <v>1.7276147436504703E-2</v>
      </c>
      <c r="E43" t="s">
        <v>6</v>
      </c>
      <c r="G43" t="s">
        <v>206</v>
      </c>
      <c r="H43" t="s">
        <v>16</v>
      </c>
      <c r="I43">
        <v>4.0503827467519606E-2</v>
      </c>
      <c r="J43" t="s">
        <v>6</v>
      </c>
      <c r="L43" t="s">
        <v>207</v>
      </c>
      <c r="M43" t="s">
        <v>16</v>
      </c>
      <c r="N43">
        <v>5.1023427591027549E-2</v>
      </c>
      <c r="O43" t="s">
        <v>6</v>
      </c>
    </row>
    <row r="44" spans="2:15" x14ac:dyDescent="0.45">
      <c r="B44" t="s">
        <v>205</v>
      </c>
      <c r="C44" t="s">
        <v>17</v>
      </c>
      <c r="D44">
        <v>4.3467487274298603E-4</v>
      </c>
      <c r="E44" t="s">
        <v>6</v>
      </c>
      <c r="G44" t="s">
        <v>206</v>
      </c>
      <c r="H44" t="s">
        <v>17</v>
      </c>
      <c r="I44">
        <v>9.0744973759727593E-2</v>
      </c>
      <c r="J44" t="s">
        <v>6</v>
      </c>
      <c r="L44" t="s">
        <v>207</v>
      </c>
      <c r="M44" t="s">
        <v>17</v>
      </c>
      <c r="N44">
        <v>8.6890422196605296E-2</v>
      </c>
      <c r="O44" t="s">
        <v>6</v>
      </c>
    </row>
    <row r="45" spans="2:15" x14ac:dyDescent="0.45">
      <c r="B45" t="s">
        <v>205</v>
      </c>
      <c r="C45" t="s">
        <v>18</v>
      </c>
      <c r="D45">
        <v>0.18119099404203498</v>
      </c>
      <c r="E45" t="s">
        <v>6</v>
      </c>
      <c r="G45" t="s">
        <v>206</v>
      </c>
      <c r="H45" t="s">
        <v>18</v>
      </c>
      <c r="I45">
        <v>0.11163496328135848</v>
      </c>
      <c r="J45" t="s">
        <v>6</v>
      </c>
      <c r="L45" t="s">
        <v>207</v>
      </c>
      <c r="M45" t="s">
        <v>18</v>
      </c>
      <c r="N45">
        <v>0.10836105707758668</v>
      </c>
      <c r="O45" t="s">
        <v>6</v>
      </c>
    </row>
    <row r="46" spans="2:15" x14ac:dyDescent="0.45">
      <c r="B46" t="s">
        <v>205</v>
      </c>
      <c r="C46" t="s">
        <v>19</v>
      </c>
      <c r="D46">
        <v>1.4026736542359654E-3</v>
      </c>
      <c r="E46" t="s">
        <v>6</v>
      </c>
      <c r="G46" t="s">
        <v>206</v>
      </c>
      <c r="H46" t="s">
        <v>19</v>
      </c>
      <c r="I46">
        <v>7.031153437570993E-2</v>
      </c>
      <c r="J46" t="s">
        <v>6</v>
      </c>
      <c r="L46" t="s">
        <v>207</v>
      </c>
      <c r="M46" t="s">
        <v>19</v>
      </c>
      <c r="N46">
        <v>6.8926612565510192E-2</v>
      </c>
      <c r="O46" t="s">
        <v>6</v>
      </c>
    </row>
    <row r="47" spans="2:15" x14ac:dyDescent="0.45">
      <c r="B47" t="s">
        <v>208</v>
      </c>
      <c r="C47" t="s">
        <v>5</v>
      </c>
      <c r="D47">
        <v>0</v>
      </c>
      <c r="E47" t="s">
        <v>6</v>
      </c>
      <c r="G47" t="s">
        <v>209</v>
      </c>
      <c r="H47" t="s">
        <v>5</v>
      </c>
      <c r="I47">
        <v>0.10189791532300974</v>
      </c>
      <c r="J47" t="s">
        <v>6</v>
      </c>
      <c r="L47" t="s">
        <v>210</v>
      </c>
      <c r="M47" t="s">
        <v>5</v>
      </c>
      <c r="N47">
        <v>9.5455938056625542E-2</v>
      </c>
      <c r="O47" t="s">
        <v>6</v>
      </c>
    </row>
    <row r="48" spans="2:15" x14ac:dyDescent="0.45">
      <c r="B48" t="s">
        <v>208</v>
      </c>
      <c r="C48" t="s">
        <v>9</v>
      </c>
      <c r="D48">
        <v>0.12867722139971838</v>
      </c>
      <c r="E48" t="s">
        <v>6</v>
      </c>
      <c r="G48" t="s">
        <v>209</v>
      </c>
      <c r="H48" t="s">
        <v>9</v>
      </c>
      <c r="I48">
        <v>0.12334861967925365</v>
      </c>
      <c r="J48" t="s">
        <v>6</v>
      </c>
      <c r="L48" t="s">
        <v>210</v>
      </c>
      <c r="M48" t="s">
        <v>9</v>
      </c>
      <c r="N48">
        <v>0.11944819569963164</v>
      </c>
      <c r="O48" t="s">
        <v>6</v>
      </c>
    </row>
    <row r="49" spans="2:15" x14ac:dyDescent="0.45">
      <c r="B49" t="s">
        <v>208</v>
      </c>
      <c r="C49" t="s">
        <v>10</v>
      </c>
      <c r="D49">
        <v>1.6231236090971883E-6</v>
      </c>
      <c r="E49" t="s">
        <v>6</v>
      </c>
      <c r="G49" t="s">
        <v>209</v>
      </c>
      <c r="H49" t="s">
        <v>10</v>
      </c>
      <c r="I49">
        <v>7.9169664744579968E-2</v>
      </c>
      <c r="J49" t="s">
        <v>6</v>
      </c>
      <c r="L49" t="s">
        <v>210</v>
      </c>
      <c r="M49" t="s">
        <v>10</v>
      </c>
      <c r="N49">
        <v>7.1334907953435153E-2</v>
      </c>
      <c r="O49" t="s">
        <v>6</v>
      </c>
    </row>
    <row r="50" spans="2:15" x14ac:dyDescent="0.45">
      <c r="B50" t="s">
        <v>208</v>
      </c>
      <c r="C50" t="s">
        <v>11</v>
      </c>
      <c r="D50">
        <v>6.6970777322500645E-3</v>
      </c>
      <c r="E50" t="s">
        <v>6</v>
      </c>
      <c r="G50" t="s">
        <v>209</v>
      </c>
      <c r="H50" t="s">
        <v>11</v>
      </c>
      <c r="I50">
        <v>8.4404543183741201E-2</v>
      </c>
      <c r="J50" t="s">
        <v>6</v>
      </c>
      <c r="L50" t="s">
        <v>210</v>
      </c>
      <c r="M50" t="s">
        <v>11</v>
      </c>
      <c r="N50">
        <v>9.350852917168373E-2</v>
      </c>
      <c r="O50" t="s">
        <v>6</v>
      </c>
    </row>
    <row r="51" spans="2:15" x14ac:dyDescent="0.45">
      <c r="B51" t="s">
        <v>208</v>
      </c>
      <c r="C51" t="s">
        <v>12</v>
      </c>
      <c r="D51">
        <v>0.30106631244883691</v>
      </c>
      <c r="E51" t="s">
        <v>6</v>
      </c>
      <c r="G51" t="s">
        <v>209</v>
      </c>
      <c r="H51" t="s">
        <v>12</v>
      </c>
      <c r="I51">
        <v>0.1196954520036906</v>
      </c>
      <c r="J51" t="s">
        <v>6</v>
      </c>
      <c r="L51" t="s">
        <v>210</v>
      </c>
      <c r="M51" t="s">
        <v>12</v>
      </c>
      <c r="N51">
        <v>0.1140470167903585</v>
      </c>
      <c r="O51" t="s">
        <v>6</v>
      </c>
    </row>
    <row r="52" spans="2:15" x14ac:dyDescent="0.45">
      <c r="B52" t="s">
        <v>208</v>
      </c>
      <c r="C52" t="s">
        <v>13</v>
      </c>
      <c r="D52">
        <v>8.1677850547978402E-3</v>
      </c>
      <c r="E52" t="s">
        <v>6</v>
      </c>
      <c r="G52" t="s">
        <v>209</v>
      </c>
      <c r="H52" t="s">
        <v>13</v>
      </c>
      <c r="I52">
        <v>6.7585410363656354E-2</v>
      </c>
      <c r="J52" t="s">
        <v>6</v>
      </c>
      <c r="L52" t="s">
        <v>210</v>
      </c>
      <c r="M52" t="s">
        <v>13</v>
      </c>
      <c r="N52">
        <v>7.1174178270169169E-2</v>
      </c>
      <c r="O52" t="s">
        <v>6</v>
      </c>
    </row>
    <row r="53" spans="2:15" x14ac:dyDescent="0.45">
      <c r="B53" t="s">
        <v>208</v>
      </c>
      <c r="C53" t="s">
        <v>14</v>
      </c>
      <c r="D53">
        <v>1.127949807979838E-2</v>
      </c>
      <c r="E53" t="s">
        <v>6</v>
      </c>
      <c r="G53" t="s">
        <v>209</v>
      </c>
      <c r="H53" t="s">
        <v>14</v>
      </c>
      <c r="I53">
        <v>5.035733017763868E-2</v>
      </c>
      <c r="J53" t="s">
        <v>6</v>
      </c>
      <c r="L53" t="s">
        <v>210</v>
      </c>
      <c r="M53" t="s">
        <v>14</v>
      </c>
      <c r="N53">
        <v>6.5746078931455301E-2</v>
      </c>
      <c r="O53" t="s">
        <v>6</v>
      </c>
    </row>
    <row r="54" spans="2:15" x14ac:dyDescent="0.45">
      <c r="B54" t="s">
        <v>208</v>
      </c>
      <c r="C54" t="s">
        <v>15</v>
      </c>
      <c r="D54">
        <v>0.34029696983797081</v>
      </c>
      <c r="E54" t="s">
        <v>6</v>
      </c>
      <c r="G54" t="s">
        <v>209</v>
      </c>
      <c r="H54" t="s">
        <v>15</v>
      </c>
      <c r="I54">
        <v>6.809265183381967E-2</v>
      </c>
      <c r="J54" t="s">
        <v>6</v>
      </c>
      <c r="L54" t="s">
        <v>210</v>
      </c>
      <c r="M54" t="s">
        <v>15</v>
      </c>
      <c r="N54">
        <v>8.0580269954727252E-2</v>
      </c>
      <c r="O54" t="s">
        <v>6</v>
      </c>
    </row>
    <row r="55" spans="2:15" x14ac:dyDescent="0.45">
      <c r="B55" t="s">
        <v>208</v>
      </c>
      <c r="C55" t="s">
        <v>16</v>
      </c>
      <c r="D55">
        <v>1.5242308179805014E-2</v>
      </c>
      <c r="E55" t="s">
        <v>6</v>
      </c>
      <c r="G55" t="s">
        <v>209</v>
      </c>
      <c r="H55" t="s">
        <v>16</v>
      </c>
      <c r="I55">
        <v>4.0530767359198035E-2</v>
      </c>
      <c r="J55" t="s">
        <v>6</v>
      </c>
      <c r="L55" t="s">
        <v>210</v>
      </c>
      <c r="M55" t="s">
        <v>16</v>
      </c>
      <c r="N55">
        <v>5.1261983432982459E-2</v>
      </c>
      <c r="O55" t="s">
        <v>6</v>
      </c>
    </row>
    <row r="56" spans="2:15" x14ac:dyDescent="0.45">
      <c r="B56" t="s">
        <v>208</v>
      </c>
      <c r="C56" t="s">
        <v>17</v>
      </c>
      <c r="D56">
        <v>9.7212363270723489E-4</v>
      </c>
      <c r="E56" t="s">
        <v>6</v>
      </c>
      <c r="G56" t="s">
        <v>209</v>
      </c>
      <c r="H56" t="s">
        <v>17</v>
      </c>
      <c r="I56">
        <v>8.7343302152643271E-2</v>
      </c>
      <c r="J56" t="s">
        <v>6</v>
      </c>
      <c r="L56" t="s">
        <v>210</v>
      </c>
      <c r="M56" t="s">
        <v>17</v>
      </c>
      <c r="N56">
        <v>7.8316710961620933E-2</v>
      </c>
      <c r="O56" t="s">
        <v>6</v>
      </c>
    </row>
    <row r="57" spans="2:15" x14ac:dyDescent="0.45">
      <c r="B57" t="s">
        <v>208</v>
      </c>
      <c r="C57" t="s">
        <v>18</v>
      </c>
      <c r="D57">
        <v>0.18666445867305836</v>
      </c>
      <c r="E57" t="s">
        <v>6</v>
      </c>
      <c r="G57" t="s">
        <v>209</v>
      </c>
      <c r="H57" t="s">
        <v>18</v>
      </c>
      <c r="I57">
        <v>0.10951587651122645</v>
      </c>
      <c r="J57" t="s">
        <v>6</v>
      </c>
      <c r="L57" t="s">
        <v>210</v>
      </c>
      <c r="M57" t="s">
        <v>18</v>
      </c>
      <c r="N57">
        <v>9.7719900134732959E-2</v>
      </c>
      <c r="O57" t="s">
        <v>6</v>
      </c>
    </row>
    <row r="58" spans="2:15" x14ac:dyDescent="0.45">
      <c r="B58" t="s">
        <v>208</v>
      </c>
      <c r="C58" t="s">
        <v>19</v>
      </c>
      <c r="D58">
        <v>9.3462183744723348E-4</v>
      </c>
      <c r="E58" t="s">
        <v>6</v>
      </c>
      <c r="G58" t="s">
        <v>209</v>
      </c>
      <c r="H58" t="s">
        <v>19</v>
      </c>
      <c r="I58">
        <v>6.8058466667539633E-2</v>
      </c>
      <c r="J58" t="s">
        <v>6</v>
      </c>
      <c r="L58" t="s">
        <v>210</v>
      </c>
      <c r="M58" t="s">
        <v>19</v>
      </c>
      <c r="N58">
        <v>6.1406290642577271E-2</v>
      </c>
      <c r="O58" t="s">
        <v>6</v>
      </c>
    </row>
    <row r="59" spans="2:15" x14ac:dyDescent="0.45">
      <c r="B59" t="s">
        <v>211</v>
      </c>
      <c r="C59" t="s">
        <v>5</v>
      </c>
      <c r="D59">
        <v>0</v>
      </c>
      <c r="E59" t="s">
        <v>6</v>
      </c>
      <c r="G59" t="s">
        <v>212</v>
      </c>
      <c r="H59" t="s">
        <v>5</v>
      </c>
      <c r="I59">
        <v>0.1044990198162397</v>
      </c>
      <c r="J59" t="s">
        <v>6</v>
      </c>
      <c r="L59" t="s">
        <v>213</v>
      </c>
      <c r="M59" t="s">
        <v>5</v>
      </c>
      <c r="N59">
        <v>9.6359548466579875E-2</v>
      </c>
      <c r="O59" t="s">
        <v>6</v>
      </c>
    </row>
    <row r="60" spans="2:15" x14ac:dyDescent="0.45">
      <c r="B60" t="s">
        <v>211</v>
      </c>
      <c r="C60" t="s">
        <v>9</v>
      </c>
      <c r="D60">
        <v>0.12586422451194951</v>
      </c>
      <c r="E60" t="s">
        <v>6</v>
      </c>
      <c r="G60" t="s">
        <v>212</v>
      </c>
      <c r="H60" t="s">
        <v>9</v>
      </c>
      <c r="I60">
        <v>0.13082508643069837</v>
      </c>
      <c r="J60" t="s">
        <v>6</v>
      </c>
      <c r="L60" t="s">
        <v>213</v>
      </c>
      <c r="M60" t="s">
        <v>9</v>
      </c>
      <c r="N60">
        <v>0.12313383593800697</v>
      </c>
      <c r="O60" t="s">
        <v>6</v>
      </c>
    </row>
    <row r="61" spans="2:15" x14ac:dyDescent="0.45">
      <c r="B61" t="s">
        <v>211</v>
      </c>
      <c r="C61" t="s">
        <v>10</v>
      </c>
      <c r="D61">
        <v>0</v>
      </c>
      <c r="E61" t="s">
        <v>6</v>
      </c>
      <c r="G61" t="s">
        <v>212</v>
      </c>
      <c r="H61" t="s">
        <v>10</v>
      </c>
      <c r="I61">
        <v>8.0832951362399527E-2</v>
      </c>
      <c r="J61" t="s">
        <v>6</v>
      </c>
      <c r="L61" t="s">
        <v>213</v>
      </c>
      <c r="M61" t="s">
        <v>10</v>
      </c>
      <c r="N61">
        <v>7.3767907996990512E-2</v>
      </c>
      <c r="O61" t="s">
        <v>6</v>
      </c>
    </row>
    <row r="62" spans="2:15" x14ac:dyDescent="0.45">
      <c r="B62" t="s">
        <v>211</v>
      </c>
      <c r="C62" t="s">
        <v>11</v>
      </c>
      <c r="D62">
        <v>7.4464535866550496E-3</v>
      </c>
      <c r="E62" t="s">
        <v>6</v>
      </c>
      <c r="G62" t="s">
        <v>212</v>
      </c>
      <c r="H62" t="s">
        <v>11</v>
      </c>
      <c r="I62">
        <v>8.4283803652781097E-2</v>
      </c>
      <c r="J62" t="s">
        <v>6</v>
      </c>
      <c r="L62" t="s">
        <v>213</v>
      </c>
      <c r="M62" t="s">
        <v>11</v>
      </c>
      <c r="N62">
        <v>9.7214184493227204E-2</v>
      </c>
      <c r="O62" t="s">
        <v>6</v>
      </c>
    </row>
    <row r="63" spans="2:15" x14ac:dyDescent="0.45">
      <c r="B63" t="s">
        <v>211</v>
      </c>
      <c r="C63" t="s">
        <v>12</v>
      </c>
      <c r="D63">
        <v>0.30749923653280437</v>
      </c>
      <c r="E63" t="s">
        <v>6</v>
      </c>
      <c r="G63" t="s">
        <v>212</v>
      </c>
      <c r="H63" t="s">
        <v>12</v>
      </c>
      <c r="I63">
        <v>0.12403370834150745</v>
      </c>
      <c r="J63" t="s">
        <v>6</v>
      </c>
      <c r="L63" t="s">
        <v>213</v>
      </c>
      <c r="M63" t="s">
        <v>12</v>
      </c>
      <c r="N63">
        <v>0.11601344000937898</v>
      </c>
      <c r="O63" t="s">
        <v>6</v>
      </c>
    </row>
    <row r="64" spans="2:15" x14ac:dyDescent="0.45">
      <c r="B64" t="s">
        <v>211</v>
      </c>
      <c r="C64" t="s">
        <v>13</v>
      </c>
      <c r="D64">
        <v>6.3734099948284202E-3</v>
      </c>
      <c r="E64" t="s">
        <v>6</v>
      </c>
      <c r="G64" t="s">
        <v>212</v>
      </c>
      <c r="H64" t="s">
        <v>13</v>
      </c>
      <c r="I64">
        <v>6.6701262512688139E-2</v>
      </c>
      <c r="J64" t="s">
        <v>6</v>
      </c>
      <c r="L64" t="s">
        <v>213</v>
      </c>
      <c r="M64" t="s">
        <v>13</v>
      </c>
      <c r="N64">
        <v>7.1490272744663963E-2</v>
      </c>
      <c r="O64" t="s">
        <v>6</v>
      </c>
    </row>
    <row r="65" spans="2:15" x14ac:dyDescent="0.45">
      <c r="B65" t="s">
        <v>211</v>
      </c>
      <c r="C65" t="s">
        <v>14</v>
      </c>
      <c r="D65">
        <v>1.1708216514494234E-2</v>
      </c>
      <c r="E65" t="s">
        <v>6</v>
      </c>
      <c r="G65" t="s">
        <v>212</v>
      </c>
      <c r="H65" t="s">
        <v>14</v>
      </c>
      <c r="I65">
        <v>4.7415114373056302E-2</v>
      </c>
      <c r="J65" t="s">
        <v>6</v>
      </c>
      <c r="L65" t="s">
        <v>213</v>
      </c>
      <c r="M65" t="s">
        <v>14</v>
      </c>
      <c r="N65">
        <v>6.4174473220961606E-2</v>
      </c>
      <c r="O65" t="s">
        <v>6</v>
      </c>
    </row>
    <row r="66" spans="2:15" x14ac:dyDescent="0.45">
      <c r="B66" t="s">
        <v>211</v>
      </c>
      <c r="C66" t="s">
        <v>15</v>
      </c>
      <c r="D66">
        <v>0.33695130714255983</v>
      </c>
      <c r="E66" t="s">
        <v>6</v>
      </c>
      <c r="G66" t="s">
        <v>212</v>
      </c>
      <c r="H66" t="s">
        <v>15</v>
      </c>
      <c r="I66">
        <v>7.024652950626098E-2</v>
      </c>
      <c r="J66" t="s">
        <v>6</v>
      </c>
      <c r="L66" t="s">
        <v>213</v>
      </c>
      <c r="M66" t="s">
        <v>15</v>
      </c>
      <c r="N66">
        <v>7.5862466219242031E-2</v>
      </c>
      <c r="O66" t="s">
        <v>6</v>
      </c>
    </row>
    <row r="67" spans="2:15" x14ac:dyDescent="0.45">
      <c r="B67" t="s">
        <v>211</v>
      </c>
      <c r="C67" t="s">
        <v>16</v>
      </c>
      <c r="D67">
        <v>1.2290446997050168E-2</v>
      </c>
      <c r="E67" t="s">
        <v>6</v>
      </c>
      <c r="G67" t="s">
        <v>212</v>
      </c>
      <c r="H67" t="s">
        <v>16</v>
      </c>
      <c r="I67">
        <v>4.1915920071405322E-2</v>
      </c>
      <c r="J67" t="s">
        <v>6</v>
      </c>
      <c r="L67" t="s">
        <v>213</v>
      </c>
      <c r="M67" t="s">
        <v>16</v>
      </c>
      <c r="N67">
        <v>4.8406386585356315E-2</v>
      </c>
      <c r="O67" t="s">
        <v>6</v>
      </c>
    </row>
    <row r="68" spans="2:15" x14ac:dyDescent="0.45">
      <c r="B68" t="s">
        <v>211</v>
      </c>
      <c r="C68" t="s">
        <v>17</v>
      </c>
      <c r="D68">
        <v>1.371857808633946E-3</v>
      </c>
      <c r="E68" t="s">
        <v>6</v>
      </c>
      <c r="G68" t="s">
        <v>212</v>
      </c>
      <c r="H68" t="s">
        <v>17</v>
      </c>
      <c r="I68">
        <v>7.7569914329580103E-2</v>
      </c>
      <c r="J68" t="s">
        <v>6</v>
      </c>
      <c r="L68" t="s">
        <v>213</v>
      </c>
      <c r="M68" t="s">
        <v>17</v>
      </c>
      <c r="N68">
        <v>7.6865591875188252E-2</v>
      </c>
      <c r="O68" t="s">
        <v>6</v>
      </c>
    </row>
    <row r="69" spans="2:15" x14ac:dyDescent="0.45">
      <c r="B69" t="s">
        <v>211</v>
      </c>
      <c r="C69" t="s">
        <v>18</v>
      </c>
      <c r="D69">
        <v>0.1898776568928727</v>
      </c>
      <c r="E69" t="s">
        <v>6</v>
      </c>
      <c r="G69" t="s">
        <v>212</v>
      </c>
      <c r="H69" t="s">
        <v>18</v>
      </c>
      <c r="I69">
        <v>0.1091265047979252</v>
      </c>
      <c r="J69" t="s">
        <v>6</v>
      </c>
      <c r="L69" t="s">
        <v>213</v>
      </c>
      <c r="M69" t="s">
        <v>18</v>
      </c>
      <c r="N69">
        <v>9.8527002797962837E-2</v>
      </c>
      <c r="O69" t="s">
        <v>6</v>
      </c>
    </row>
    <row r="70" spans="2:15" x14ac:dyDescent="0.45">
      <c r="B70" t="s">
        <v>211</v>
      </c>
      <c r="C70" t="s">
        <v>19</v>
      </c>
      <c r="D70">
        <v>6.1719001815035816E-4</v>
      </c>
      <c r="E70" t="s">
        <v>6</v>
      </c>
      <c r="G70" t="s">
        <v>212</v>
      </c>
      <c r="H70" t="s">
        <v>19</v>
      </c>
      <c r="I70">
        <v>6.2550184805460318E-2</v>
      </c>
      <c r="J70" t="s">
        <v>6</v>
      </c>
      <c r="L70" t="s">
        <v>213</v>
      </c>
      <c r="M70" t="s">
        <v>19</v>
      </c>
      <c r="N70">
        <v>5.8184889652442097E-2</v>
      </c>
      <c r="O70" t="s">
        <v>6</v>
      </c>
    </row>
    <row r="71" spans="2:15" x14ac:dyDescent="0.45">
      <c r="B71" t="s">
        <v>214</v>
      </c>
      <c r="C71" t="s">
        <v>5</v>
      </c>
      <c r="D71">
        <v>0</v>
      </c>
      <c r="E71" t="s">
        <v>6</v>
      </c>
      <c r="G71" t="s">
        <v>215</v>
      </c>
      <c r="H71" t="s">
        <v>5</v>
      </c>
      <c r="I71">
        <v>9.9829090517380467E-2</v>
      </c>
      <c r="J71" t="s">
        <v>6</v>
      </c>
      <c r="L71" t="s">
        <v>216</v>
      </c>
      <c r="M71" t="s">
        <v>5</v>
      </c>
      <c r="N71">
        <v>9.8523460176375588E-2</v>
      </c>
      <c r="O71" t="s">
        <v>6</v>
      </c>
    </row>
    <row r="72" spans="2:15" x14ac:dyDescent="0.45">
      <c r="B72" t="s">
        <v>214</v>
      </c>
      <c r="C72" t="s">
        <v>9</v>
      </c>
      <c r="D72">
        <v>0.12488737019056163</v>
      </c>
      <c r="E72" t="s">
        <v>6</v>
      </c>
      <c r="G72" t="s">
        <v>215</v>
      </c>
      <c r="H72" t="s">
        <v>9</v>
      </c>
      <c r="I72">
        <v>0.12117239695079399</v>
      </c>
      <c r="J72" t="s">
        <v>6</v>
      </c>
      <c r="L72" t="s">
        <v>216</v>
      </c>
      <c r="M72" t="s">
        <v>9</v>
      </c>
      <c r="N72">
        <v>0.1202250179595953</v>
      </c>
      <c r="O72" t="s">
        <v>6</v>
      </c>
    </row>
    <row r="73" spans="2:15" x14ac:dyDescent="0.45">
      <c r="B73" t="s">
        <v>214</v>
      </c>
      <c r="C73" t="s">
        <v>10</v>
      </c>
      <c r="D73">
        <v>2.2274035793142672E-8</v>
      </c>
      <c r="E73" t="s">
        <v>6</v>
      </c>
      <c r="G73" t="s">
        <v>215</v>
      </c>
      <c r="H73" t="s">
        <v>10</v>
      </c>
      <c r="I73">
        <v>7.5310228733033363E-2</v>
      </c>
      <c r="J73" t="s">
        <v>6</v>
      </c>
      <c r="L73" t="s">
        <v>216</v>
      </c>
      <c r="M73" t="s">
        <v>10</v>
      </c>
      <c r="N73">
        <v>7.3705667021448582E-2</v>
      </c>
      <c r="O73" t="s">
        <v>6</v>
      </c>
    </row>
    <row r="74" spans="2:15" x14ac:dyDescent="0.45">
      <c r="B74" t="s">
        <v>214</v>
      </c>
      <c r="C74" t="s">
        <v>11</v>
      </c>
      <c r="D74">
        <v>6.8869781150528867E-3</v>
      </c>
      <c r="E74" t="s">
        <v>6</v>
      </c>
      <c r="G74" t="s">
        <v>215</v>
      </c>
      <c r="H74" t="s">
        <v>11</v>
      </c>
      <c r="I74">
        <v>8.8264060707550426E-2</v>
      </c>
      <c r="J74" t="s">
        <v>6</v>
      </c>
      <c r="L74" t="s">
        <v>216</v>
      </c>
      <c r="M74" t="s">
        <v>11</v>
      </c>
      <c r="N74">
        <v>9.1742367438526054E-2</v>
      </c>
      <c r="O74" t="s">
        <v>6</v>
      </c>
    </row>
    <row r="75" spans="2:15" x14ac:dyDescent="0.45">
      <c r="B75" t="s">
        <v>214</v>
      </c>
      <c r="C75" t="s">
        <v>12</v>
      </c>
      <c r="D75">
        <v>0.29399139405010555</v>
      </c>
      <c r="E75" t="s">
        <v>6</v>
      </c>
      <c r="G75" t="s">
        <v>215</v>
      </c>
      <c r="H75" t="s">
        <v>12</v>
      </c>
      <c r="I75">
        <v>0.11829396494683669</v>
      </c>
      <c r="J75" t="s">
        <v>6</v>
      </c>
      <c r="L75" t="s">
        <v>216</v>
      </c>
      <c r="M75" t="s">
        <v>12</v>
      </c>
      <c r="N75">
        <v>0.11556468842485063</v>
      </c>
      <c r="O75" t="s">
        <v>6</v>
      </c>
    </row>
    <row r="76" spans="2:15" x14ac:dyDescent="0.45">
      <c r="B76" t="s">
        <v>214</v>
      </c>
      <c r="C76" t="s">
        <v>13</v>
      </c>
      <c r="D76">
        <v>6.7313301212346324E-3</v>
      </c>
      <c r="E76" t="s">
        <v>6</v>
      </c>
      <c r="G76" t="s">
        <v>215</v>
      </c>
      <c r="H76" t="s">
        <v>13</v>
      </c>
      <c r="I76">
        <v>6.8728547645030127E-2</v>
      </c>
      <c r="J76" t="s">
        <v>6</v>
      </c>
      <c r="L76" t="s">
        <v>216</v>
      </c>
      <c r="M76" t="s">
        <v>13</v>
      </c>
      <c r="N76">
        <v>6.7493128340797182E-2</v>
      </c>
      <c r="O76" t="s">
        <v>6</v>
      </c>
    </row>
    <row r="77" spans="2:15" x14ac:dyDescent="0.45">
      <c r="B77" t="s">
        <v>214</v>
      </c>
      <c r="C77" t="s">
        <v>14</v>
      </c>
      <c r="D77">
        <v>1.1302126060353235E-2</v>
      </c>
      <c r="E77" t="s">
        <v>6</v>
      </c>
      <c r="G77" t="s">
        <v>215</v>
      </c>
      <c r="H77" t="s">
        <v>14</v>
      </c>
      <c r="I77">
        <v>5.9171680781475645E-2</v>
      </c>
      <c r="J77" t="s">
        <v>6</v>
      </c>
      <c r="L77" t="s">
        <v>216</v>
      </c>
      <c r="M77" t="s">
        <v>14</v>
      </c>
      <c r="N77">
        <v>6.1544627367984148E-2</v>
      </c>
      <c r="O77" t="s">
        <v>6</v>
      </c>
    </row>
    <row r="78" spans="2:15" x14ac:dyDescent="0.45">
      <c r="B78" t="s">
        <v>214</v>
      </c>
      <c r="C78" t="s">
        <v>15</v>
      </c>
      <c r="D78">
        <v>0.35105364185754329</v>
      </c>
      <c r="E78" t="s">
        <v>6</v>
      </c>
      <c r="G78" t="s">
        <v>215</v>
      </c>
      <c r="H78" t="s">
        <v>15</v>
      </c>
      <c r="I78">
        <v>7.3607479872152215E-2</v>
      </c>
      <c r="J78" t="s">
        <v>6</v>
      </c>
      <c r="L78" t="s">
        <v>216</v>
      </c>
      <c r="M78" t="s">
        <v>15</v>
      </c>
      <c r="N78">
        <v>7.3884155504307117E-2</v>
      </c>
      <c r="O78" t="s">
        <v>6</v>
      </c>
    </row>
    <row r="79" spans="2:15" x14ac:dyDescent="0.45">
      <c r="B79" t="s">
        <v>214</v>
      </c>
      <c r="C79" t="s">
        <v>16</v>
      </c>
      <c r="D79">
        <v>1.333398081530498E-2</v>
      </c>
      <c r="E79" t="s">
        <v>6</v>
      </c>
      <c r="G79" t="s">
        <v>215</v>
      </c>
      <c r="H79" t="s">
        <v>16</v>
      </c>
      <c r="I79">
        <v>4.6871185198272859E-2</v>
      </c>
      <c r="J79" t="s">
        <v>6</v>
      </c>
      <c r="L79" t="s">
        <v>216</v>
      </c>
      <c r="M79" t="s">
        <v>16</v>
      </c>
      <c r="N79">
        <v>4.9317659805147095E-2</v>
      </c>
      <c r="O79" t="s">
        <v>6</v>
      </c>
    </row>
    <row r="80" spans="2:15" x14ac:dyDescent="0.45">
      <c r="B80" t="s">
        <v>214</v>
      </c>
      <c r="C80" t="s">
        <v>17</v>
      </c>
      <c r="D80">
        <v>1.3518026915599309E-3</v>
      </c>
      <c r="E80" t="s">
        <v>6</v>
      </c>
      <c r="G80" t="s">
        <v>215</v>
      </c>
      <c r="H80" t="s">
        <v>17</v>
      </c>
      <c r="I80">
        <v>7.9496018993429673E-2</v>
      </c>
      <c r="J80" t="s">
        <v>6</v>
      </c>
      <c r="L80" t="s">
        <v>216</v>
      </c>
      <c r="M80" t="s">
        <v>17</v>
      </c>
      <c r="N80">
        <v>8.0391846586145801E-2</v>
      </c>
      <c r="O80" t="s">
        <v>6</v>
      </c>
    </row>
    <row r="81" spans="2:15" x14ac:dyDescent="0.45">
      <c r="B81" t="s">
        <v>214</v>
      </c>
      <c r="C81" t="s">
        <v>18</v>
      </c>
      <c r="D81">
        <v>0.18968188519227863</v>
      </c>
      <c r="E81" t="s">
        <v>6</v>
      </c>
      <c r="G81" t="s">
        <v>215</v>
      </c>
      <c r="H81" t="s">
        <v>18</v>
      </c>
      <c r="I81">
        <v>0.10650723464890569</v>
      </c>
      <c r="J81" t="s">
        <v>6</v>
      </c>
      <c r="L81" t="s">
        <v>216</v>
      </c>
      <c r="M81" t="s">
        <v>18</v>
      </c>
      <c r="N81">
        <v>0.10452288531670115</v>
      </c>
      <c r="O81" t="s">
        <v>6</v>
      </c>
    </row>
    <row r="82" spans="2:15" x14ac:dyDescent="0.45">
      <c r="B82" t="s">
        <v>214</v>
      </c>
      <c r="C82" t="s">
        <v>19</v>
      </c>
      <c r="D82">
        <v>7.7946863196783512E-4</v>
      </c>
      <c r="E82" t="s">
        <v>6</v>
      </c>
      <c r="G82" t="s">
        <v>215</v>
      </c>
      <c r="H82" t="s">
        <v>19</v>
      </c>
      <c r="I82">
        <v>6.2748111005138371E-2</v>
      </c>
      <c r="J82" t="s">
        <v>6</v>
      </c>
      <c r="L82" t="s">
        <v>216</v>
      </c>
      <c r="M82" t="s">
        <v>19</v>
      </c>
      <c r="N82">
        <v>6.3084496058120873E-2</v>
      </c>
      <c r="O82" t="s">
        <v>6</v>
      </c>
    </row>
    <row r="83" spans="2:15" x14ac:dyDescent="0.45">
      <c r="B83" t="s">
        <v>217</v>
      </c>
      <c r="C83" t="s">
        <v>5</v>
      </c>
      <c r="D83">
        <v>0</v>
      </c>
      <c r="E83" t="s">
        <v>6</v>
      </c>
      <c r="G83" t="s">
        <v>218</v>
      </c>
      <c r="H83" t="s">
        <v>5</v>
      </c>
      <c r="I83">
        <v>0.10029859663763316</v>
      </c>
      <c r="J83" t="s">
        <v>6</v>
      </c>
      <c r="L83" t="s">
        <v>219</v>
      </c>
      <c r="M83" t="s">
        <v>5</v>
      </c>
      <c r="N83">
        <v>0.10107508566095338</v>
      </c>
      <c r="O83" t="s">
        <v>6</v>
      </c>
    </row>
    <row r="84" spans="2:15" x14ac:dyDescent="0.45">
      <c r="B84" t="s">
        <v>217</v>
      </c>
      <c r="C84" t="s">
        <v>9</v>
      </c>
      <c r="D84">
        <v>0.1296318483839318</v>
      </c>
      <c r="E84" t="s">
        <v>6</v>
      </c>
      <c r="G84" t="s">
        <v>218</v>
      </c>
      <c r="H84" t="s">
        <v>9</v>
      </c>
      <c r="I84">
        <v>0.12045730538589938</v>
      </c>
      <c r="J84" t="s">
        <v>6</v>
      </c>
      <c r="L84" t="s">
        <v>219</v>
      </c>
      <c r="M84" t="s">
        <v>9</v>
      </c>
      <c r="N84">
        <v>0.1227546651504049</v>
      </c>
      <c r="O84" t="s">
        <v>6</v>
      </c>
    </row>
    <row r="85" spans="2:15" x14ac:dyDescent="0.45">
      <c r="B85" t="s">
        <v>217</v>
      </c>
      <c r="C85" t="s">
        <v>10</v>
      </c>
      <c r="D85">
        <v>4.0188333232792125E-5</v>
      </c>
      <c r="E85" t="s">
        <v>6</v>
      </c>
      <c r="G85" t="s">
        <v>218</v>
      </c>
      <c r="H85" t="s">
        <v>10</v>
      </c>
      <c r="I85">
        <v>7.5909613689720171E-2</v>
      </c>
      <c r="J85" t="s">
        <v>6</v>
      </c>
      <c r="L85" t="s">
        <v>219</v>
      </c>
      <c r="M85" t="s">
        <v>10</v>
      </c>
      <c r="N85">
        <v>7.7340704811321201E-2</v>
      </c>
      <c r="O85" t="s">
        <v>6</v>
      </c>
    </row>
    <row r="86" spans="2:15" x14ac:dyDescent="0.45">
      <c r="B86" t="s">
        <v>217</v>
      </c>
      <c r="C86" t="s">
        <v>11</v>
      </c>
      <c r="D86">
        <v>5.7935816387777693E-3</v>
      </c>
      <c r="E86" t="s">
        <v>6</v>
      </c>
      <c r="G86" t="s">
        <v>218</v>
      </c>
      <c r="H86" t="s">
        <v>11</v>
      </c>
      <c r="I86">
        <v>8.6916584590053109E-2</v>
      </c>
      <c r="J86" t="s">
        <v>6</v>
      </c>
      <c r="L86" t="s">
        <v>219</v>
      </c>
      <c r="M86" t="s">
        <v>11</v>
      </c>
      <c r="N86">
        <v>9.0700166509878527E-2</v>
      </c>
      <c r="O86" t="s">
        <v>6</v>
      </c>
    </row>
    <row r="87" spans="2:15" x14ac:dyDescent="0.45">
      <c r="B87" t="s">
        <v>217</v>
      </c>
      <c r="C87" t="s">
        <v>12</v>
      </c>
      <c r="D87">
        <v>0.2884324290367008</v>
      </c>
      <c r="E87" t="s">
        <v>6</v>
      </c>
      <c r="G87" t="s">
        <v>218</v>
      </c>
      <c r="H87" t="s">
        <v>12</v>
      </c>
      <c r="I87">
        <v>0.1145153463083818</v>
      </c>
      <c r="J87" t="s">
        <v>6</v>
      </c>
      <c r="L87" t="s">
        <v>219</v>
      </c>
      <c r="M87" t="s">
        <v>12</v>
      </c>
      <c r="N87">
        <v>0.10956413193392174</v>
      </c>
      <c r="O87" t="s">
        <v>6</v>
      </c>
    </row>
    <row r="88" spans="2:15" x14ac:dyDescent="0.45">
      <c r="B88" t="s">
        <v>217</v>
      </c>
      <c r="C88" t="s">
        <v>13</v>
      </c>
      <c r="D88">
        <v>8.0771842249534268E-3</v>
      </c>
      <c r="E88" t="s">
        <v>6</v>
      </c>
      <c r="G88" t="s">
        <v>218</v>
      </c>
      <c r="H88" t="s">
        <v>13</v>
      </c>
      <c r="I88">
        <v>6.8345781069752309E-2</v>
      </c>
      <c r="J88" t="s">
        <v>6</v>
      </c>
      <c r="L88" t="s">
        <v>219</v>
      </c>
      <c r="M88" t="s">
        <v>13</v>
      </c>
      <c r="N88">
        <v>6.5689196153445664E-2</v>
      </c>
      <c r="O88" t="s">
        <v>6</v>
      </c>
    </row>
    <row r="89" spans="2:15" x14ac:dyDescent="0.45">
      <c r="B89" t="s">
        <v>217</v>
      </c>
      <c r="C89" t="s">
        <v>14</v>
      </c>
      <c r="D89">
        <v>9.3887594221890337E-3</v>
      </c>
      <c r="E89" t="s">
        <v>6</v>
      </c>
      <c r="G89" t="s">
        <v>218</v>
      </c>
      <c r="H89" t="s">
        <v>14</v>
      </c>
      <c r="I89">
        <v>5.8834102448587493E-2</v>
      </c>
      <c r="J89" t="s">
        <v>6</v>
      </c>
      <c r="L89" t="s">
        <v>219</v>
      </c>
      <c r="M89" t="s">
        <v>14</v>
      </c>
      <c r="N89">
        <v>5.4990985846285659E-2</v>
      </c>
      <c r="O89" t="s">
        <v>6</v>
      </c>
    </row>
    <row r="90" spans="2:15" x14ac:dyDescent="0.45">
      <c r="B90" t="s">
        <v>217</v>
      </c>
      <c r="C90" t="s">
        <v>15</v>
      </c>
      <c r="D90">
        <v>0.35250875885663174</v>
      </c>
      <c r="E90" t="s">
        <v>6</v>
      </c>
      <c r="G90" t="s">
        <v>218</v>
      </c>
      <c r="H90" t="s">
        <v>15</v>
      </c>
      <c r="I90">
        <v>7.5935263994383342E-2</v>
      </c>
      <c r="J90" t="s">
        <v>6</v>
      </c>
      <c r="L90" t="s">
        <v>219</v>
      </c>
      <c r="M90" t="s">
        <v>15</v>
      </c>
      <c r="N90">
        <v>7.1123681796069385E-2</v>
      </c>
      <c r="O90" t="s">
        <v>6</v>
      </c>
    </row>
    <row r="91" spans="2:15" x14ac:dyDescent="0.45">
      <c r="B91" t="s">
        <v>217</v>
      </c>
      <c r="C91" t="s">
        <v>16</v>
      </c>
      <c r="D91">
        <v>1.5378982559795217E-2</v>
      </c>
      <c r="E91" t="s">
        <v>6</v>
      </c>
      <c r="G91" t="s">
        <v>218</v>
      </c>
      <c r="H91" t="s">
        <v>16</v>
      </c>
      <c r="I91">
        <v>4.9367424648366881E-2</v>
      </c>
      <c r="J91" t="s">
        <v>6</v>
      </c>
      <c r="L91" t="s">
        <v>219</v>
      </c>
      <c r="M91" t="s">
        <v>16</v>
      </c>
      <c r="N91">
        <v>5.0233633685667946E-2</v>
      </c>
      <c r="O91" t="s">
        <v>6</v>
      </c>
    </row>
    <row r="92" spans="2:15" x14ac:dyDescent="0.45">
      <c r="B92" t="s">
        <v>217</v>
      </c>
      <c r="C92" t="s">
        <v>17</v>
      </c>
      <c r="D92">
        <v>7.0960932957590394E-4</v>
      </c>
      <c r="E92" t="s">
        <v>6</v>
      </c>
      <c r="G92" t="s">
        <v>218</v>
      </c>
      <c r="H92" t="s">
        <v>17</v>
      </c>
      <c r="I92">
        <v>8.0409856832539692E-2</v>
      </c>
      <c r="J92" t="s">
        <v>6</v>
      </c>
      <c r="L92" t="s">
        <v>219</v>
      </c>
      <c r="M92" t="s">
        <v>17</v>
      </c>
      <c r="N92">
        <v>8.4437879707222593E-2</v>
      </c>
      <c r="O92" t="s">
        <v>6</v>
      </c>
    </row>
    <row r="93" spans="2:15" x14ac:dyDescent="0.45">
      <c r="B93" t="s">
        <v>217</v>
      </c>
      <c r="C93" t="s">
        <v>18</v>
      </c>
      <c r="D93">
        <v>0.18878140690674045</v>
      </c>
      <c r="E93" t="s">
        <v>6</v>
      </c>
      <c r="G93" t="s">
        <v>218</v>
      </c>
      <c r="H93" t="s">
        <v>18</v>
      </c>
      <c r="I93">
        <v>0.10484243202394317</v>
      </c>
      <c r="J93" t="s">
        <v>6</v>
      </c>
      <c r="L93" t="s">
        <v>219</v>
      </c>
      <c r="M93" t="s">
        <v>18</v>
      </c>
      <c r="N93">
        <v>0.10768185728315306</v>
      </c>
      <c r="O93" t="s">
        <v>6</v>
      </c>
    </row>
    <row r="94" spans="2:15" x14ac:dyDescent="0.45">
      <c r="B94" t="s">
        <v>217</v>
      </c>
      <c r="C94" t="s">
        <v>19</v>
      </c>
      <c r="D94">
        <v>1.2572513074722087E-3</v>
      </c>
      <c r="E94" t="s">
        <v>6</v>
      </c>
      <c r="G94" t="s">
        <v>218</v>
      </c>
      <c r="H94" t="s">
        <v>19</v>
      </c>
      <c r="I94">
        <v>6.416769237073526E-2</v>
      </c>
      <c r="J94" t="s">
        <v>6</v>
      </c>
      <c r="L94" t="s">
        <v>219</v>
      </c>
      <c r="M94" t="s">
        <v>19</v>
      </c>
      <c r="N94">
        <v>6.4408011461677503E-2</v>
      </c>
      <c r="O94" t="s">
        <v>6</v>
      </c>
    </row>
    <row r="95" spans="2:15" x14ac:dyDescent="0.45">
      <c r="B95" t="s">
        <v>220</v>
      </c>
      <c r="C95" t="s">
        <v>5</v>
      </c>
      <c r="D95">
        <v>0</v>
      </c>
      <c r="E95" t="s">
        <v>6</v>
      </c>
      <c r="G95" t="s">
        <v>221</v>
      </c>
      <c r="H95" t="s">
        <v>5</v>
      </c>
      <c r="I95">
        <v>9.5652220578623173E-2</v>
      </c>
      <c r="J95" t="s">
        <v>6</v>
      </c>
      <c r="L95" t="s">
        <v>222</v>
      </c>
      <c r="M95" t="s">
        <v>5</v>
      </c>
      <c r="N95">
        <v>9.6358475650306155E-2</v>
      </c>
      <c r="O95" t="s">
        <v>6</v>
      </c>
    </row>
    <row r="96" spans="2:15" x14ac:dyDescent="0.45">
      <c r="B96" t="s">
        <v>220</v>
      </c>
      <c r="C96" t="s">
        <v>9</v>
      </c>
      <c r="D96">
        <v>0.12925012884523704</v>
      </c>
      <c r="E96" t="s">
        <v>6</v>
      </c>
      <c r="G96" t="s">
        <v>221</v>
      </c>
      <c r="H96" t="s">
        <v>9</v>
      </c>
      <c r="I96">
        <v>0.1151086923842763</v>
      </c>
      <c r="J96" t="s">
        <v>6</v>
      </c>
      <c r="L96" t="s">
        <v>222</v>
      </c>
      <c r="M96" t="s">
        <v>9</v>
      </c>
      <c r="N96">
        <v>0.12099721844146523</v>
      </c>
      <c r="O96" t="s">
        <v>6</v>
      </c>
    </row>
    <row r="97" spans="2:15" x14ac:dyDescent="0.45">
      <c r="B97" t="s">
        <v>220</v>
      </c>
      <c r="C97" t="s">
        <v>10</v>
      </c>
      <c r="D97">
        <v>1.095253817791659E-4</v>
      </c>
      <c r="E97" t="s">
        <v>6</v>
      </c>
      <c r="G97" t="s">
        <v>221</v>
      </c>
      <c r="H97" t="s">
        <v>10</v>
      </c>
      <c r="I97">
        <v>7.2950467405005007E-2</v>
      </c>
      <c r="J97" t="s">
        <v>6</v>
      </c>
      <c r="L97" t="s">
        <v>222</v>
      </c>
      <c r="M97" t="s">
        <v>10</v>
      </c>
      <c r="N97">
        <v>7.3780252389137491E-2</v>
      </c>
      <c r="O97" t="s">
        <v>6</v>
      </c>
    </row>
    <row r="98" spans="2:15" x14ac:dyDescent="0.45">
      <c r="B98" t="s">
        <v>220</v>
      </c>
      <c r="C98" t="s">
        <v>11</v>
      </c>
      <c r="D98">
        <v>6.2286332960664543E-3</v>
      </c>
      <c r="E98" t="s">
        <v>6</v>
      </c>
      <c r="G98" t="s">
        <v>221</v>
      </c>
      <c r="H98" t="s">
        <v>11</v>
      </c>
      <c r="I98">
        <v>8.6426500202908471E-2</v>
      </c>
      <c r="J98" t="s">
        <v>6</v>
      </c>
      <c r="L98" t="s">
        <v>222</v>
      </c>
      <c r="M98" t="s">
        <v>11</v>
      </c>
      <c r="N98">
        <v>9.4728328538233528E-2</v>
      </c>
      <c r="O98" t="s">
        <v>6</v>
      </c>
    </row>
    <row r="99" spans="2:15" x14ac:dyDescent="0.45">
      <c r="B99" t="s">
        <v>220</v>
      </c>
      <c r="C99" t="s">
        <v>12</v>
      </c>
      <c r="D99">
        <v>0.30236520171587056</v>
      </c>
      <c r="E99" t="s">
        <v>6</v>
      </c>
      <c r="G99" t="s">
        <v>221</v>
      </c>
      <c r="H99" t="s">
        <v>12</v>
      </c>
      <c r="I99">
        <v>0.10333585933603352</v>
      </c>
      <c r="J99" t="s">
        <v>6</v>
      </c>
      <c r="L99" t="s">
        <v>222</v>
      </c>
      <c r="M99" t="s">
        <v>12</v>
      </c>
      <c r="N99">
        <v>0.11269835558937445</v>
      </c>
      <c r="O99" t="s">
        <v>6</v>
      </c>
    </row>
    <row r="100" spans="2:15" x14ac:dyDescent="0.45">
      <c r="B100" t="s">
        <v>220</v>
      </c>
      <c r="C100" t="s">
        <v>13</v>
      </c>
      <c r="D100">
        <v>9.115474056909597E-3</v>
      </c>
      <c r="E100" t="s">
        <v>6</v>
      </c>
      <c r="G100" t="s">
        <v>221</v>
      </c>
      <c r="H100" t="s">
        <v>13</v>
      </c>
      <c r="I100">
        <v>6.5958003887748279E-2</v>
      </c>
      <c r="J100" t="s">
        <v>6</v>
      </c>
      <c r="L100" t="s">
        <v>222</v>
      </c>
      <c r="M100" t="s">
        <v>13</v>
      </c>
      <c r="N100">
        <v>6.6732060294535586E-2</v>
      </c>
      <c r="O100" t="s">
        <v>6</v>
      </c>
    </row>
    <row r="101" spans="2:15" x14ac:dyDescent="0.45">
      <c r="B101" t="s">
        <v>220</v>
      </c>
      <c r="C101" t="s">
        <v>14</v>
      </c>
      <c r="D101">
        <v>1.0184058425708572E-2</v>
      </c>
      <c r="E101" t="s">
        <v>6</v>
      </c>
      <c r="G101" t="s">
        <v>221</v>
      </c>
      <c r="H101" t="s">
        <v>14</v>
      </c>
      <c r="I101">
        <v>6.671290867044366E-2</v>
      </c>
      <c r="J101" t="s">
        <v>6</v>
      </c>
      <c r="L101" t="s">
        <v>222</v>
      </c>
      <c r="M101" t="s">
        <v>14</v>
      </c>
      <c r="N101">
        <v>6.1574250865240848E-2</v>
      </c>
      <c r="O101" t="s">
        <v>6</v>
      </c>
    </row>
    <row r="102" spans="2:15" x14ac:dyDescent="0.45">
      <c r="B102" t="s">
        <v>220</v>
      </c>
      <c r="C102" t="s">
        <v>15</v>
      </c>
      <c r="D102">
        <v>0.3393986954981118</v>
      </c>
      <c r="E102" t="s">
        <v>6</v>
      </c>
      <c r="G102" t="s">
        <v>221</v>
      </c>
      <c r="H102" t="s">
        <v>15</v>
      </c>
      <c r="I102">
        <v>8.1744466726427198E-2</v>
      </c>
      <c r="J102" t="s">
        <v>6</v>
      </c>
      <c r="L102" t="s">
        <v>222</v>
      </c>
      <c r="M102" t="s">
        <v>15</v>
      </c>
      <c r="N102">
        <v>7.6190637213019566E-2</v>
      </c>
      <c r="O102" t="s">
        <v>6</v>
      </c>
    </row>
    <row r="103" spans="2:15" x14ac:dyDescent="0.45">
      <c r="B103" t="s">
        <v>220</v>
      </c>
      <c r="C103" t="s">
        <v>16</v>
      </c>
      <c r="D103">
        <v>1.6340226893611465E-2</v>
      </c>
      <c r="E103" t="s">
        <v>6</v>
      </c>
      <c r="G103" t="s">
        <v>221</v>
      </c>
      <c r="H103" t="s">
        <v>16</v>
      </c>
      <c r="I103">
        <v>5.4851249727181049E-2</v>
      </c>
      <c r="J103" t="s">
        <v>6</v>
      </c>
      <c r="L103" t="s">
        <v>222</v>
      </c>
      <c r="M103" t="s">
        <v>16</v>
      </c>
      <c r="N103">
        <v>5.2182484218422226E-2</v>
      </c>
      <c r="O103" t="s">
        <v>6</v>
      </c>
    </row>
    <row r="104" spans="2:15" x14ac:dyDescent="0.45">
      <c r="B104" t="s">
        <v>220</v>
      </c>
      <c r="C104" t="s">
        <v>17</v>
      </c>
      <c r="D104">
        <v>6.7335874088128101E-4</v>
      </c>
      <c r="E104" t="s">
        <v>6</v>
      </c>
      <c r="G104" t="s">
        <v>221</v>
      </c>
      <c r="H104" t="s">
        <v>17</v>
      </c>
      <c r="I104">
        <v>8.3863807638791851E-2</v>
      </c>
      <c r="J104" t="s">
        <v>6</v>
      </c>
      <c r="L104" t="s">
        <v>222</v>
      </c>
      <c r="M104" t="s">
        <v>17</v>
      </c>
      <c r="N104">
        <v>7.9292497682994872E-2</v>
      </c>
      <c r="O104" t="s">
        <v>6</v>
      </c>
    </row>
    <row r="105" spans="2:15" x14ac:dyDescent="0.45">
      <c r="B105" t="s">
        <v>220</v>
      </c>
      <c r="C105" t="s">
        <v>18</v>
      </c>
      <c r="D105">
        <v>0.18509604825207437</v>
      </c>
      <c r="E105" t="s">
        <v>6</v>
      </c>
      <c r="G105" t="s">
        <v>221</v>
      </c>
      <c r="H105" t="s">
        <v>18</v>
      </c>
      <c r="I105">
        <v>0.10542398964891427</v>
      </c>
      <c r="J105" t="s">
        <v>6</v>
      </c>
      <c r="L105" t="s">
        <v>222</v>
      </c>
      <c r="M105" t="s">
        <v>18</v>
      </c>
      <c r="N105">
        <v>0.10387122925546577</v>
      </c>
      <c r="O105" t="s">
        <v>6</v>
      </c>
    </row>
    <row r="106" spans="2:15" x14ac:dyDescent="0.45">
      <c r="B106" t="s">
        <v>220</v>
      </c>
      <c r="C106" t="s">
        <v>19</v>
      </c>
      <c r="D106">
        <v>1.2386488937477162E-3</v>
      </c>
      <c r="E106" t="s">
        <v>6</v>
      </c>
      <c r="G106" t="s">
        <v>221</v>
      </c>
      <c r="H106" t="s">
        <v>19</v>
      </c>
      <c r="I106">
        <v>6.7971833793645256E-2</v>
      </c>
      <c r="J106" t="s">
        <v>6</v>
      </c>
      <c r="L106" t="s">
        <v>222</v>
      </c>
      <c r="M106" t="s">
        <v>19</v>
      </c>
      <c r="N106">
        <v>6.1594209861800059E-2</v>
      </c>
      <c r="O106" t="s">
        <v>6</v>
      </c>
    </row>
    <row r="107" spans="2:15" x14ac:dyDescent="0.45">
      <c r="B107" t="s">
        <v>223</v>
      </c>
      <c r="C107" t="s">
        <v>5</v>
      </c>
      <c r="D107">
        <v>0</v>
      </c>
      <c r="E107" t="s">
        <v>6</v>
      </c>
      <c r="G107" t="s">
        <v>224</v>
      </c>
      <c r="H107" t="s">
        <v>5</v>
      </c>
      <c r="I107">
        <v>0.10097601229435137</v>
      </c>
      <c r="J107" t="s">
        <v>6</v>
      </c>
      <c r="L107" t="s">
        <v>225</v>
      </c>
      <c r="M107" t="s">
        <v>5</v>
      </c>
      <c r="N107">
        <v>0.10908755268152344</v>
      </c>
      <c r="O107" t="s">
        <v>6</v>
      </c>
    </row>
    <row r="108" spans="2:15" x14ac:dyDescent="0.45">
      <c r="B108" t="s">
        <v>223</v>
      </c>
      <c r="C108" t="s">
        <v>9</v>
      </c>
      <c r="D108">
        <v>0.13243498822727445</v>
      </c>
      <c r="E108" t="s">
        <v>6</v>
      </c>
      <c r="G108" t="s">
        <v>224</v>
      </c>
      <c r="H108" t="s">
        <v>9</v>
      </c>
      <c r="I108">
        <v>0.11979991685458358</v>
      </c>
      <c r="J108" t="s">
        <v>6</v>
      </c>
      <c r="L108" t="s">
        <v>225</v>
      </c>
      <c r="M108" t="s">
        <v>9</v>
      </c>
      <c r="N108">
        <v>0.13105455025549959</v>
      </c>
      <c r="O108" t="s">
        <v>6</v>
      </c>
    </row>
    <row r="109" spans="2:15" x14ac:dyDescent="0.45">
      <c r="B109" t="s">
        <v>223</v>
      </c>
      <c r="C109" t="s">
        <v>10</v>
      </c>
      <c r="D109">
        <v>3.1003759639871013E-5</v>
      </c>
      <c r="E109" t="s">
        <v>6</v>
      </c>
      <c r="G109" t="s">
        <v>224</v>
      </c>
      <c r="H109" t="s">
        <v>10</v>
      </c>
      <c r="I109">
        <v>7.6970054195499044E-2</v>
      </c>
      <c r="J109" t="s">
        <v>6</v>
      </c>
      <c r="L109" t="s">
        <v>225</v>
      </c>
      <c r="M109" t="s">
        <v>10</v>
      </c>
      <c r="N109">
        <v>8.3203718491564535E-2</v>
      </c>
      <c r="O109" t="s">
        <v>6</v>
      </c>
    </row>
    <row r="110" spans="2:15" x14ac:dyDescent="0.45">
      <c r="B110" t="s">
        <v>223</v>
      </c>
      <c r="C110" t="s">
        <v>11</v>
      </c>
      <c r="D110">
        <v>6.6524061755415627E-3</v>
      </c>
      <c r="E110" t="s">
        <v>6</v>
      </c>
      <c r="G110" t="s">
        <v>224</v>
      </c>
      <c r="H110" t="s">
        <v>11</v>
      </c>
      <c r="I110">
        <v>8.5845715447962226E-2</v>
      </c>
      <c r="J110" t="s">
        <v>6</v>
      </c>
      <c r="L110" t="s">
        <v>225</v>
      </c>
      <c r="M110" t="s">
        <v>11</v>
      </c>
      <c r="N110">
        <v>7.4454984523115386E-2</v>
      </c>
      <c r="O110" t="s">
        <v>6</v>
      </c>
    </row>
    <row r="111" spans="2:15" x14ac:dyDescent="0.45">
      <c r="B111" t="s">
        <v>223</v>
      </c>
      <c r="C111" t="s">
        <v>12</v>
      </c>
      <c r="D111">
        <v>0.29966830488853224</v>
      </c>
      <c r="E111" t="s">
        <v>6</v>
      </c>
      <c r="G111" t="s">
        <v>224</v>
      </c>
      <c r="H111" t="s">
        <v>12</v>
      </c>
      <c r="I111">
        <v>0.11005474564249997</v>
      </c>
      <c r="J111" t="s">
        <v>6</v>
      </c>
      <c r="L111" t="s">
        <v>225</v>
      </c>
      <c r="M111" t="s">
        <v>12</v>
      </c>
      <c r="N111">
        <v>9.9864011493093124E-2</v>
      </c>
      <c r="O111" t="s">
        <v>6</v>
      </c>
    </row>
    <row r="112" spans="2:15" x14ac:dyDescent="0.45">
      <c r="B112" t="s">
        <v>223</v>
      </c>
      <c r="C112" t="s">
        <v>13</v>
      </c>
      <c r="D112">
        <v>7.7160430331548605E-3</v>
      </c>
      <c r="E112" t="s">
        <v>6</v>
      </c>
      <c r="G112" t="s">
        <v>224</v>
      </c>
      <c r="H112" t="s">
        <v>13</v>
      </c>
      <c r="I112">
        <v>6.6830955086518498E-2</v>
      </c>
      <c r="J112" t="s">
        <v>6</v>
      </c>
      <c r="L112" t="s">
        <v>225</v>
      </c>
      <c r="M112" t="s">
        <v>13</v>
      </c>
      <c r="N112">
        <v>6.1502541386379818E-2</v>
      </c>
      <c r="O112" t="s">
        <v>6</v>
      </c>
    </row>
    <row r="113" spans="2:15" x14ac:dyDescent="0.45">
      <c r="B113" t="s">
        <v>223</v>
      </c>
      <c r="C113" t="s">
        <v>14</v>
      </c>
      <c r="D113">
        <v>1.0886259390636177E-2</v>
      </c>
      <c r="E113" t="s">
        <v>6</v>
      </c>
      <c r="G113" t="s">
        <v>224</v>
      </c>
      <c r="H113" t="s">
        <v>14</v>
      </c>
      <c r="I113">
        <v>5.9976503582516306E-2</v>
      </c>
      <c r="J113" t="s">
        <v>6</v>
      </c>
      <c r="L113" t="s">
        <v>225</v>
      </c>
      <c r="M113" t="s">
        <v>14</v>
      </c>
      <c r="N113">
        <v>5.6458394236397043E-2</v>
      </c>
      <c r="O113" t="s">
        <v>6</v>
      </c>
    </row>
    <row r="114" spans="2:15" x14ac:dyDescent="0.45">
      <c r="B114" t="s">
        <v>223</v>
      </c>
      <c r="C114" t="s">
        <v>15</v>
      </c>
      <c r="D114">
        <v>0.34005731211211682</v>
      </c>
      <c r="E114" t="s">
        <v>6</v>
      </c>
      <c r="G114" t="s">
        <v>224</v>
      </c>
      <c r="H114" t="s">
        <v>15</v>
      </c>
      <c r="I114">
        <v>7.195882070797302E-2</v>
      </c>
      <c r="J114" t="s">
        <v>6</v>
      </c>
      <c r="L114" t="s">
        <v>225</v>
      </c>
      <c r="M114" t="s">
        <v>15</v>
      </c>
      <c r="N114">
        <v>7.9111051599037294E-2</v>
      </c>
      <c r="O114" t="s">
        <v>6</v>
      </c>
    </row>
    <row r="115" spans="2:15" x14ac:dyDescent="0.45">
      <c r="B115" t="s">
        <v>223</v>
      </c>
      <c r="C115" t="s">
        <v>16</v>
      </c>
      <c r="D115">
        <v>1.4443993200073127E-2</v>
      </c>
      <c r="E115" t="s">
        <v>6</v>
      </c>
      <c r="G115" t="s">
        <v>224</v>
      </c>
      <c r="H115" t="s">
        <v>16</v>
      </c>
      <c r="I115">
        <v>4.7784133010909377E-2</v>
      </c>
      <c r="J115" t="s">
        <v>6</v>
      </c>
      <c r="L115" t="s">
        <v>225</v>
      </c>
      <c r="M115" t="s">
        <v>16</v>
      </c>
      <c r="N115">
        <v>4.2432961218292743E-2</v>
      </c>
      <c r="O115" t="s">
        <v>6</v>
      </c>
    </row>
    <row r="116" spans="2:15" x14ac:dyDescent="0.45">
      <c r="B116" t="s">
        <v>223</v>
      </c>
      <c r="C116" t="s">
        <v>17</v>
      </c>
      <c r="D116">
        <v>1.0041491207234809E-3</v>
      </c>
      <c r="E116" t="s">
        <v>6</v>
      </c>
      <c r="G116" t="s">
        <v>224</v>
      </c>
      <c r="H116" t="s">
        <v>17</v>
      </c>
      <c r="I116">
        <v>8.7734934228547015E-2</v>
      </c>
      <c r="J116" t="s">
        <v>6</v>
      </c>
      <c r="L116" t="s">
        <v>225</v>
      </c>
      <c r="M116" t="s">
        <v>17</v>
      </c>
      <c r="N116">
        <v>8.3666399390584914E-2</v>
      </c>
      <c r="O116" t="s">
        <v>6</v>
      </c>
    </row>
    <row r="117" spans="2:15" x14ac:dyDescent="0.45">
      <c r="B117" t="s">
        <v>223</v>
      </c>
      <c r="C117" t="s">
        <v>18</v>
      </c>
      <c r="D117">
        <v>0.18619419262346651</v>
      </c>
      <c r="E117" t="s">
        <v>6</v>
      </c>
      <c r="G117" t="s">
        <v>224</v>
      </c>
      <c r="H117" t="s">
        <v>18</v>
      </c>
      <c r="I117">
        <v>0.10424758623499981</v>
      </c>
      <c r="J117" t="s">
        <v>6</v>
      </c>
      <c r="L117" t="s">
        <v>225</v>
      </c>
      <c r="M117" t="s">
        <v>18</v>
      </c>
      <c r="N117">
        <v>0.11443313755834134</v>
      </c>
      <c r="O117" t="s">
        <v>6</v>
      </c>
    </row>
    <row r="118" spans="2:15" x14ac:dyDescent="0.45">
      <c r="B118" t="s">
        <v>223</v>
      </c>
      <c r="C118" t="s">
        <v>19</v>
      </c>
      <c r="D118">
        <v>9.1134746884174273E-4</v>
      </c>
      <c r="E118" t="s">
        <v>6</v>
      </c>
      <c r="G118" t="s">
        <v>224</v>
      </c>
      <c r="H118" t="s">
        <v>19</v>
      </c>
      <c r="I118">
        <v>6.7820622713638964E-2</v>
      </c>
      <c r="J118" t="s">
        <v>6</v>
      </c>
      <c r="L118" t="s">
        <v>225</v>
      </c>
      <c r="M118" t="s">
        <v>19</v>
      </c>
      <c r="N118">
        <v>6.4730697166168943E-2</v>
      </c>
      <c r="O118" t="s">
        <v>6</v>
      </c>
    </row>
    <row r="119" spans="2:15" x14ac:dyDescent="0.45">
      <c r="B119" t="s">
        <v>226</v>
      </c>
      <c r="C119" t="s">
        <v>5</v>
      </c>
      <c r="D119">
        <v>0</v>
      </c>
      <c r="E119" t="s">
        <v>6</v>
      </c>
      <c r="G119" t="s">
        <v>227</v>
      </c>
      <c r="H119" t="s">
        <v>5</v>
      </c>
      <c r="I119">
        <v>0.10852717865375902</v>
      </c>
      <c r="J119" t="s">
        <v>6</v>
      </c>
      <c r="L119" t="s">
        <v>228</v>
      </c>
      <c r="M119" t="s">
        <v>5</v>
      </c>
      <c r="N119">
        <v>0.1108044992334587</v>
      </c>
      <c r="O119" t="s">
        <v>6</v>
      </c>
    </row>
    <row r="120" spans="2:15" x14ac:dyDescent="0.45">
      <c r="B120" t="s">
        <v>226</v>
      </c>
      <c r="C120" t="s">
        <v>9</v>
      </c>
      <c r="D120">
        <v>8.7425134018509709E-2</v>
      </c>
      <c r="E120" t="s">
        <v>6</v>
      </c>
      <c r="G120" t="s">
        <v>227</v>
      </c>
      <c r="H120" t="s">
        <v>9</v>
      </c>
      <c r="I120">
        <v>0.13689957260848504</v>
      </c>
      <c r="J120" t="s">
        <v>6</v>
      </c>
      <c r="L120" t="s">
        <v>228</v>
      </c>
      <c r="M120" t="s">
        <v>9</v>
      </c>
      <c r="N120">
        <v>0.12918718048326602</v>
      </c>
      <c r="O120" t="s">
        <v>6</v>
      </c>
    </row>
    <row r="121" spans="2:15" x14ac:dyDescent="0.45">
      <c r="B121" t="s">
        <v>226</v>
      </c>
      <c r="C121" t="s">
        <v>10</v>
      </c>
      <c r="D121">
        <v>2.3505891334903517E-4</v>
      </c>
      <c r="E121" t="s">
        <v>6</v>
      </c>
      <c r="G121" t="s">
        <v>227</v>
      </c>
      <c r="H121" t="s">
        <v>10</v>
      </c>
      <c r="I121">
        <v>8.6207761830820573E-2</v>
      </c>
      <c r="J121" t="s">
        <v>6</v>
      </c>
      <c r="L121" t="s">
        <v>228</v>
      </c>
      <c r="M121" t="s">
        <v>10</v>
      </c>
      <c r="N121">
        <v>8.297648380919094E-2</v>
      </c>
      <c r="O121" t="s">
        <v>6</v>
      </c>
    </row>
    <row r="122" spans="2:15" x14ac:dyDescent="0.45">
      <c r="B122" t="s">
        <v>226</v>
      </c>
      <c r="C122" t="s">
        <v>11</v>
      </c>
      <c r="D122">
        <v>4.0843804447644426E-3</v>
      </c>
      <c r="E122" t="s">
        <v>6</v>
      </c>
      <c r="G122" t="s">
        <v>227</v>
      </c>
      <c r="H122" t="s">
        <v>11</v>
      </c>
      <c r="I122">
        <v>9.0346086176160745E-2</v>
      </c>
      <c r="J122" t="s">
        <v>6</v>
      </c>
      <c r="L122" t="s">
        <v>228</v>
      </c>
      <c r="M122" t="s">
        <v>11</v>
      </c>
      <c r="N122">
        <v>7.2989738856319347E-2</v>
      </c>
      <c r="O122" t="s">
        <v>6</v>
      </c>
    </row>
    <row r="123" spans="2:15" x14ac:dyDescent="0.45">
      <c r="B123" t="s">
        <v>226</v>
      </c>
      <c r="C123" t="s">
        <v>12</v>
      </c>
      <c r="D123">
        <v>0.35204209074954917</v>
      </c>
      <c r="E123" t="s">
        <v>6</v>
      </c>
      <c r="G123" t="s">
        <v>227</v>
      </c>
      <c r="H123" t="s">
        <v>12</v>
      </c>
      <c r="I123">
        <v>0.12429791208145367</v>
      </c>
      <c r="J123" t="s">
        <v>6</v>
      </c>
      <c r="L123" t="s">
        <v>228</v>
      </c>
      <c r="M123" t="s">
        <v>12</v>
      </c>
      <c r="N123">
        <v>0.10362759889147814</v>
      </c>
      <c r="O123" t="s">
        <v>6</v>
      </c>
    </row>
    <row r="124" spans="2:15" x14ac:dyDescent="0.45">
      <c r="B124" t="s">
        <v>226</v>
      </c>
      <c r="C124" t="s">
        <v>13</v>
      </c>
      <c r="D124">
        <v>1.5323274573804424E-2</v>
      </c>
      <c r="E124" t="s">
        <v>6</v>
      </c>
      <c r="G124" t="s">
        <v>227</v>
      </c>
      <c r="H124" t="s">
        <v>13</v>
      </c>
      <c r="I124">
        <v>6.7585940842092046E-2</v>
      </c>
      <c r="J124" t="s">
        <v>6</v>
      </c>
      <c r="L124" t="s">
        <v>228</v>
      </c>
      <c r="M124" t="s">
        <v>13</v>
      </c>
      <c r="N124">
        <v>6.0819747735686214E-2</v>
      </c>
      <c r="O124" t="s">
        <v>6</v>
      </c>
    </row>
    <row r="125" spans="2:15" x14ac:dyDescent="0.45">
      <c r="B125" t="s">
        <v>226</v>
      </c>
      <c r="C125" t="s">
        <v>14</v>
      </c>
      <c r="D125">
        <v>7.4915896310276181E-3</v>
      </c>
      <c r="E125" t="s">
        <v>6</v>
      </c>
      <c r="G125" t="s">
        <v>227</v>
      </c>
      <c r="H125" t="s">
        <v>14</v>
      </c>
      <c r="I125">
        <v>4.502015187740456E-2</v>
      </c>
      <c r="J125" t="s">
        <v>6</v>
      </c>
      <c r="L125" t="s">
        <v>228</v>
      </c>
      <c r="M125" t="s">
        <v>14</v>
      </c>
      <c r="N125">
        <v>4.9944678157454375E-2</v>
      </c>
      <c r="O125" t="s">
        <v>6</v>
      </c>
    </row>
    <row r="126" spans="2:15" x14ac:dyDescent="0.45">
      <c r="B126" t="s">
        <v>226</v>
      </c>
      <c r="C126" t="s">
        <v>15</v>
      </c>
      <c r="D126">
        <v>0.33911486276452862</v>
      </c>
      <c r="E126" t="s">
        <v>6</v>
      </c>
      <c r="G126" t="s">
        <v>227</v>
      </c>
      <c r="H126" t="s">
        <v>15</v>
      </c>
      <c r="I126">
        <v>6.420867724311026E-2</v>
      </c>
      <c r="J126" t="s">
        <v>6</v>
      </c>
      <c r="L126" t="s">
        <v>228</v>
      </c>
      <c r="M126" t="s">
        <v>15</v>
      </c>
      <c r="N126">
        <v>7.6549557863924603E-2</v>
      </c>
      <c r="O126" t="s">
        <v>6</v>
      </c>
    </row>
    <row r="127" spans="2:15" x14ac:dyDescent="0.45">
      <c r="B127" t="s">
        <v>226</v>
      </c>
      <c r="C127" t="s">
        <v>16</v>
      </c>
      <c r="D127">
        <v>2.5078148498225657E-2</v>
      </c>
      <c r="E127" t="s">
        <v>6</v>
      </c>
      <c r="G127" t="s">
        <v>227</v>
      </c>
      <c r="H127" t="s">
        <v>16</v>
      </c>
      <c r="I127">
        <v>3.3046023192842389E-2</v>
      </c>
      <c r="J127" t="s">
        <v>6</v>
      </c>
      <c r="L127" t="s">
        <v>228</v>
      </c>
      <c r="M127" t="s">
        <v>16</v>
      </c>
      <c r="N127">
        <v>3.9177059192080269E-2</v>
      </c>
      <c r="O127" t="s">
        <v>6</v>
      </c>
    </row>
    <row r="128" spans="2:15" x14ac:dyDescent="0.45">
      <c r="B128" t="s">
        <v>226</v>
      </c>
      <c r="C128" t="s">
        <v>17</v>
      </c>
      <c r="D128">
        <v>1.6661774206161366E-4</v>
      </c>
      <c r="E128" t="s">
        <v>6</v>
      </c>
      <c r="G128" t="s">
        <v>227</v>
      </c>
      <c r="H128" t="s">
        <v>17</v>
      </c>
      <c r="I128">
        <v>7.8875642058781822E-2</v>
      </c>
      <c r="J128" t="s">
        <v>6</v>
      </c>
      <c r="L128" t="s">
        <v>228</v>
      </c>
      <c r="M128" t="s">
        <v>17</v>
      </c>
      <c r="N128">
        <v>8.829145883098552E-2</v>
      </c>
      <c r="O128" t="s">
        <v>6</v>
      </c>
    </row>
    <row r="129" spans="2:15" x14ac:dyDescent="0.45">
      <c r="B129" t="s">
        <v>226</v>
      </c>
      <c r="C129" t="s">
        <v>18</v>
      </c>
      <c r="D129">
        <v>0.16716053414295495</v>
      </c>
      <c r="E129" t="s">
        <v>6</v>
      </c>
      <c r="G129" t="s">
        <v>227</v>
      </c>
      <c r="H129" t="s">
        <v>18</v>
      </c>
      <c r="I129">
        <v>0.10670878540858419</v>
      </c>
      <c r="J129" t="s">
        <v>6</v>
      </c>
      <c r="L129" t="s">
        <v>228</v>
      </c>
      <c r="M129" t="s">
        <v>18</v>
      </c>
      <c r="N129">
        <v>0.11720889835315719</v>
      </c>
      <c r="O129" t="s">
        <v>6</v>
      </c>
    </row>
    <row r="130" spans="2:15" x14ac:dyDescent="0.45">
      <c r="B130" t="s">
        <v>226</v>
      </c>
      <c r="C130" t="s">
        <v>19</v>
      </c>
      <c r="D130">
        <v>1.8783085212267809E-3</v>
      </c>
      <c r="E130" t="s">
        <v>6</v>
      </c>
      <c r="G130" t="s">
        <v>227</v>
      </c>
      <c r="H130" t="s">
        <v>19</v>
      </c>
      <c r="I130">
        <v>5.8276268026506622E-2</v>
      </c>
      <c r="J130" t="s">
        <v>6</v>
      </c>
      <c r="L130" t="s">
        <v>228</v>
      </c>
      <c r="M130" t="s">
        <v>19</v>
      </c>
      <c r="N130">
        <v>6.8423098592996043E-2</v>
      </c>
      <c r="O130" t="s">
        <v>6</v>
      </c>
    </row>
    <row r="131" spans="2:15" x14ac:dyDescent="0.45">
      <c r="B131" t="s">
        <v>229</v>
      </c>
      <c r="C131" t="s">
        <v>5</v>
      </c>
      <c r="D131">
        <v>0</v>
      </c>
      <c r="E131" t="s">
        <v>6</v>
      </c>
      <c r="G131" t="s">
        <v>230</v>
      </c>
      <c r="H131" t="s">
        <v>5</v>
      </c>
      <c r="I131">
        <v>0.10600322486152614</v>
      </c>
      <c r="J131" t="s">
        <v>6</v>
      </c>
      <c r="L131" t="s">
        <v>231</v>
      </c>
      <c r="M131" t="s">
        <v>5</v>
      </c>
      <c r="N131">
        <v>0.10502592698640448</v>
      </c>
      <c r="O131" t="s">
        <v>6</v>
      </c>
    </row>
    <row r="132" spans="2:15" x14ac:dyDescent="0.45">
      <c r="B132" t="s">
        <v>229</v>
      </c>
      <c r="C132" t="s">
        <v>9</v>
      </c>
      <c r="D132">
        <v>9.5353959016691928E-2</v>
      </c>
      <c r="E132" t="s">
        <v>6</v>
      </c>
      <c r="G132" t="s">
        <v>230</v>
      </c>
      <c r="H132" t="s">
        <v>9</v>
      </c>
      <c r="I132">
        <v>0.12960858308585288</v>
      </c>
      <c r="J132" t="s">
        <v>6</v>
      </c>
      <c r="L132" t="s">
        <v>231</v>
      </c>
      <c r="M132" t="s">
        <v>9</v>
      </c>
      <c r="N132">
        <v>0.12640817047113445</v>
      </c>
      <c r="O132" t="s">
        <v>6</v>
      </c>
    </row>
    <row r="133" spans="2:15" x14ac:dyDescent="0.45">
      <c r="B133" t="s">
        <v>229</v>
      </c>
      <c r="C133" t="s">
        <v>10</v>
      </c>
      <c r="D133">
        <v>2.0501429613979004E-4</v>
      </c>
      <c r="E133" t="s">
        <v>6</v>
      </c>
      <c r="G133" t="s">
        <v>230</v>
      </c>
      <c r="H133" t="s">
        <v>10</v>
      </c>
      <c r="I133">
        <v>8.0324971511169796E-2</v>
      </c>
      <c r="J133" t="s">
        <v>6</v>
      </c>
      <c r="L133" t="s">
        <v>231</v>
      </c>
      <c r="M133" t="s">
        <v>10</v>
      </c>
      <c r="N133">
        <v>7.9230183131866097E-2</v>
      </c>
      <c r="O133" t="s">
        <v>6</v>
      </c>
    </row>
    <row r="134" spans="2:15" x14ac:dyDescent="0.45">
      <c r="B134" t="s">
        <v>229</v>
      </c>
      <c r="C134" t="s">
        <v>11</v>
      </c>
      <c r="D134">
        <v>4.8183822956837851E-3</v>
      </c>
      <c r="E134" t="s">
        <v>6</v>
      </c>
      <c r="G134" t="s">
        <v>230</v>
      </c>
      <c r="H134" t="s">
        <v>11</v>
      </c>
      <c r="I134">
        <v>8.9058966832682496E-2</v>
      </c>
      <c r="J134" t="s">
        <v>6</v>
      </c>
      <c r="L134" t="s">
        <v>231</v>
      </c>
      <c r="M134" t="s">
        <v>11</v>
      </c>
      <c r="N134">
        <v>9.1860964525987007E-2</v>
      </c>
      <c r="O134" t="s">
        <v>6</v>
      </c>
    </row>
    <row r="135" spans="2:15" x14ac:dyDescent="0.45">
      <c r="B135" t="s">
        <v>229</v>
      </c>
      <c r="C135" t="s">
        <v>12</v>
      </c>
      <c r="D135">
        <v>0.36628847309621837</v>
      </c>
      <c r="E135" t="s">
        <v>6</v>
      </c>
      <c r="G135" t="s">
        <v>230</v>
      </c>
      <c r="H135" t="s">
        <v>12</v>
      </c>
      <c r="I135">
        <v>0.11304134305737722</v>
      </c>
      <c r="J135" t="s">
        <v>6</v>
      </c>
      <c r="L135" t="s">
        <v>231</v>
      </c>
      <c r="M135" t="s">
        <v>12</v>
      </c>
      <c r="N135">
        <v>0.11196127809597367</v>
      </c>
      <c r="O135" t="s">
        <v>6</v>
      </c>
    </row>
    <row r="136" spans="2:15" x14ac:dyDescent="0.45">
      <c r="B136" t="s">
        <v>229</v>
      </c>
      <c r="C136" t="s">
        <v>13</v>
      </c>
      <c r="D136">
        <v>1.5205485982608362E-2</v>
      </c>
      <c r="E136" t="s">
        <v>6</v>
      </c>
      <c r="G136" t="s">
        <v>230</v>
      </c>
      <c r="H136" t="s">
        <v>13</v>
      </c>
      <c r="I136">
        <v>6.7851483480196983E-2</v>
      </c>
      <c r="J136" t="s">
        <v>6</v>
      </c>
      <c r="L136" t="s">
        <v>231</v>
      </c>
      <c r="M136" t="s">
        <v>13</v>
      </c>
      <c r="N136">
        <v>6.8056919367479554E-2</v>
      </c>
      <c r="O136" t="s">
        <v>6</v>
      </c>
    </row>
    <row r="137" spans="2:15" x14ac:dyDescent="0.45">
      <c r="B137" t="s">
        <v>229</v>
      </c>
      <c r="C137" t="s">
        <v>14</v>
      </c>
      <c r="D137">
        <v>8.2939894177770073E-3</v>
      </c>
      <c r="E137" t="s">
        <v>6</v>
      </c>
      <c r="G137" t="s">
        <v>230</v>
      </c>
      <c r="H137" t="s">
        <v>14</v>
      </c>
      <c r="I137">
        <v>5.087473941094655E-2</v>
      </c>
      <c r="J137" t="s">
        <v>6</v>
      </c>
      <c r="L137" t="s">
        <v>231</v>
      </c>
      <c r="M137" t="s">
        <v>14</v>
      </c>
      <c r="N137">
        <v>5.0629841264020446E-2</v>
      </c>
      <c r="O137" t="s">
        <v>6</v>
      </c>
    </row>
    <row r="138" spans="2:15" x14ac:dyDescent="0.45">
      <c r="B138" t="s">
        <v>229</v>
      </c>
      <c r="C138" t="s">
        <v>15</v>
      </c>
      <c r="D138">
        <v>0.32793536062272327</v>
      </c>
      <c r="E138" t="s">
        <v>6</v>
      </c>
      <c r="G138" t="s">
        <v>230</v>
      </c>
      <c r="H138" t="s">
        <v>15</v>
      </c>
      <c r="I138">
        <v>6.4526499149803393E-2</v>
      </c>
      <c r="J138" t="s">
        <v>6</v>
      </c>
      <c r="L138" t="s">
        <v>231</v>
      </c>
      <c r="M138" t="s">
        <v>15</v>
      </c>
      <c r="N138">
        <v>6.2484531978766883E-2</v>
      </c>
      <c r="O138" t="s">
        <v>6</v>
      </c>
    </row>
    <row r="139" spans="2:15" x14ac:dyDescent="0.45">
      <c r="B139" t="s">
        <v>229</v>
      </c>
      <c r="C139" t="s">
        <v>16</v>
      </c>
      <c r="D139">
        <v>2.3568378072066874E-2</v>
      </c>
      <c r="E139" t="s">
        <v>6</v>
      </c>
      <c r="G139" t="s">
        <v>230</v>
      </c>
      <c r="H139" t="s">
        <v>16</v>
      </c>
      <c r="I139">
        <v>3.8191570053751504E-2</v>
      </c>
      <c r="J139" t="s">
        <v>6</v>
      </c>
      <c r="L139" t="s">
        <v>231</v>
      </c>
      <c r="M139" t="s">
        <v>16</v>
      </c>
      <c r="N139">
        <v>4.0777648524280022E-2</v>
      </c>
      <c r="O139" t="s">
        <v>6</v>
      </c>
    </row>
    <row r="140" spans="2:15" x14ac:dyDescent="0.45">
      <c r="B140" t="s">
        <v>229</v>
      </c>
      <c r="C140" t="s">
        <v>17</v>
      </c>
      <c r="D140">
        <v>2.1686943403018537E-4</v>
      </c>
      <c r="E140" t="s">
        <v>6</v>
      </c>
      <c r="G140" t="s">
        <v>230</v>
      </c>
      <c r="H140" t="s">
        <v>17</v>
      </c>
      <c r="I140">
        <v>8.598603303679217E-2</v>
      </c>
      <c r="J140" t="s">
        <v>6</v>
      </c>
      <c r="L140" t="s">
        <v>231</v>
      </c>
      <c r="M140" t="s">
        <v>17</v>
      </c>
      <c r="N140">
        <v>8.7115355789664783E-2</v>
      </c>
      <c r="O140" t="s">
        <v>6</v>
      </c>
    </row>
    <row r="141" spans="2:15" x14ac:dyDescent="0.45">
      <c r="B141" t="s">
        <v>229</v>
      </c>
      <c r="C141" t="s">
        <v>18</v>
      </c>
      <c r="D141">
        <v>0.15644108470050139</v>
      </c>
      <c r="E141" t="s">
        <v>6</v>
      </c>
      <c r="G141" t="s">
        <v>230</v>
      </c>
      <c r="H141" t="s">
        <v>18</v>
      </c>
      <c r="I141">
        <v>0.10936416460311298</v>
      </c>
      <c r="J141" t="s">
        <v>6</v>
      </c>
      <c r="L141" t="s">
        <v>231</v>
      </c>
      <c r="M141" t="s">
        <v>18</v>
      </c>
      <c r="N141">
        <v>0.10914911414480889</v>
      </c>
      <c r="O141" t="s">
        <v>6</v>
      </c>
    </row>
    <row r="142" spans="2:15" x14ac:dyDescent="0.45">
      <c r="B142" t="s">
        <v>229</v>
      </c>
      <c r="C142" t="s">
        <v>19</v>
      </c>
      <c r="D142">
        <v>1.6730030655606025E-3</v>
      </c>
      <c r="E142" t="s">
        <v>6</v>
      </c>
      <c r="G142" t="s">
        <v>230</v>
      </c>
      <c r="H142" t="s">
        <v>19</v>
      </c>
      <c r="I142">
        <v>6.5168420916788761E-2</v>
      </c>
      <c r="J142" t="s">
        <v>6</v>
      </c>
      <c r="L142" t="s">
        <v>231</v>
      </c>
      <c r="M142" t="s">
        <v>19</v>
      </c>
      <c r="N142">
        <v>6.7300065719611515E-2</v>
      </c>
      <c r="O142" t="s">
        <v>6</v>
      </c>
    </row>
    <row r="143" spans="2:15" x14ac:dyDescent="0.45">
      <c r="B143" t="s">
        <v>232</v>
      </c>
      <c r="C143" t="s">
        <v>5</v>
      </c>
      <c r="D143">
        <v>0</v>
      </c>
      <c r="E143" t="s">
        <v>6</v>
      </c>
      <c r="G143" t="s">
        <v>233</v>
      </c>
      <c r="H143" t="s">
        <v>5</v>
      </c>
      <c r="I143">
        <v>0.10554444909224721</v>
      </c>
      <c r="J143" t="s">
        <v>6</v>
      </c>
      <c r="L143" t="s">
        <v>234</v>
      </c>
      <c r="M143" t="s">
        <v>5</v>
      </c>
      <c r="N143">
        <v>0.10726933596055493</v>
      </c>
      <c r="O143" t="s">
        <v>6</v>
      </c>
    </row>
    <row r="144" spans="2:15" x14ac:dyDescent="0.45">
      <c r="B144" t="s">
        <v>232</v>
      </c>
      <c r="C144" t="s">
        <v>9</v>
      </c>
      <c r="D144">
        <v>9.8725301277222566E-2</v>
      </c>
      <c r="E144" t="s">
        <v>6</v>
      </c>
      <c r="G144" t="s">
        <v>233</v>
      </c>
      <c r="H144" t="s">
        <v>9</v>
      </c>
      <c r="I144">
        <v>0.13040016935634755</v>
      </c>
      <c r="J144" t="s">
        <v>6</v>
      </c>
      <c r="L144" t="s">
        <v>234</v>
      </c>
      <c r="M144" t="s">
        <v>9</v>
      </c>
      <c r="N144">
        <v>0.12995853878994312</v>
      </c>
      <c r="O144" t="s">
        <v>6</v>
      </c>
    </row>
    <row r="145" spans="2:15" x14ac:dyDescent="0.45">
      <c r="B145" t="s">
        <v>232</v>
      </c>
      <c r="C145" t="s">
        <v>10</v>
      </c>
      <c r="D145">
        <v>0</v>
      </c>
      <c r="E145" t="s">
        <v>6</v>
      </c>
      <c r="G145" t="s">
        <v>233</v>
      </c>
      <c r="H145" t="s">
        <v>10</v>
      </c>
      <c r="I145">
        <v>8.0566979382086595E-2</v>
      </c>
      <c r="J145" t="s">
        <v>6</v>
      </c>
      <c r="L145" t="s">
        <v>234</v>
      </c>
      <c r="M145" t="s">
        <v>10</v>
      </c>
      <c r="N145">
        <v>8.0395997916007475E-2</v>
      </c>
      <c r="O145" t="s">
        <v>6</v>
      </c>
    </row>
    <row r="146" spans="2:15" x14ac:dyDescent="0.45">
      <c r="B146" t="s">
        <v>232</v>
      </c>
      <c r="C146" t="s">
        <v>11</v>
      </c>
      <c r="D146">
        <v>6.9448037732361438E-3</v>
      </c>
      <c r="E146" t="s">
        <v>6</v>
      </c>
      <c r="G146" t="s">
        <v>233</v>
      </c>
      <c r="H146" t="s">
        <v>11</v>
      </c>
      <c r="I146">
        <v>8.3609494525505437E-2</v>
      </c>
      <c r="J146" t="s">
        <v>6</v>
      </c>
      <c r="L146" t="s">
        <v>234</v>
      </c>
      <c r="M146" t="s">
        <v>11</v>
      </c>
      <c r="N146">
        <v>8.7244898583455618E-2</v>
      </c>
      <c r="O146" t="s">
        <v>6</v>
      </c>
    </row>
    <row r="147" spans="2:15" x14ac:dyDescent="0.45">
      <c r="B147" t="s">
        <v>232</v>
      </c>
      <c r="C147" t="s">
        <v>12</v>
      </c>
      <c r="D147">
        <v>0.36384097392792458</v>
      </c>
      <c r="E147" t="s">
        <v>6</v>
      </c>
      <c r="G147" t="s">
        <v>233</v>
      </c>
      <c r="H147" t="s">
        <v>12</v>
      </c>
      <c r="I147">
        <v>0.11356623133360612</v>
      </c>
      <c r="J147" t="s">
        <v>6</v>
      </c>
      <c r="L147" t="s">
        <v>234</v>
      </c>
      <c r="M147" t="s">
        <v>12</v>
      </c>
      <c r="N147">
        <v>0.11001727147005291</v>
      </c>
      <c r="O147" t="s">
        <v>6</v>
      </c>
    </row>
    <row r="148" spans="2:15" x14ac:dyDescent="0.45">
      <c r="B148" t="s">
        <v>232</v>
      </c>
      <c r="C148" t="s">
        <v>13</v>
      </c>
      <c r="D148">
        <v>1.1517442836772609E-2</v>
      </c>
      <c r="E148" t="s">
        <v>6</v>
      </c>
      <c r="G148" t="s">
        <v>233</v>
      </c>
      <c r="H148" t="s">
        <v>13</v>
      </c>
      <c r="I148">
        <v>6.1936993511459711E-2</v>
      </c>
      <c r="J148" t="s">
        <v>6</v>
      </c>
      <c r="L148" t="s">
        <v>234</v>
      </c>
      <c r="M148" t="s">
        <v>13</v>
      </c>
      <c r="N148">
        <v>6.7914159271972169E-2</v>
      </c>
      <c r="O148" t="s">
        <v>6</v>
      </c>
    </row>
    <row r="149" spans="2:15" x14ac:dyDescent="0.45">
      <c r="B149" t="s">
        <v>232</v>
      </c>
      <c r="C149" t="s">
        <v>14</v>
      </c>
      <c r="D149">
        <v>1.1597905826006142E-2</v>
      </c>
      <c r="E149" t="s">
        <v>6</v>
      </c>
      <c r="G149" t="s">
        <v>233</v>
      </c>
      <c r="H149" t="s">
        <v>14</v>
      </c>
      <c r="I149">
        <v>4.3450217316132841E-2</v>
      </c>
      <c r="J149" t="s">
        <v>6</v>
      </c>
      <c r="L149" t="s">
        <v>234</v>
      </c>
      <c r="M149" t="s">
        <v>14</v>
      </c>
      <c r="N149">
        <v>5.0282189600123588E-2</v>
      </c>
      <c r="O149" t="s">
        <v>6</v>
      </c>
    </row>
    <row r="150" spans="2:15" x14ac:dyDescent="0.45">
      <c r="B150" t="s">
        <v>232</v>
      </c>
      <c r="C150" t="s">
        <v>15</v>
      </c>
      <c r="D150">
        <v>0.33465567883786396</v>
      </c>
      <c r="E150" t="s">
        <v>6</v>
      </c>
      <c r="G150" t="s">
        <v>233</v>
      </c>
      <c r="H150" t="s">
        <v>15</v>
      </c>
      <c r="I150">
        <v>6.288685094804268E-2</v>
      </c>
      <c r="J150" t="s">
        <v>6</v>
      </c>
      <c r="L150" t="s">
        <v>234</v>
      </c>
      <c r="M150" t="s">
        <v>15</v>
      </c>
      <c r="N150">
        <v>6.2995470789725672E-2</v>
      </c>
      <c r="O150" t="s">
        <v>6</v>
      </c>
    </row>
    <row r="151" spans="2:15" x14ac:dyDescent="0.45">
      <c r="B151" t="s">
        <v>232</v>
      </c>
      <c r="C151" t="s">
        <v>16</v>
      </c>
      <c r="D151">
        <v>1.9947572951191046E-2</v>
      </c>
      <c r="E151" t="s">
        <v>6</v>
      </c>
      <c r="G151" t="s">
        <v>233</v>
      </c>
      <c r="H151" t="s">
        <v>16</v>
      </c>
      <c r="I151">
        <v>3.7516849888108668E-2</v>
      </c>
      <c r="J151" t="s">
        <v>6</v>
      </c>
      <c r="L151" t="s">
        <v>234</v>
      </c>
      <c r="M151" t="s">
        <v>16</v>
      </c>
      <c r="N151">
        <v>3.7652811700719949E-2</v>
      </c>
      <c r="O151" t="s">
        <v>6</v>
      </c>
    </row>
    <row r="152" spans="2:15" x14ac:dyDescent="0.45">
      <c r="B152" t="s">
        <v>232</v>
      </c>
      <c r="C152" t="s">
        <v>17</v>
      </c>
      <c r="D152">
        <v>4.5253138715976225E-4</v>
      </c>
      <c r="E152" t="s">
        <v>6</v>
      </c>
      <c r="G152" t="s">
        <v>233</v>
      </c>
      <c r="H152" t="s">
        <v>17</v>
      </c>
      <c r="I152">
        <v>9.2292380013803271E-2</v>
      </c>
      <c r="J152" t="s">
        <v>6</v>
      </c>
      <c r="L152" t="s">
        <v>234</v>
      </c>
      <c r="M152" t="s">
        <v>17</v>
      </c>
      <c r="N152">
        <v>8.7729788500874054E-2</v>
      </c>
      <c r="O152" t="s">
        <v>6</v>
      </c>
    </row>
    <row r="153" spans="2:15" x14ac:dyDescent="0.45">
      <c r="B153" t="s">
        <v>232</v>
      </c>
      <c r="C153" t="s">
        <v>18</v>
      </c>
      <c r="D153">
        <v>0.15117101798453225</v>
      </c>
      <c r="E153" t="s">
        <v>6</v>
      </c>
      <c r="G153" t="s">
        <v>233</v>
      </c>
      <c r="H153" t="s">
        <v>18</v>
      </c>
      <c r="I153">
        <v>0.11676197010648831</v>
      </c>
      <c r="J153" t="s">
        <v>6</v>
      </c>
      <c r="L153" t="s">
        <v>234</v>
      </c>
      <c r="M153" t="s">
        <v>18</v>
      </c>
      <c r="N153">
        <v>0.11157286627237915</v>
      </c>
      <c r="O153" t="s">
        <v>6</v>
      </c>
    </row>
    <row r="154" spans="2:15" x14ac:dyDescent="0.45">
      <c r="B154" t="s">
        <v>232</v>
      </c>
      <c r="C154" t="s">
        <v>19</v>
      </c>
      <c r="D154">
        <v>1.1467711980876173E-3</v>
      </c>
      <c r="E154" t="s">
        <v>6</v>
      </c>
      <c r="G154" t="s">
        <v>233</v>
      </c>
      <c r="H154" t="s">
        <v>19</v>
      </c>
      <c r="I154">
        <v>7.1467414526168005E-2</v>
      </c>
      <c r="J154" t="s">
        <v>6</v>
      </c>
      <c r="L154" t="s">
        <v>234</v>
      </c>
      <c r="M154" t="s">
        <v>19</v>
      </c>
      <c r="N154">
        <v>6.6966671144192996E-2</v>
      </c>
      <c r="O154" t="s">
        <v>6</v>
      </c>
    </row>
    <row r="155" spans="2:15" x14ac:dyDescent="0.45">
      <c r="B155" t="s">
        <v>235</v>
      </c>
      <c r="C155" t="s">
        <v>5</v>
      </c>
      <c r="D155">
        <v>0</v>
      </c>
      <c r="E155" t="s">
        <v>6</v>
      </c>
      <c r="G155" t="s">
        <v>236</v>
      </c>
      <c r="H155" t="s">
        <v>5</v>
      </c>
      <c r="I155">
        <v>0.11753901605458687</v>
      </c>
      <c r="J155" t="s">
        <v>6</v>
      </c>
      <c r="L155" t="s">
        <v>237</v>
      </c>
      <c r="M155" t="s">
        <v>5</v>
      </c>
      <c r="N155">
        <v>0.10262187180962622</v>
      </c>
      <c r="O155" t="s">
        <v>6</v>
      </c>
    </row>
    <row r="156" spans="2:15" x14ac:dyDescent="0.45">
      <c r="B156" t="s">
        <v>235</v>
      </c>
      <c r="C156" t="s">
        <v>9</v>
      </c>
      <c r="D156">
        <v>0.10738015794478023</v>
      </c>
      <c r="E156" t="s">
        <v>6</v>
      </c>
      <c r="G156" t="s">
        <v>236</v>
      </c>
      <c r="H156" t="s">
        <v>9</v>
      </c>
      <c r="I156">
        <v>0.1394623030166115</v>
      </c>
      <c r="J156" t="s">
        <v>6</v>
      </c>
      <c r="L156" t="s">
        <v>237</v>
      </c>
      <c r="M156" t="s">
        <v>9</v>
      </c>
      <c r="N156">
        <v>0.12608000149429635</v>
      </c>
      <c r="O156" t="s">
        <v>6</v>
      </c>
    </row>
    <row r="157" spans="2:15" x14ac:dyDescent="0.45">
      <c r="B157" t="s">
        <v>235</v>
      </c>
      <c r="C157" t="s">
        <v>10</v>
      </c>
      <c r="D157">
        <v>9.6657381384895595E-5</v>
      </c>
      <c r="E157" t="s">
        <v>6</v>
      </c>
      <c r="G157" t="s">
        <v>236</v>
      </c>
      <c r="H157" t="s">
        <v>10</v>
      </c>
      <c r="I157">
        <v>8.5800241634935229E-2</v>
      </c>
      <c r="J157" t="s">
        <v>6</v>
      </c>
      <c r="L157" t="s">
        <v>237</v>
      </c>
      <c r="M157" t="s">
        <v>10</v>
      </c>
      <c r="N157">
        <v>7.7957178361536428E-2</v>
      </c>
      <c r="O157" t="s">
        <v>6</v>
      </c>
    </row>
    <row r="158" spans="2:15" x14ac:dyDescent="0.45">
      <c r="B158" t="s">
        <v>235</v>
      </c>
      <c r="C158" t="s">
        <v>11</v>
      </c>
      <c r="D158">
        <v>5.8082998240810649E-3</v>
      </c>
      <c r="E158" t="s">
        <v>6</v>
      </c>
      <c r="G158" t="s">
        <v>236</v>
      </c>
      <c r="H158" t="s">
        <v>11</v>
      </c>
      <c r="I158">
        <v>8.0475744045488073E-2</v>
      </c>
      <c r="J158" t="s">
        <v>6</v>
      </c>
      <c r="L158" t="s">
        <v>237</v>
      </c>
      <c r="M158" t="s">
        <v>11</v>
      </c>
      <c r="N158">
        <v>8.2566303589414275E-2</v>
      </c>
      <c r="O158" t="s">
        <v>6</v>
      </c>
    </row>
    <row r="159" spans="2:15" x14ac:dyDescent="0.45">
      <c r="B159" t="s">
        <v>235</v>
      </c>
      <c r="C159" t="s">
        <v>12</v>
      </c>
      <c r="D159">
        <v>0.33698699782134367</v>
      </c>
      <c r="E159" t="s">
        <v>6</v>
      </c>
      <c r="G159" t="s">
        <v>236</v>
      </c>
      <c r="H159" t="s">
        <v>12</v>
      </c>
      <c r="I159">
        <v>0.1091284546290341</v>
      </c>
      <c r="J159" t="s">
        <v>6</v>
      </c>
      <c r="L159" t="s">
        <v>237</v>
      </c>
      <c r="M159" t="s">
        <v>12</v>
      </c>
      <c r="N159">
        <v>0.10642895614502863</v>
      </c>
      <c r="O159" t="s">
        <v>6</v>
      </c>
    </row>
    <row r="160" spans="2:15" x14ac:dyDescent="0.45">
      <c r="B160" t="s">
        <v>235</v>
      </c>
      <c r="C160" t="s">
        <v>13</v>
      </c>
      <c r="D160">
        <v>1.2699615840292992E-2</v>
      </c>
      <c r="E160" t="s">
        <v>6</v>
      </c>
      <c r="G160" t="s">
        <v>236</v>
      </c>
      <c r="H160" t="s">
        <v>13</v>
      </c>
      <c r="I160">
        <v>6.0204202027384766E-2</v>
      </c>
      <c r="J160" t="s">
        <v>6</v>
      </c>
      <c r="L160" t="s">
        <v>237</v>
      </c>
      <c r="M160" t="s">
        <v>13</v>
      </c>
      <c r="N160">
        <v>6.4155159082042487E-2</v>
      </c>
      <c r="O160" t="s">
        <v>6</v>
      </c>
    </row>
    <row r="161" spans="2:15" x14ac:dyDescent="0.45">
      <c r="B161" t="s">
        <v>235</v>
      </c>
      <c r="C161" t="s">
        <v>14</v>
      </c>
      <c r="D161">
        <v>1.0349905303457462E-2</v>
      </c>
      <c r="E161" t="s">
        <v>6</v>
      </c>
      <c r="G161" t="s">
        <v>236</v>
      </c>
      <c r="H161" t="s">
        <v>14</v>
      </c>
      <c r="I161">
        <v>3.604935513865553E-2</v>
      </c>
      <c r="J161" t="s">
        <v>6</v>
      </c>
      <c r="L161" t="s">
        <v>237</v>
      </c>
      <c r="M161" t="s">
        <v>14</v>
      </c>
      <c r="N161">
        <v>6.1465680406358837E-2</v>
      </c>
      <c r="O161" t="s">
        <v>6</v>
      </c>
    </row>
    <row r="162" spans="2:15" x14ac:dyDescent="0.45">
      <c r="B162" t="s">
        <v>235</v>
      </c>
      <c r="C162" t="s">
        <v>15</v>
      </c>
      <c r="D162">
        <v>0.34050257178010301</v>
      </c>
      <c r="E162" t="s">
        <v>6</v>
      </c>
      <c r="G162" t="s">
        <v>236</v>
      </c>
      <c r="H162" t="s">
        <v>15</v>
      </c>
      <c r="I162">
        <v>5.878745107978043E-2</v>
      </c>
      <c r="J162" t="s">
        <v>6</v>
      </c>
      <c r="L162" t="s">
        <v>237</v>
      </c>
      <c r="M162" t="s">
        <v>15</v>
      </c>
      <c r="N162">
        <v>7.4248955287409324E-2</v>
      </c>
      <c r="O162" t="s">
        <v>6</v>
      </c>
    </row>
    <row r="163" spans="2:15" x14ac:dyDescent="0.45">
      <c r="B163" t="s">
        <v>235</v>
      </c>
      <c r="C163" t="s">
        <v>16</v>
      </c>
      <c r="D163">
        <v>2.1611096606231388E-2</v>
      </c>
      <c r="E163" t="s">
        <v>6</v>
      </c>
      <c r="G163" t="s">
        <v>236</v>
      </c>
      <c r="H163" t="s">
        <v>16</v>
      </c>
      <c r="I163">
        <v>2.9936386123359696E-2</v>
      </c>
      <c r="J163" t="s">
        <v>6</v>
      </c>
      <c r="L163" t="s">
        <v>237</v>
      </c>
      <c r="M163" t="s">
        <v>16</v>
      </c>
      <c r="N163">
        <v>4.4804910529935293E-2</v>
      </c>
      <c r="O163" t="s">
        <v>6</v>
      </c>
    </row>
    <row r="164" spans="2:15" x14ac:dyDescent="0.45">
      <c r="B164" t="s">
        <v>235</v>
      </c>
      <c r="C164" t="s">
        <v>17</v>
      </c>
      <c r="D164">
        <v>3.6552777527037187E-4</v>
      </c>
      <c r="E164" t="s">
        <v>6</v>
      </c>
      <c r="G164" t="s">
        <v>236</v>
      </c>
      <c r="H164" t="s">
        <v>17</v>
      </c>
      <c r="I164">
        <v>9.2980556791691982E-2</v>
      </c>
      <c r="J164" t="s">
        <v>6</v>
      </c>
      <c r="L164" t="s">
        <v>237</v>
      </c>
      <c r="M164" t="s">
        <v>17</v>
      </c>
      <c r="N164">
        <v>8.5434993096416251E-2</v>
      </c>
      <c r="O164" t="s">
        <v>6</v>
      </c>
    </row>
    <row r="165" spans="2:15" x14ac:dyDescent="0.45">
      <c r="B165" t="s">
        <v>235</v>
      </c>
      <c r="C165" t="s">
        <v>18</v>
      </c>
      <c r="D165">
        <v>0.16290505926619114</v>
      </c>
      <c r="E165" t="s">
        <v>6</v>
      </c>
      <c r="G165" t="s">
        <v>236</v>
      </c>
      <c r="H165" t="s">
        <v>18</v>
      </c>
      <c r="I165">
        <v>0.11872908253966781</v>
      </c>
      <c r="J165" t="s">
        <v>6</v>
      </c>
      <c r="L165" t="s">
        <v>237</v>
      </c>
      <c r="M165" t="s">
        <v>18</v>
      </c>
      <c r="N165">
        <v>0.10983927017551545</v>
      </c>
      <c r="O165" t="s">
        <v>6</v>
      </c>
    </row>
    <row r="166" spans="2:15" x14ac:dyDescent="0.45">
      <c r="B166" t="s">
        <v>235</v>
      </c>
      <c r="C166" t="s">
        <v>19</v>
      </c>
      <c r="D166">
        <v>1.2941104568626116E-3</v>
      </c>
      <c r="E166" t="s">
        <v>6</v>
      </c>
      <c r="G166" t="s">
        <v>236</v>
      </c>
      <c r="H166" t="s">
        <v>19</v>
      </c>
      <c r="I166">
        <v>7.0907206918802715E-2</v>
      </c>
      <c r="J166" t="s">
        <v>6</v>
      </c>
      <c r="L166" t="s">
        <v>237</v>
      </c>
      <c r="M166" t="s">
        <v>19</v>
      </c>
      <c r="N166">
        <v>6.4396720022417017E-2</v>
      </c>
      <c r="O166" t="s">
        <v>6</v>
      </c>
    </row>
    <row r="167" spans="2:15" x14ac:dyDescent="0.45">
      <c r="B167" t="s">
        <v>238</v>
      </c>
      <c r="C167" t="s">
        <v>5</v>
      </c>
      <c r="D167">
        <v>0</v>
      </c>
      <c r="E167" t="s">
        <v>6</v>
      </c>
      <c r="G167" t="s">
        <v>239</v>
      </c>
      <c r="H167" t="s">
        <v>5</v>
      </c>
      <c r="I167">
        <v>0.10646570176100122</v>
      </c>
      <c r="J167" t="s">
        <v>6</v>
      </c>
      <c r="L167" t="s">
        <v>240</v>
      </c>
      <c r="M167" t="s">
        <v>5</v>
      </c>
      <c r="N167">
        <v>9.3933971332349778E-2</v>
      </c>
      <c r="O167" t="s">
        <v>6</v>
      </c>
    </row>
    <row r="168" spans="2:15" x14ac:dyDescent="0.45">
      <c r="B168" t="s">
        <v>238</v>
      </c>
      <c r="C168" t="s">
        <v>9</v>
      </c>
      <c r="D168">
        <v>0.10688078933865446</v>
      </c>
      <c r="E168" t="s">
        <v>6</v>
      </c>
      <c r="G168" t="s">
        <v>239</v>
      </c>
      <c r="H168" t="s">
        <v>9</v>
      </c>
      <c r="I168">
        <v>0.13117093077066552</v>
      </c>
      <c r="J168" t="s">
        <v>6</v>
      </c>
      <c r="L168" t="s">
        <v>240</v>
      </c>
      <c r="M168" t="s">
        <v>9</v>
      </c>
      <c r="N168">
        <v>0.12316801545808828</v>
      </c>
      <c r="O168" t="s">
        <v>6</v>
      </c>
    </row>
    <row r="169" spans="2:15" x14ac:dyDescent="0.45">
      <c r="B169" t="s">
        <v>238</v>
      </c>
      <c r="C169" t="s">
        <v>10</v>
      </c>
      <c r="D169">
        <v>1.6983182805886073E-5</v>
      </c>
      <c r="E169" t="s">
        <v>6</v>
      </c>
      <c r="G169" t="s">
        <v>239</v>
      </c>
      <c r="H169" t="s">
        <v>10</v>
      </c>
      <c r="I169">
        <v>8.1781777488333027E-2</v>
      </c>
      <c r="J169" t="s">
        <v>6</v>
      </c>
      <c r="L169" t="s">
        <v>240</v>
      </c>
      <c r="M169" t="s">
        <v>10</v>
      </c>
      <c r="N169">
        <v>7.3208128187010432E-2</v>
      </c>
      <c r="O169" t="s">
        <v>6</v>
      </c>
    </row>
    <row r="170" spans="2:15" x14ac:dyDescent="0.45">
      <c r="B170" t="s">
        <v>238</v>
      </c>
      <c r="C170" t="s">
        <v>11</v>
      </c>
      <c r="D170">
        <v>6.276585890061242E-3</v>
      </c>
      <c r="E170" t="s">
        <v>6</v>
      </c>
      <c r="G170" t="s">
        <v>239</v>
      </c>
      <c r="H170" t="s">
        <v>11</v>
      </c>
      <c r="I170">
        <v>8.5167162999679843E-2</v>
      </c>
      <c r="J170" t="s">
        <v>6</v>
      </c>
      <c r="L170" t="s">
        <v>240</v>
      </c>
      <c r="M170" t="s">
        <v>11</v>
      </c>
      <c r="N170">
        <v>8.3794859528640381E-2</v>
      </c>
      <c r="O170" t="s">
        <v>6</v>
      </c>
    </row>
    <row r="171" spans="2:15" x14ac:dyDescent="0.45">
      <c r="B171" t="s">
        <v>238</v>
      </c>
      <c r="C171" t="s">
        <v>12</v>
      </c>
      <c r="D171">
        <v>0.34374547320654558</v>
      </c>
      <c r="E171" t="s">
        <v>6</v>
      </c>
      <c r="G171" t="s">
        <v>239</v>
      </c>
      <c r="H171" t="s">
        <v>12</v>
      </c>
      <c r="I171">
        <v>0.11851494378527599</v>
      </c>
      <c r="J171" t="s">
        <v>6</v>
      </c>
      <c r="L171" t="s">
        <v>240</v>
      </c>
      <c r="M171" t="s">
        <v>12</v>
      </c>
      <c r="N171">
        <v>0.10700525935221268</v>
      </c>
      <c r="O171" t="s">
        <v>6</v>
      </c>
    </row>
    <row r="172" spans="2:15" x14ac:dyDescent="0.45">
      <c r="B172" t="s">
        <v>238</v>
      </c>
      <c r="C172" t="s">
        <v>13</v>
      </c>
      <c r="D172">
        <v>1.2274020901785129E-2</v>
      </c>
      <c r="E172" t="s">
        <v>6</v>
      </c>
      <c r="G172" t="s">
        <v>239</v>
      </c>
      <c r="H172" t="s">
        <v>13</v>
      </c>
      <c r="I172">
        <v>6.5712273844421187E-2</v>
      </c>
      <c r="J172" t="s">
        <v>6</v>
      </c>
      <c r="L172" t="s">
        <v>240</v>
      </c>
      <c r="M172" t="s">
        <v>13</v>
      </c>
      <c r="N172">
        <v>6.2155306799696962E-2</v>
      </c>
      <c r="O172" t="s">
        <v>6</v>
      </c>
    </row>
    <row r="173" spans="2:15" x14ac:dyDescent="0.45">
      <c r="B173" t="s">
        <v>238</v>
      </c>
      <c r="C173" t="s">
        <v>14</v>
      </c>
      <c r="D173">
        <v>1.0760264829454406E-2</v>
      </c>
      <c r="E173" t="s">
        <v>6</v>
      </c>
      <c r="G173" t="s">
        <v>239</v>
      </c>
      <c r="H173" t="s">
        <v>14</v>
      </c>
      <c r="I173">
        <v>4.2590582225154765E-2</v>
      </c>
      <c r="J173" t="s">
        <v>6</v>
      </c>
      <c r="L173" t="s">
        <v>240</v>
      </c>
      <c r="M173" t="s">
        <v>14</v>
      </c>
      <c r="N173">
        <v>7.2290006938756951E-2</v>
      </c>
      <c r="O173" t="s">
        <v>6</v>
      </c>
    </row>
    <row r="174" spans="2:15" x14ac:dyDescent="0.45">
      <c r="B174" t="s">
        <v>238</v>
      </c>
      <c r="C174" t="s">
        <v>15</v>
      </c>
      <c r="D174">
        <v>0.33454812500317582</v>
      </c>
      <c r="E174" t="s">
        <v>6</v>
      </c>
      <c r="G174" t="s">
        <v>239</v>
      </c>
      <c r="H174" t="s">
        <v>15</v>
      </c>
      <c r="I174">
        <v>6.5689726619370559E-2</v>
      </c>
      <c r="J174" t="s">
        <v>6</v>
      </c>
      <c r="L174" t="s">
        <v>240</v>
      </c>
      <c r="M174" t="s">
        <v>15</v>
      </c>
      <c r="N174">
        <v>9.2637069687905527E-2</v>
      </c>
      <c r="O174" t="s">
        <v>6</v>
      </c>
    </row>
    <row r="175" spans="2:15" x14ac:dyDescent="0.45">
      <c r="B175" t="s">
        <v>238</v>
      </c>
      <c r="C175" t="s">
        <v>16</v>
      </c>
      <c r="D175">
        <v>2.064022801149254E-2</v>
      </c>
      <c r="E175" t="s">
        <v>6</v>
      </c>
      <c r="G175" t="s">
        <v>239</v>
      </c>
      <c r="H175" t="s">
        <v>16</v>
      </c>
      <c r="I175">
        <v>3.5072418517279144E-2</v>
      </c>
      <c r="J175" t="s">
        <v>6</v>
      </c>
      <c r="L175" t="s">
        <v>240</v>
      </c>
      <c r="M175" t="s">
        <v>16</v>
      </c>
      <c r="N175">
        <v>5.5863151679260488E-2</v>
      </c>
      <c r="O175" t="s">
        <v>6</v>
      </c>
    </row>
    <row r="176" spans="2:15" x14ac:dyDescent="0.45">
      <c r="B176" t="s">
        <v>238</v>
      </c>
      <c r="C176" t="s">
        <v>17</v>
      </c>
      <c r="D176">
        <v>4.1291635549503959E-4</v>
      </c>
      <c r="E176" t="s">
        <v>6</v>
      </c>
      <c r="G176" t="s">
        <v>239</v>
      </c>
      <c r="H176" t="s">
        <v>17</v>
      </c>
      <c r="I176">
        <v>8.6141439872525538E-2</v>
      </c>
      <c r="J176" t="s">
        <v>6</v>
      </c>
      <c r="L176" t="s">
        <v>240</v>
      </c>
      <c r="M176" t="s">
        <v>17</v>
      </c>
      <c r="N176">
        <v>7.7649511454217904E-2</v>
      </c>
      <c r="O176" t="s">
        <v>6</v>
      </c>
    </row>
    <row r="177" spans="2:15" x14ac:dyDescent="0.45">
      <c r="B177" t="s">
        <v>238</v>
      </c>
      <c r="C177" t="s">
        <v>18</v>
      </c>
      <c r="D177">
        <v>0.16314418271075257</v>
      </c>
      <c r="E177" t="s">
        <v>6</v>
      </c>
      <c r="G177" t="s">
        <v>239</v>
      </c>
      <c r="H177" t="s">
        <v>18</v>
      </c>
      <c r="I177">
        <v>0.11414928503246037</v>
      </c>
      <c r="J177" t="s">
        <v>6</v>
      </c>
      <c r="L177" t="s">
        <v>240</v>
      </c>
      <c r="M177" t="s">
        <v>18</v>
      </c>
      <c r="N177">
        <v>9.8988820799953581E-2</v>
      </c>
      <c r="O177" t="s">
        <v>6</v>
      </c>
    </row>
    <row r="178" spans="2:15" x14ac:dyDescent="0.45">
      <c r="B178" t="s">
        <v>238</v>
      </c>
      <c r="C178" t="s">
        <v>19</v>
      </c>
      <c r="D178">
        <v>1.3004305697769454E-3</v>
      </c>
      <c r="E178" t="s">
        <v>6</v>
      </c>
      <c r="G178" t="s">
        <v>239</v>
      </c>
      <c r="H178" t="s">
        <v>19</v>
      </c>
      <c r="I178">
        <v>6.7543757083832548E-2</v>
      </c>
      <c r="J178" t="s">
        <v>6</v>
      </c>
      <c r="L178" t="s">
        <v>240</v>
      </c>
      <c r="M178" t="s">
        <v>19</v>
      </c>
      <c r="N178">
        <v>5.9305898781903593E-2</v>
      </c>
      <c r="O178" t="s">
        <v>6</v>
      </c>
    </row>
    <row r="179" spans="2:15" x14ac:dyDescent="0.45">
      <c r="B179" t="s">
        <v>241</v>
      </c>
      <c r="C179" t="s">
        <v>5</v>
      </c>
      <c r="D179">
        <v>0</v>
      </c>
      <c r="E179" t="s">
        <v>6</v>
      </c>
      <c r="G179" t="s">
        <v>242</v>
      </c>
      <c r="H179" t="s">
        <v>5</v>
      </c>
      <c r="I179">
        <v>0.10476857207319515</v>
      </c>
      <c r="J179" t="s">
        <v>6</v>
      </c>
      <c r="L179" t="s">
        <v>243</v>
      </c>
      <c r="M179" t="s">
        <v>5</v>
      </c>
      <c r="N179">
        <v>9.8737399807657916E-2</v>
      </c>
      <c r="O179" t="s">
        <v>6</v>
      </c>
    </row>
    <row r="180" spans="2:15" x14ac:dyDescent="0.45">
      <c r="B180" t="s">
        <v>241</v>
      </c>
      <c r="C180" t="s">
        <v>9</v>
      </c>
      <c r="D180">
        <v>0.11519144044219884</v>
      </c>
      <c r="E180" t="s">
        <v>6</v>
      </c>
      <c r="G180" t="s">
        <v>242</v>
      </c>
      <c r="H180" t="s">
        <v>9</v>
      </c>
      <c r="I180">
        <v>0.13071076375427496</v>
      </c>
      <c r="J180" t="s">
        <v>6</v>
      </c>
      <c r="L180" t="s">
        <v>243</v>
      </c>
      <c r="M180" t="s">
        <v>9</v>
      </c>
      <c r="N180">
        <v>0.12449750035683303</v>
      </c>
      <c r="O180" t="s">
        <v>6</v>
      </c>
    </row>
    <row r="181" spans="2:15" x14ac:dyDescent="0.45">
      <c r="B181" t="s">
        <v>241</v>
      </c>
      <c r="C181" t="s">
        <v>10</v>
      </c>
      <c r="D181">
        <v>1.7524842800401226E-5</v>
      </c>
      <c r="E181" t="s">
        <v>6</v>
      </c>
      <c r="G181" t="s">
        <v>242</v>
      </c>
      <c r="H181" t="s">
        <v>10</v>
      </c>
      <c r="I181">
        <v>8.1839153966589834E-2</v>
      </c>
      <c r="J181" t="s">
        <v>6</v>
      </c>
      <c r="L181" t="s">
        <v>243</v>
      </c>
      <c r="M181" t="s">
        <v>10</v>
      </c>
      <c r="N181">
        <v>7.6181930851087459E-2</v>
      </c>
      <c r="O181" t="s">
        <v>6</v>
      </c>
    </row>
    <row r="182" spans="2:15" x14ac:dyDescent="0.45">
      <c r="B182" t="s">
        <v>241</v>
      </c>
      <c r="C182" t="s">
        <v>11</v>
      </c>
      <c r="D182">
        <v>6.565222381374046E-3</v>
      </c>
      <c r="E182" t="s">
        <v>6</v>
      </c>
      <c r="G182" t="s">
        <v>242</v>
      </c>
      <c r="H182" t="s">
        <v>11</v>
      </c>
      <c r="I182">
        <v>8.1631465168741632E-2</v>
      </c>
      <c r="J182" t="s">
        <v>6</v>
      </c>
      <c r="L182" t="s">
        <v>243</v>
      </c>
      <c r="M182" t="s">
        <v>11</v>
      </c>
      <c r="N182">
        <v>8.1521462309263312E-2</v>
      </c>
      <c r="O182" t="s">
        <v>6</v>
      </c>
    </row>
    <row r="183" spans="2:15" x14ac:dyDescent="0.45">
      <c r="B183" t="s">
        <v>241</v>
      </c>
      <c r="C183" t="s">
        <v>12</v>
      </c>
      <c r="D183">
        <v>0.3223887755554774</v>
      </c>
      <c r="E183" t="s">
        <v>6</v>
      </c>
      <c r="G183" t="s">
        <v>242</v>
      </c>
      <c r="H183" t="s">
        <v>12</v>
      </c>
      <c r="I183">
        <v>0.12258993489056143</v>
      </c>
      <c r="J183" t="s">
        <v>6</v>
      </c>
      <c r="L183" t="s">
        <v>243</v>
      </c>
      <c r="M183" t="s">
        <v>12</v>
      </c>
      <c r="N183">
        <v>0.104820064247512</v>
      </c>
      <c r="O183" t="s">
        <v>6</v>
      </c>
    </row>
    <row r="184" spans="2:15" x14ac:dyDescent="0.45">
      <c r="B184" t="s">
        <v>241</v>
      </c>
      <c r="C184" t="s">
        <v>13</v>
      </c>
      <c r="D184">
        <v>1.084699297757352E-2</v>
      </c>
      <c r="E184" t="s">
        <v>6</v>
      </c>
      <c r="G184" t="s">
        <v>242</v>
      </c>
      <c r="H184" t="s">
        <v>13</v>
      </c>
      <c r="I184">
        <v>6.2638857220640345E-2</v>
      </c>
      <c r="J184" t="s">
        <v>6</v>
      </c>
      <c r="L184" t="s">
        <v>243</v>
      </c>
      <c r="M184" t="s">
        <v>13</v>
      </c>
      <c r="N184">
        <v>6.1500584074888315E-2</v>
      </c>
      <c r="O184" t="s">
        <v>6</v>
      </c>
    </row>
    <row r="185" spans="2:15" x14ac:dyDescent="0.45">
      <c r="B185" t="s">
        <v>241</v>
      </c>
      <c r="C185" t="s">
        <v>14</v>
      </c>
      <c r="D185">
        <v>1.1350178658779204E-2</v>
      </c>
      <c r="E185" t="s">
        <v>6</v>
      </c>
      <c r="G185" t="s">
        <v>242</v>
      </c>
      <c r="H185" t="s">
        <v>14</v>
      </c>
      <c r="I185">
        <v>3.9283715914969208E-2</v>
      </c>
      <c r="J185" t="s">
        <v>6</v>
      </c>
      <c r="L185" t="s">
        <v>243</v>
      </c>
      <c r="M185" t="s">
        <v>14</v>
      </c>
      <c r="N185">
        <v>6.7772815362802316E-2</v>
      </c>
      <c r="O185" t="s">
        <v>6</v>
      </c>
    </row>
    <row r="186" spans="2:15" x14ac:dyDescent="0.45">
      <c r="B186" t="s">
        <v>241</v>
      </c>
      <c r="C186" t="s">
        <v>15</v>
      </c>
      <c r="D186">
        <v>0.33690172602462803</v>
      </c>
      <c r="E186" t="s">
        <v>6</v>
      </c>
      <c r="G186" t="s">
        <v>242</v>
      </c>
      <c r="H186" t="s">
        <v>15</v>
      </c>
      <c r="I186">
        <v>6.6861562142689832E-2</v>
      </c>
      <c r="J186" t="s">
        <v>6</v>
      </c>
      <c r="L186" t="s">
        <v>243</v>
      </c>
      <c r="M186" t="s">
        <v>15</v>
      </c>
      <c r="N186">
        <v>8.2827114960496107E-2</v>
      </c>
      <c r="O186" t="s">
        <v>6</v>
      </c>
    </row>
    <row r="187" spans="2:15" x14ac:dyDescent="0.45">
      <c r="B187" t="s">
        <v>241</v>
      </c>
      <c r="C187" t="s">
        <v>16</v>
      </c>
      <c r="D187">
        <v>1.9636118792564997E-2</v>
      </c>
      <c r="E187" t="s">
        <v>6</v>
      </c>
      <c r="G187" t="s">
        <v>242</v>
      </c>
      <c r="H187" t="s">
        <v>16</v>
      </c>
      <c r="I187">
        <v>3.4146617269480505E-2</v>
      </c>
      <c r="J187" t="s">
        <v>6</v>
      </c>
      <c r="L187" t="s">
        <v>243</v>
      </c>
      <c r="M187" t="s">
        <v>16</v>
      </c>
      <c r="N187">
        <v>5.0311100450199299E-2</v>
      </c>
      <c r="O187" t="s">
        <v>6</v>
      </c>
    </row>
    <row r="188" spans="2:15" x14ac:dyDescent="0.45">
      <c r="B188" t="s">
        <v>241</v>
      </c>
      <c r="C188" t="s">
        <v>17</v>
      </c>
      <c r="D188">
        <v>5.7544918809105533E-4</v>
      </c>
      <c r="E188" t="s">
        <v>6</v>
      </c>
      <c r="G188" t="s">
        <v>242</v>
      </c>
      <c r="H188" t="s">
        <v>17</v>
      </c>
      <c r="I188">
        <v>8.8482230370283674E-2</v>
      </c>
      <c r="J188" t="s">
        <v>6</v>
      </c>
      <c r="L188" t="s">
        <v>243</v>
      </c>
      <c r="M188" t="s">
        <v>17</v>
      </c>
      <c r="N188">
        <v>8.3374530393433288E-2</v>
      </c>
      <c r="O188" t="s">
        <v>6</v>
      </c>
    </row>
    <row r="189" spans="2:15" x14ac:dyDescent="0.45">
      <c r="B189" t="s">
        <v>241</v>
      </c>
      <c r="C189" t="s">
        <v>18</v>
      </c>
      <c r="D189">
        <v>0.17528444813114236</v>
      </c>
      <c r="E189" t="s">
        <v>6</v>
      </c>
      <c r="G189" t="s">
        <v>242</v>
      </c>
      <c r="H189" t="s">
        <v>18</v>
      </c>
      <c r="I189">
        <v>0.11693666120134337</v>
      </c>
      <c r="J189" t="s">
        <v>6</v>
      </c>
      <c r="L189" t="s">
        <v>243</v>
      </c>
      <c r="M189" t="s">
        <v>18</v>
      </c>
      <c r="N189">
        <v>0.10601984195514243</v>
      </c>
      <c r="O189" t="s">
        <v>6</v>
      </c>
    </row>
    <row r="190" spans="2:15" x14ac:dyDescent="0.45">
      <c r="B190" t="s">
        <v>241</v>
      </c>
      <c r="C190" t="s">
        <v>19</v>
      </c>
      <c r="D190">
        <v>1.2421230053701051E-3</v>
      </c>
      <c r="E190" t="s">
        <v>6</v>
      </c>
      <c r="G190" t="s">
        <v>242</v>
      </c>
      <c r="H190" t="s">
        <v>19</v>
      </c>
      <c r="I190">
        <v>7.0110466027229951E-2</v>
      </c>
      <c r="J190" t="s">
        <v>6</v>
      </c>
      <c r="L190" t="s">
        <v>243</v>
      </c>
      <c r="M190" t="s">
        <v>19</v>
      </c>
      <c r="N190">
        <v>6.2435655230681397E-2</v>
      </c>
      <c r="O190" t="s">
        <v>6</v>
      </c>
    </row>
    <row r="191" spans="2:15" x14ac:dyDescent="0.45">
      <c r="B191" t="s">
        <v>244</v>
      </c>
      <c r="C191" t="s">
        <v>5</v>
      </c>
      <c r="D191">
        <v>0</v>
      </c>
      <c r="E191" t="s">
        <v>6</v>
      </c>
      <c r="G191" t="s">
        <v>245</v>
      </c>
      <c r="H191" t="s">
        <v>5</v>
      </c>
      <c r="I191">
        <v>0.11150347405535929</v>
      </c>
      <c r="J191" t="s">
        <v>6</v>
      </c>
      <c r="L191" t="s">
        <v>246</v>
      </c>
      <c r="M191" t="s">
        <v>5</v>
      </c>
      <c r="N191">
        <v>0.10208218812009448</v>
      </c>
      <c r="O191" t="s">
        <v>6</v>
      </c>
    </row>
    <row r="192" spans="2:15" x14ac:dyDescent="0.45">
      <c r="B192" t="s">
        <v>244</v>
      </c>
      <c r="C192" t="s">
        <v>9</v>
      </c>
      <c r="D192">
        <v>0.12094384062364716</v>
      </c>
      <c r="E192" t="s">
        <v>6</v>
      </c>
      <c r="G192" t="s">
        <v>245</v>
      </c>
      <c r="H192" t="s">
        <v>9</v>
      </c>
      <c r="I192">
        <v>0.13410474179771015</v>
      </c>
      <c r="J192" t="s">
        <v>6</v>
      </c>
      <c r="L192" t="s">
        <v>246</v>
      </c>
      <c r="M192" t="s">
        <v>9</v>
      </c>
      <c r="N192">
        <v>0.12595616625359371</v>
      </c>
      <c r="O192" t="s">
        <v>6</v>
      </c>
    </row>
    <row r="193" spans="2:15" x14ac:dyDescent="0.45">
      <c r="B193" t="s">
        <v>244</v>
      </c>
      <c r="C193" t="s">
        <v>10</v>
      </c>
      <c r="D193">
        <v>1.8326686128201765E-4</v>
      </c>
      <c r="E193" t="s">
        <v>6</v>
      </c>
      <c r="G193" t="s">
        <v>245</v>
      </c>
      <c r="H193" t="s">
        <v>10</v>
      </c>
      <c r="I193">
        <v>8.3441824798882458E-2</v>
      </c>
      <c r="J193" t="s">
        <v>6</v>
      </c>
      <c r="L193" t="s">
        <v>246</v>
      </c>
      <c r="M193" t="s">
        <v>10</v>
      </c>
      <c r="N193">
        <v>7.5070680260369005E-2</v>
      </c>
      <c r="O193" t="s">
        <v>6</v>
      </c>
    </row>
    <row r="194" spans="2:15" x14ac:dyDescent="0.45">
      <c r="B194" t="s">
        <v>244</v>
      </c>
      <c r="C194" t="s">
        <v>11</v>
      </c>
      <c r="D194">
        <v>5.581221605550777E-3</v>
      </c>
      <c r="E194" t="s">
        <v>6</v>
      </c>
      <c r="G194" t="s">
        <v>245</v>
      </c>
      <c r="H194" t="s">
        <v>11</v>
      </c>
      <c r="I194">
        <v>7.8864276062932434E-2</v>
      </c>
      <c r="J194" t="s">
        <v>6</v>
      </c>
      <c r="L194" t="s">
        <v>246</v>
      </c>
      <c r="M194" t="s">
        <v>11</v>
      </c>
      <c r="N194">
        <v>7.5276860052572447E-2</v>
      </c>
      <c r="O194" t="s">
        <v>6</v>
      </c>
    </row>
    <row r="195" spans="2:15" x14ac:dyDescent="0.45">
      <c r="B195" t="s">
        <v>244</v>
      </c>
      <c r="C195" t="s">
        <v>12</v>
      </c>
      <c r="D195">
        <v>0.31752056991598981</v>
      </c>
      <c r="E195" t="s">
        <v>6</v>
      </c>
      <c r="G195" t="s">
        <v>245</v>
      </c>
      <c r="H195" t="s">
        <v>12</v>
      </c>
      <c r="I195">
        <v>0.12340824863797824</v>
      </c>
      <c r="J195" t="s">
        <v>6</v>
      </c>
      <c r="L195" t="s">
        <v>246</v>
      </c>
      <c r="M195" t="s">
        <v>12</v>
      </c>
      <c r="N195">
        <v>9.8796652519396358E-2</v>
      </c>
      <c r="O195" t="s">
        <v>6</v>
      </c>
    </row>
    <row r="196" spans="2:15" x14ac:dyDescent="0.45">
      <c r="B196" t="s">
        <v>244</v>
      </c>
      <c r="C196" t="s">
        <v>13</v>
      </c>
      <c r="D196">
        <v>1.1846471135399507E-2</v>
      </c>
      <c r="E196" t="s">
        <v>6</v>
      </c>
      <c r="G196" t="s">
        <v>245</v>
      </c>
      <c r="H196" t="s">
        <v>13</v>
      </c>
      <c r="I196">
        <v>6.4915262142715716E-2</v>
      </c>
      <c r="J196" t="s">
        <v>6</v>
      </c>
      <c r="L196" t="s">
        <v>246</v>
      </c>
      <c r="M196" t="s">
        <v>13</v>
      </c>
      <c r="N196">
        <v>5.996251132537754E-2</v>
      </c>
      <c r="O196" t="s">
        <v>6</v>
      </c>
    </row>
    <row r="197" spans="2:15" x14ac:dyDescent="0.45">
      <c r="B197" t="s">
        <v>244</v>
      </c>
      <c r="C197" t="s">
        <v>14</v>
      </c>
      <c r="D197">
        <v>9.65418944091293E-3</v>
      </c>
      <c r="E197" t="s">
        <v>6</v>
      </c>
      <c r="G197" t="s">
        <v>245</v>
      </c>
      <c r="H197" t="s">
        <v>14</v>
      </c>
      <c r="I197">
        <v>3.5340323293811683E-2</v>
      </c>
      <c r="J197" t="s">
        <v>6</v>
      </c>
      <c r="L197" t="s">
        <v>246</v>
      </c>
      <c r="M197" t="s">
        <v>14</v>
      </c>
      <c r="N197">
        <v>7.0999929919835003E-2</v>
      </c>
      <c r="O197" t="s">
        <v>6</v>
      </c>
    </row>
    <row r="198" spans="2:15" x14ac:dyDescent="0.45">
      <c r="B198" t="s">
        <v>244</v>
      </c>
      <c r="C198" t="s">
        <v>15</v>
      </c>
      <c r="D198">
        <v>0.33437229951442549</v>
      </c>
      <c r="E198" t="s">
        <v>6</v>
      </c>
      <c r="G198" t="s">
        <v>245</v>
      </c>
      <c r="H198" t="s">
        <v>15</v>
      </c>
      <c r="I198">
        <v>7.0378935312699079E-2</v>
      </c>
      <c r="J198" t="s">
        <v>6</v>
      </c>
      <c r="L198" t="s">
        <v>246</v>
      </c>
      <c r="M198" t="s">
        <v>15</v>
      </c>
      <c r="N198">
        <v>8.8891539262776653E-2</v>
      </c>
      <c r="O198" t="s">
        <v>6</v>
      </c>
    </row>
    <row r="199" spans="2:15" x14ac:dyDescent="0.45">
      <c r="B199" t="s">
        <v>244</v>
      </c>
      <c r="C199" t="s">
        <v>16</v>
      </c>
      <c r="D199">
        <v>1.9620896123450825E-2</v>
      </c>
      <c r="E199" t="s">
        <v>6</v>
      </c>
      <c r="G199" t="s">
        <v>245</v>
      </c>
      <c r="H199" t="s">
        <v>16</v>
      </c>
      <c r="I199">
        <v>3.2452805952869916E-2</v>
      </c>
      <c r="J199" t="s">
        <v>6</v>
      </c>
      <c r="L199" t="s">
        <v>246</v>
      </c>
      <c r="M199" t="s">
        <v>16</v>
      </c>
      <c r="N199">
        <v>5.2771403766155835E-2</v>
      </c>
      <c r="O199" t="s">
        <v>6</v>
      </c>
    </row>
    <row r="200" spans="2:15" x14ac:dyDescent="0.45">
      <c r="B200" t="s">
        <v>244</v>
      </c>
      <c r="C200" t="s">
        <v>17</v>
      </c>
      <c r="D200">
        <v>4.0000632514293537E-4</v>
      </c>
      <c r="E200" t="s">
        <v>6</v>
      </c>
      <c r="G200" t="s">
        <v>245</v>
      </c>
      <c r="H200" t="s">
        <v>17</v>
      </c>
      <c r="I200">
        <v>8.2378230615165665E-2</v>
      </c>
      <c r="J200" t="s">
        <v>6</v>
      </c>
      <c r="L200" t="s">
        <v>246</v>
      </c>
      <c r="M200" t="s">
        <v>17</v>
      </c>
      <c r="N200">
        <v>8.4140203262055568E-2</v>
      </c>
      <c r="O200" t="s">
        <v>6</v>
      </c>
    </row>
    <row r="201" spans="2:15" x14ac:dyDescent="0.45">
      <c r="B201" t="s">
        <v>244</v>
      </c>
      <c r="C201" t="s">
        <v>18</v>
      </c>
      <c r="D201">
        <v>0.17849335447990936</v>
      </c>
      <c r="E201" t="s">
        <v>6</v>
      </c>
      <c r="G201" t="s">
        <v>245</v>
      </c>
      <c r="H201" t="s">
        <v>18</v>
      </c>
      <c r="I201">
        <v>0.11951010851989211</v>
      </c>
      <c r="J201" t="s">
        <v>6</v>
      </c>
      <c r="L201" t="s">
        <v>246</v>
      </c>
      <c r="M201" t="s">
        <v>18</v>
      </c>
      <c r="N201">
        <v>0.10190978934102066</v>
      </c>
      <c r="O201" t="s">
        <v>6</v>
      </c>
    </row>
    <row r="202" spans="2:15" x14ac:dyDescent="0.45">
      <c r="B202" t="s">
        <v>244</v>
      </c>
      <c r="C202" t="s">
        <v>19</v>
      </c>
      <c r="D202">
        <v>1.383883974289337E-3</v>
      </c>
      <c r="E202" t="s">
        <v>6</v>
      </c>
      <c r="G202" t="s">
        <v>245</v>
      </c>
      <c r="H202" t="s">
        <v>19</v>
      </c>
      <c r="I202">
        <v>6.3701768809983336E-2</v>
      </c>
      <c r="J202" t="s">
        <v>6</v>
      </c>
      <c r="L202" t="s">
        <v>246</v>
      </c>
      <c r="M202" t="s">
        <v>19</v>
      </c>
      <c r="N202">
        <v>6.414207591675411E-2</v>
      </c>
      <c r="O202" t="s">
        <v>6</v>
      </c>
    </row>
    <row r="203" spans="2:15" x14ac:dyDescent="0.45">
      <c r="B203" t="s">
        <v>247</v>
      </c>
      <c r="C203" t="s">
        <v>5</v>
      </c>
      <c r="D203">
        <v>0</v>
      </c>
      <c r="E203" t="s">
        <v>6</v>
      </c>
      <c r="G203" t="s">
        <v>248</v>
      </c>
      <c r="H203" t="s">
        <v>5</v>
      </c>
      <c r="I203">
        <v>0.11100990696204439</v>
      </c>
      <c r="J203" t="s">
        <v>6</v>
      </c>
      <c r="L203" t="s">
        <v>249</v>
      </c>
      <c r="M203" t="s">
        <v>5</v>
      </c>
      <c r="N203">
        <v>0.10256462848507113</v>
      </c>
      <c r="O203" t="s">
        <v>6</v>
      </c>
    </row>
    <row r="204" spans="2:15" x14ac:dyDescent="0.45">
      <c r="B204" t="s">
        <v>247</v>
      </c>
      <c r="C204" t="s">
        <v>9</v>
      </c>
      <c r="D204">
        <v>0.12238881078940489</v>
      </c>
      <c r="E204" t="s">
        <v>6</v>
      </c>
      <c r="G204" t="s">
        <v>248</v>
      </c>
      <c r="H204" t="s">
        <v>9</v>
      </c>
      <c r="I204">
        <v>0.13032738809343894</v>
      </c>
      <c r="J204" t="s">
        <v>6</v>
      </c>
      <c r="L204" t="s">
        <v>249</v>
      </c>
      <c r="M204" t="s">
        <v>9</v>
      </c>
      <c r="N204">
        <v>0.12384859021459935</v>
      </c>
      <c r="O204" t="s">
        <v>6</v>
      </c>
    </row>
    <row r="205" spans="2:15" x14ac:dyDescent="0.45">
      <c r="B205" t="s">
        <v>247</v>
      </c>
      <c r="C205" t="s">
        <v>10</v>
      </c>
      <c r="D205">
        <v>1.4596485168246465E-5</v>
      </c>
      <c r="E205" t="s">
        <v>6</v>
      </c>
      <c r="G205" t="s">
        <v>248</v>
      </c>
      <c r="H205" t="s">
        <v>10</v>
      </c>
      <c r="I205">
        <v>8.3329243723555019E-2</v>
      </c>
      <c r="J205" t="s">
        <v>6</v>
      </c>
      <c r="L205" t="s">
        <v>249</v>
      </c>
      <c r="M205" t="s">
        <v>10</v>
      </c>
      <c r="N205">
        <v>7.574655222938835E-2</v>
      </c>
      <c r="O205" t="s">
        <v>6</v>
      </c>
    </row>
    <row r="206" spans="2:15" x14ac:dyDescent="0.45">
      <c r="B206" t="s">
        <v>247</v>
      </c>
      <c r="C206" t="s">
        <v>11</v>
      </c>
      <c r="D206">
        <v>6.6059353110511547E-3</v>
      </c>
      <c r="E206" t="s">
        <v>6</v>
      </c>
      <c r="G206" t="s">
        <v>248</v>
      </c>
      <c r="H206" t="s">
        <v>11</v>
      </c>
      <c r="I206">
        <v>7.2491509634902404E-2</v>
      </c>
      <c r="J206" t="s">
        <v>6</v>
      </c>
      <c r="L206" t="s">
        <v>249</v>
      </c>
      <c r="M206" t="s">
        <v>11</v>
      </c>
      <c r="N206">
        <v>7.7885385150749623E-2</v>
      </c>
      <c r="O206" t="s">
        <v>6</v>
      </c>
    </row>
    <row r="207" spans="2:15" x14ac:dyDescent="0.45">
      <c r="B207" t="s">
        <v>247</v>
      </c>
      <c r="C207" t="s">
        <v>12</v>
      </c>
      <c r="D207">
        <v>0.31365150829667332</v>
      </c>
      <c r="E207" t="s">
        <v>6</v>
      </c>
      <c r="G207" t="s">
        <v>248</v>
      </c>
      <c r="H207" t="s">
        <v>12</v>
      </c>
      <c r="I207">
        <v>0.10910975949524042</v>
      </c>
      <c r="J207" t="s">
        <v>6</v>
      </c>
      <c r="L207" t="s">
        <v>249</v>
      </c>
      <c r="M207" t="s">
        <v>12</v>
      </c>
      <c r="N207">
        <v>0.10071477354444222</v>
      </c>
      <c r="O207" t="s">
        <v>6</v>
      </c>
    </row>
    <row r="208" spans="2:15" x14ac:dyDescent="0.45">
      <c r="B208" t="s">
        <v>247</v>
      </c>
      <c r="C208" t="s">
        <v>13</v>
      </c>
      <c r="D208">
        <v>1.0450654818037619E-2</v>
      </c>
      <c r="E208" t="s">
        <v>6</v>
      </c>
      <c r="G208" t="s">
        <v>248</v>
      </c>
      <c r="H208" t="s">
        <v>13</v>
      </c>
      <c r="I208">
        <v>6.1545119030795639E-2</v>
      </c>
      <c r="J208" t="s">
        <v>6</v>
      </c>
      <c r="L208" t="s">
        <v>249</v>
      </c>
      <c r="M208" t="s">
        <v>13</v>
      </c>
      <c r="N208">
        <v>6.0037957869064254E-2</v>
      </c>
      <c r="O208" t="s">
        <v>6</v>
      </c>
    </row>
    <row r="209" spans="2:15" x14ac:dyDescent="0.45">
      <c r="B209" t="s">
        <v>247</v>
      </c>
      <c r="C209" t="s">
        <v>14</v>
      </c>
      <c r="D209">
        <v>1.1260388843126599E-2</v>
      </c>
      <c r="E209" t="s">
        <v>6</v>
      </c>
      <c r="G209" t="s">
        <v>248</v>
      </c>
      <c r="H209" t="s">
        <v>14</v>
      </c>
      <c r="I209">
        <v>4.6053006099234038E-2</v>
      </c>
      <c r="J209" t="s">
        <v>6</v>
      </c>
      <c r="L209" t="s">
        <v>249</v>
      </c>
      <c r="M209" t="s">
        <v>14</v>
      </c>
      <c r="N209">
        <v>7.1155726731110119E-2</v>
      </c>
      <c r="O209" t="s">
        <v>6</v>
      </c>
    </row>
    <row r="210" spans="2:15" x14ac:dyDescent="0.45">
      <c r="B210" t="s">
        <v>247</v>
      </c>
      <c r="C210" t="s">
        <v>15</v>
      </c>
      <c r="D210">
        <v>0.33548660826132926</v>
      </c>
      <c r="E210" t="s">
        <v>6</v>
      </c>
      <c r="G210" t="s">
        <v>248</v>
      </c>
      <c r="H210" t="s">
        <v>15</v>
      </c>
      <c r="I210">
        <v>7.902190095903959E-2</v>
      </c>
      <c r="J210" t="s">
        <v>6</v>
      </c>
      <c r="L210" t="s">
        <v>249</v>
      </c>
      <c r="M210" t="s">
        <v>15</v>
      </c>
      <c r="N210">
        <v>8.9113716959667341E-2</v>
      </c>
      <c r="O210" t="s">
        <v>6</v>
      </c>
    </row>
    <row r="211" spans="2:15" x14ac:dyDescent="0.45">
      <c r="B211" t="s">
        <v>247</v>
      </c>
      <c r="C211" t="s">
        <v>16</v>
      </c>
      <c r="D211">
        <v>1.7573621641057493E-2</v>
      </c>
      <c r="E211" t="s">
        <v>6</v>
      </c>
      <c r="G211" t="s">
        <v>248</v>
      </c>
      <c r="H211" t="s">
        <v>16</v>
      </c>
      <c r="I211">
        <v>3.7243729412712E-2</v>
      </c>
      <c r="J211" t="s">
        <v>6</v>
      </c>
      <c r="L211" t="s">
        <v>249</v>
      </c>
      <c r="M211" t="s">
        <v>16</v>
      </c>
      <c r="N211">
        <v>5.305216231894469E-2</v>
      </c>
      <c r="O211" t="s">
        <v>6</v>
      </c>
    </row>
    <row r="212" spans="2:15" x14ac:dyDescent="0.45">
      <c r="B212" t="s">
        <v>247</v>
      </c>
      <c r="C212" t="s">
        <v>17</v>
      </c>
      <c r="D212">
        <v>6.9044946607117361E-4</v>
      </c>
      <c r="E212" t="s">
        <v>6</v>
      </c>
      <c r="G212" t="s">
        <v>248</v>
      </c>
      <c r="H212" t="s">
        <v>17</v>
      </c>
      <c r="I212">
        <v>8.4989231268011514E-2</v>
      </c>
      <c r="J212" t="s">
        <v>6</v>
      </c>
      <c r="L212" t="s">
        <v>249</v>
      </c>
      <c r="M212" t="s">
        <v>17</v>
      </c>
      <c r="N212">
        <v>8.1584962387028878E-2</v>
      </c>
      <c r="O212" t="s">
        <v>6</v>
      </c>
    </row>
    <row r="213" spans="2:15" x14ac:dyDescent="0.45">
      <c r="B213" t="s">
        <v>247</v>
      </c>
      <c r="C213" t="s">
        <v>18</v>
      </c>
      <c r="D213">
        <v>0.18076887868031652</v>
      </c>
      <c r="E213" t="s">
        <v>6</v>
      </c>
      <c r="G213" t="s">
        <v>248</v>
      </c>
      <c r="H213" t="s">
        <v>18</v>
      </c>
      <c r="I213">
        <v>0.11845200860061694</v>
      </c>
      <c r="J213" t="s">
        <v>6</v>
      </c>
      <c r="L213" t="s">
        <v>249</v>
      </c>
      <c r="M213" t="s">
        <v>18</v>
      </c>
      <c r="N213">
        <v>0.10227894059524863</v>
      </c>
      <c r="O213" t="s">
        <v>6</v>
      </c>
    </row>
    <row r="214" spans="2:15" x14ac:dyDescent="0.45">
      <c r="B214" t="s">
        <v>247</v>
      </c>
      <c r="C214" t="s">
        <v>19</v>
      </c>
      <c r="D214">
        <v>1.1085474077637916E-3</v>
      </c>
      <c r="E214" t="s">
        <v>6</v>
      </c>
      <c r="G214" t="s">
        <v>248</v>
      </c>
      <c r="H214" t="s">
        <v>19</v>
      </c>
      <c r="I214">
        <v>6.6427196720407061E-2</v>
      </c>
      <c r="J214" t="s">
        <v>6</v>
      </c>
      <c r="L214" t="s">
        <v>249</v>
      </c>
      <c r="M214" t="s">
        <v>19</v>
      </c>
      <c r="N214">
        <v>6.2016603514687706E-2</v>
      </c>
      <c r="O214" t="s">
        <v>6</v>
      </c>
    </row>
    <row r="215" spans="2:15" x14ac:dyDescent="0.45">
      <c r="B215" t="s">
        <v>250</v>
      </c>
      <c r="C215" t="s">
        <v>5</v>
      </c>
      <c r="D215">
        <v>0</v>
      </c>
      <c r="E215" t="s">
        <v>6</v>
      </c>
      <c r="G215" t="s">
        <v>251</v>
      </c>
      <c r="H215" t="s">
        <v>5</v>
      </c>
      <c r="I215">
        <v>0.10331558053723312</v>
      </c>
      <c r="J215" t="s">
        <v>6</v>
      </c>
      <c r="L215" t="s">
        <v>252</v>
      </c>
      <c r="M215" t="s">
        <v>5</v>
      </c>
      <c r="N215">
        <v>0.10215026227009492</v>
      </c>
      <c r="O215" t="s">
        <v>6</v>
      </c>
    </row>
    <row r="216" spans="2:15" x14ac:dyDescent="0.45">
      <c r="B216" t="s">
        <v>250</v>
      </c>
      <c r="C216" t="s">
        <v>9</v>
      </c>
      <c r="D216">
        <v>0.12154408984361624</v>
      </c>
      <c r="E216" t="s">
        <v>6</v>
      </c>
      <c r="G216" t="s">
        <v>251</v>
      </c>
      <c r="H216" t="s">
        <v>9</v>
      </c>
      <c r="I216">
        <v>0.12371076599775595</v>
      </c>
      <c r="J216" t="s">
        <v>6</v>
      </c>
      <c r="L216" t="s">
        <v>252</v>
      </c>
      <c r="M216" t="s">
        <v>9</v>
      </c>
      <c r="N216">
        <v>0.12392683831790778</v>
      </c>
      <c r="O216" t="s">
        <v>6</v>
      </c>
    </row>
    <row r="217" spans="2:15" x14ac:dyDescent="0.45">
      <c r="B217" t="s">
        <v>250</v>
      </c>
      <c r="C217" t="s">
        <v>10</v>
      </c>
      <c r="D217">
        <v>8.2274076322526443E-5</v>
      </c>
      <c r="E217" t="s">
        <v>6</v>
      </c>
      <c r="G217" t="s">
        <v>251</v>
      </c>
      <c r="H217" t="s">
        <v>10</v>
      </c>
      <c r="I217">
        <v>7.6542321908418212E-2</v>
      </c>
      <c r="J217" t="s">
        <v>6</v>
      </c>
      <c r="L217" t="s">
        <v>252</v>
      </c>
      <c r="M217" t="s">
        <v>10</v>
      </c>
      <c r="N217">
        <v>7.8946224423220093E-2</v>
      </c>
      <c r="O217" t="s">
        <v>6</v>
      </c>
    </row>
    <row r="218" spans="2:15" x14ac:dyDescent="0.45">
      <c r="B218" t="s">
        <v>250</v>
      </c>
      <c r="C218" t="s">
        <v>11</v>
      </c>
      <c r="D218">
        <v>6.1431948604572838E-3</v>
      </c>
      <c r="E218" t="s">
        <v>6</v>
      </c>
      <c r="G218" t="s">
        <v>251</v>
      </c>
      <c r="H218" t="s">
        <v>11</v>
      </c>
      <c r="I218">
        <v>7.3946776809980061E-2</v>
      </c>
      <c r="J218" t="s">
        <v>6</v>
      </c>
      <c r="L218" t="s">
        <v>252</v>
      </c>
      <c r="M218" t="s">
        <v>11</v>
      </c>
      <c r="N218">
        <v>7.7928280576401665E-2</v>
      </c>
      <c r="O218" t="s">
        <v>6</v>
      </c>
    </row>
    <row r="219" spans="2:15" x14ac:dyDescent="0.45">
      <c r="B219" t="s">
        <v>250</v>
      </c>
      <c r="C219" t="s">
        <v>12</v>
      </c>
      <c r="D219">
        <v>0.31615443109426983</v>
      </c>
      <c r="E219" t="s">
        <v>6</v>
      </c>
      <c r="G219" t="s">
        <v>251</v>
      </c>
      <c r="H219" t="s">
        <v>12</v>
      </c>
      <c r="I219">
        <v>9.8221112096367663E-2</v>
      </c>
      <c r="J219" t="s">
        <v>6</v>
      </c>
      <c r="L219" t="s">
        <v>252</v>
      </c>
      <c r="M219" t="s">
        <v>12</v>
      </c>
      <c r="N219">
        <v>0.10009981512691959</v>
      </c>
      <c r="O219" t="s">
        <v>6</v>
      </c>
    </row>
    <row r="220" spans="2:15" x14ac:dyDescent="0.45">
      <c r="B220" t="s">
        <v>250</v>
      </c>
      <c r="C220" t="s">
        <v>13</v>
      </c>
      <c r="D220">
        <v>1.0170247624800767E-2</v>
      </c>
      <c r="E220" t="s">
        <v>6</v>
      </c>
      <c r="G220" t="s">
        <v>251</v>
      </c>
      <c r="H220" t="s">
        <v>13</v>
      </c>
      <c r="I220">
        <v>6.2155732833401527E-2</v>
      </c>
      <c r="J220" t="s">
        <v>6</v>
      </c>
      <c r="L220" t="s">
        <v>252</v>
      </c>
      <c r="M220" t="s">
        <v>13</v>
      </c>
      <c r="N220">
        <v>6.0156993038289454E-2</v>
      </c>
      <c r="O220" t="s">
        <v>6</v>
      </c>
    </row>
    <row r="221" spans="2:15" x14ac:dyDescent="0.45">
      <c r="B221" t="s">
        <v>250</v>
      </c>
      <c r="C221" t="s">
        <v>14</v>
      </c>
      <c r="D221">
        <v>1.0554406974233918E-2</v>
      </c>
      <c r="E221" t="s">
        <v>6</v>
      </c>
      <c r="G221" t="s">
        <v>251</v>
      </c>
      <c r="H221" t="s">
        <v>14</v>
      </c>
      <c r="I221">
        <v>5.9018639202905183E-2</v>
      </c>
      <c r="J221" t="s">
        <v>6</v>
      </c>
      <c r="L221" t="s">
        <v>252</v>
      </c>
      <c r="M221" t="s">
        <v>14</v>
      </c>
      <c r="N221">
        <v>6.8438078193977514E-2</v>
      </c>
      <c r="O221" t="s">
        <v>6</v>
      </c>
    </row>
    <row r="222" spans="2:15" x14ac:dyDescent="0.45">
      <c r="B222" t="s">
        <v>250</v>
      </c>
      <c r="C222" t="s">
        <v>15</v>
      </c>
      <c r="D222">
        <v>0.33930840513634392</v>
      </c>
      <c r="E222" t="s">
        <v>6</v>
      </c>
      <c r="G222" t="s">
        <v>251</v>
      </c>
      <c r="H222" t="s">
        <v>15</v>
      </c>
      <c r="I222">
        <v>7.9645689029564759E-2</v>
      </c>
      <c r="J222" t="s">
        <v>6</v>
      </c>
      <c r="L222" t="s">
        <v>252</v>
      </c>
      <c r="M222" t="s">
        <v>15</v>
      </c>
      <c r="N222">
        <v>8.425810867114171E-2</v>
      </c>
      <c r="O222" t="s">
        <v>6</v>
      </c>
    </row>
    <row r="223" spans="2:15" x14ac:dyDescent="0.45">
      <c r="B223" t="s">
        <v>250</v>
      </c>
      <c r="C223" t="s">
        <v>16</v>
      </c>
      <c r="D223">
        <v>1.7181647570003365E-2</v>
      </c>
      <c r="E223" t="s">
        <v>6</v>
      </c>
      <c r="G223" t="s">
        <v>251</v>
      </c>
      <c r="H223" t="s">
        <v>16</v>
      </c>
      <c r="I223">
        <v>4.3411822794773541E-2</v>
      </c>
      <c r="J223" t="s">
        <v>6</v>
      </c>
      <c r="L223" t="s">
        <v>252</v>
      </c>
      <c r="M223" t="s">
        <v>16</v>
      </c>
      <c r="N223">
        <v>5.0698996390259515E-2</v>
      </c>
      <c r="O223" t="s">
        <v>6</v>
      </c>
    </row>
    <row r="224" spans="2:15" x14ac:dyDescent="0.45">
      <c r="B224" t="s">
        <v>250</v>
      </c>
      <c r="C224" t="s">
        <v>17</v>
      </c>
      <c r="D224">
        <v>5.8550484780125979E-4</v>
      </c>
      <c r="E224" t="s">
        <v>6</v>
      </c>
      <c r="G224" t="s">
        <v>251</v>
      </c>
      <c r="H224" t="s">
        <v>17</v>
      </c>
      <c r="I224">
        <v>9.2242967253833338E-2</v>
      </c>
      <c r="J224" t="s">
        <v>6</v>
      </c>
      <c r="L224" t="s">
        <v>252</v>
      </c>
      <c r="M224" t="s">
        <v>17</v>
      </c>
      <c r="N224">
        <v>8.3571156046856249E-2</v>
      </c>
      <c r="O224" t="s">
        <v>6</v>
      </c>
    </row>
    <row r="225" spans="2:15" x14ac:dyDescent="0.45">
      <c r="B225" t="s">
        <v>250</v>
      </c>
      <c r="C225" t="s">
        <v>18</v>
      </c>
      <c r="D225">
        <v>0.17714548600561533</v>
      </c>
      <c r="E225" t="s">
        <v>6</v>
      </c>
      <c r="G225" t="s">
        <v>251</v>
      </c>
      <c r="H225" t="s">
        <v>18</v>
      </c>
      <c r="I225">
        <v>0.11608402528645906</v>
      </c>
      <c r="J225" t="s">
        <v>6</v>
      </c>
      <c r="L225" t="s">
        <v>252</v>
      </c>
      <c r="M225" t="s">
        <v>18</v>
      </c>
      <c r="N225">
        <v>0.10604160743048803</v>
      </c>
      <c r="O225" t="s">
        <v>6</v>
      </c>
    </row>
    <row r="226" spans="2:15" x14ac:dyDescent="0.45">
      <c r="B226" t="s">
        <v>250</v>
      </c>
      <c r="C226" t="s">
        <v>19</v>
      </c>
      <c r="D226">
        <v>1.1303119665319395E-3</v>
      </c>
      <c r="E226" t="s">
        <v>6</v>
      </c>
      <c r="G226" t="s">
        <v>251</v>
      </c>
      <c r="H226" t="s">
        <v>19</v>
      </c>
      <c r="I226">
        <v>7.1704566249307489E-2</v>
      </c>
      <c r="J226" t="s">
        <v>6</v>
      </c>
      <c r="L226" t="s">
        <v>252</v>
      </c>
      <c r="M226" t="s">
        <v>19</v>
      </c>
      <c r="N226">
        <v>6.3783639514444865E-2</v>
      </c>
      <c r="O226" t="s">
        <v>6</v>
      </c>
    </row>
    <row r="227" spans="2:15" x14ac:dyDescent="0.45">
      <c r="B227" t="s">
        <v>253</v>
      </c>
      <c r="C227" t="s">
        <v>5</v>
      </c>
      <c r="D227">
        <v>0</v>
      </c>
      <c r="E227" t="s">
        <v>6</v>
      </c>
      <c r="G227" t="s">
        <v>254</v>
      </c>
      <c r="H227" t="s">
        <v>5</v>
      </c>
      <c r="I227">
        <v>9.5713944443758844E-2</v>
      </c>
      <c r="J227" t="s">
        <v>6</v>
      </c>
      <c r="L227" t="s">
        <v>255</v>
      </c>
      <c r="M227" t="s">
        <v>5</v>
      </c>
      <c r="N227">
        <v>9.8574188060103152E-2</v>
      </c>
      <c r="O227" t="s">
        <v>6</v>
      </c>
    </row>
    <row r="228" spans="2:15" x14ac:dyDescent="0.45">
      <c r="B228" t="s">
        <v>253</v>
      </c>
      <c r="C228" t="s">
        <v>9</v>
      </c>
      <c r="D228">
        <v>0.11903549941800774</v>
      </c>
      <c r="E228" t="s">
        <v>6</v>
      </c>
      <c r="G228" t="s">
        <v>254</v>
      </c>
      <c r="H228" t="s">
        <v>9</v>
      </c>
      <c r="I228">
        <v>0.12001946716601521</v>
      </c>
      <c r="J228" t="s">
        <v>6</v>
      </c>
      <c r="L228" t="s">
        <v>255</v>
      </c>
      <c r="M228" t="s">
        <v>9</v>
      </c>
      <c r="N228">
        <v>0.12017562799697019</v>
      </c>
      <c r="O228" t="s">
        <v>6</v>
      </c>
    </row>
    <row r="229" spans="2:15" x14ac:dyDescent="0.45">
      <c r="B229" t="s">
        <v>253</v>
      </c>
      <c r="C229" t="s">
        <v>10</v>
      </c>
      <c r="D229">
        <v>4.6977273773511429E-4</v>
      </c>
      <c r="E229" t="s">
        <v>6</v>
      </c>
      <c r="G229" t="s">
        <v>254</v>
      </c>
      <c r="H229" t="s">
        <v>10</v>
      </c>
      <c r="I229">
        <v>7.3404000633866068E-2</v>
      </c>
      <c r="J229" t="s">
        <v>6</v>
      </c>
      <c r="L229" t="s">
        <v>255</v>
      </c>
      <c r="M229" t="s">
        <v>10</v>
      </c>
      <c r="N229">
        <v>7.5143088405101879E-2</v>
      </c>
      <c r="O229" t="s">
        <v>6</v>
      </c>
    </row>
    <row r="230" spans="2:15" x14ac:dyDescent="0.45">
      <c r="B230" t="s">
        <v>253</v>
      </c>
      <c r="C230" t="s">
        <v>11</v>
      </c>
      <c r="D230">
        <v>3.5162329052463664E-3</v>
      </c>
      <c r="E230" t="s">
        <v>6</v>
      </c>
      <c r="G230" t="s">
        <v>254</v>
      </c>
      <c r="H230" t="s">
        <v>11</v>
      </c>
      <c r="I230">
        <v>7.9010720004431115E-2</v>
      </c>
      <c r="J230" t="s">
        <v>6</v>
      </c>
      <c r="L230" t="s">
        <v>255</v>
      </c>
      <c r="M230" t="s">
        <v>11</v>
      </c>
      <c r="N230">
        <v>7.6400492142843487E-2</v>
      </c>
      <c r="O230" t="s">
        <v>6</v>
      </c>
    </row>
    <row r="231" spans="2:15" x14ac:dyDescent="0.45">
      <c r="B231" t="s">
        <v>253</v>
      </c>
      <c r="C231" t="s">
        <v>12</v>
      </c>
      <c r="D231">
        <v>0.31480709047204869</v>
      </c>
      <c r="E231" t="s">
        <v>6</v>
      </c>
      <c r="G231" t="s">
        <v>254</v>
      </c>
      <c r="H231" t="s">
        <v>12</v>
      </c>
      <c r="I231">
        <v>9.4414443264084116E-2</v>
      </c>
      <c r="J231" t="s">
        <v>6</v>
      </c>
      <c r="L231" t="s">
        <v>255</v>
      </c>
      <c r="M231" t="s">
        <v>12</v>
      </c>
      <c r="N231">
        <v>9.5508353630419485E-2</v>
      </c>
      <c r="O231" t="s">
        <v>6</v>
      </c>
    </row>
    <row r="232" spans="2:15" x14ac:dyDescent="0.45">
      <c r="B232" t="s">
        <v>253</v>
      </c>
      <c r="C232" t="s">
        <v>13</v>
      </c>
      <c r="D232">
        <v>1.4406277204714773E-2</v>
      </c>
      <c r="E232" t="s">
        <v>6</v>
      </c>
      <c r="G232" t="s">
        <v>254</v>
      </c>
      <c r="H232" t="s">
        <v>13</v>
      </c>
      <c r="I232">
        <v>6.2361805287664891E-2</v>
      </c>
      <c r="J232" t="s">
        <v>6</v>
      </c>
      <c r="L232" t="s">
        <v>255</v>
      </c>
      <c r="M232" t="s">
        <v>13</v>
      </c>
      <c r="N232">
        <v>6.2560002477372201E-2</v>
      </c>
      <c r="O232" t="s">
        <v>6</v>
      </c>
    </row>
    <row r="233" spans="2:15" x14ac:dyDescent="0.45">
      <c r="B233" t="s">
        <v>253</v>
      </c>
      <c r="C233" t="s">
        <v>14</v>
      </c>
      <c r="D233">
        <v>7.2443465131542114E-3</v>
      </c>
      <c r="E233" t="s">
        <v>6</v>
      </c>
      <c r="G233" t="s">
        <v>254</v>
      </c>
      <c r="H233" t="s">
        <v>14</v>
      </c>
      <c r="I233">
        <v>6.6641266218058381E-2</v>
      </c>
      <c r="J233" t="s">
        <v>6</v>
      </c>
      <c r="L233" t="s">
        <v>255</v>
      </c>
      <c r="M233" t="s">
        <v>14</v>
      </c>
      <c r="N233">
        <v>7.0121284338463083E-2</v>
      </c>
      <c r="O233" t="s">
        <v>6</v>
      </c>
    </row>
    <row r="234" spans="2:15" x14ac:dyDescent="0.45">
      <c r="B234" t="s">
        <v>253</v>
      </c>
      <c r="C234" t="s">
        <v>15</v>
      </c>
      <c r="D234">
        <v>0.33084831980927965</v>
      </c>
      <c r="E234" t="s">
        <v>6</v>
      </c>
      <c r="G234" t="s">
        <v>254</v>
      </c>
      <c r="H234" t="s">
        <v>15</v>
      </c>
      <c r="I234">
        <v>8.4041396837949839E-2</v>
      </c>
      <c r="J234" t="s">
        <v>6</v>
      </c>
      <c r="L234" t="s">
        <v>255</v>
      </c>
      <c r="M234" t="s">
        <v>15</v>
      </c>
      <c r="N234">
        <v>8.5894759269176377E-2</v>
      </c>
      <c r="O234" t="s">
        <v>6</v>
      </c>
    </row>
    <row r="235" spans="2:15" x14ac:dyDescent="0.45">
      <c r="B235" t="s">
        <v>253</v>
      </c>
      <c r="C235" t="s">
        <v>16</v>
      </c>
      <c r="D235">
        <v>2.2032830065429224E-2</v>
      </c>
      <c r="E235" t="s">
        <v>6</v>
      </c>
      <c r="G235" t="s">
        <v>254</v>
      </c>
      <c r="H235" t="s">
        <v>16</v>
      </c>
      <c r="I235">
        <v>4.8901436521957477E-2</v>
      </c>
      <c r="J235" t="s">
        <v>6</v>
      </c>
      <c r="L235" t="s">
        <v>255</v>
      </c>
      <c r="M235" t="s">
        <v>16</v>
      </c>
      <c r="N235">
        <v>5.2110810046015123E-2</v>
      </c>
      <c r="O235" t="s">
        <v>6</v>
      </c>
    </row>
    <row r="236" spans="2:15" x14ac:dyDescent="0.45">
      <c r="B236" t="s">
        <v>253</v>
      </c>
      <c r="C236" t="s">
        <v>17</v>
      </c>
      <c r="D236">
        <v>2.2711355685644475E-4</v>
      </c>
      <c r="E236" t="s">
        <v>6</v>
      </c>
      <c r="G236" t="s">
        <v>254</v>
      </c>
      <c r="H236" t="s">
        <v>17</v>
      </c>
      <c r="I236">
        <v>9.3463880345333206E-2</v>
      </c>
      <c r="J236" t="s">
        <v>6</v>
      </c>
      <c r="L236" t="s">
        <v>255</v>
      </c>
      <c r="M236" t="s">
        <v>17</v>
      </c>
      <c r="N236">
        <v>8.867253077829032E-2</v>
      </c>
      <c r="O236" t="s">
        <v>6</v>
      </c>
    </row>
    <row r="237" spans="2:15" x14ac:dyDescent="0.45">
      <c r="B237" t="s">
        <v>253</v>
      </c>
      <c r="C237" t="s">
        <v>18</v>
      </c>
      <c r="D237">
        <v>0.18545517699868938</v>
      </c>
      <c r="E237" t="s">
        <v>6</v>
      </c>
      <c r="G237" t="s">
        <v>254</v>
      </c>
      <c r="H237" t="s">
        <v>18</v>
      </c>
      <c r="I237">
        <v>0.11213670707024913</v>
      </c>
      <c r="J237" t="s">
        <v>6</v>
      </c>
      <c r="L237" t="s">
        <v>255</v>
      </c>
      <c r="M237" t="s">
        <v>18</v>
      </c>
      <c r="N237">
        <v>0.10847895509406029</v>
      </c>
      <c r="O237" t="s">
        <v>6</v>
      </c>
    </row>
    <row r="238" spans="2:15" x14ac:dyDescent="0.45">
      <c r="B238" t="s">
        <v>253</v>
      </c>
      <c r="C238" t="s">
        <v>19</v>
      </c>
      <c r="D238">
        <v>1.9573403188408965E-3</v>
      </c>
      <c r="E238" t="s">
        <v>6</v>
      </c>
      <c r="G238" t="s">
        <v>254</v>
      </c>
      <c r="H238" t="s">
        <v>19</v>
      </c>
      <c r="I238">
        <v>6.9890932206635586E-2</v>
      </c>
      <c r="J238" t="s">
        <v>6</v>
      </c>
      <c r="L238" t="s">
        <v>255</v>
      </c>
      <c r="M238" t="s">
        <v>19</v>
      </c>
      <c r="N238">
        <v>6.6359907761187192E-2</v>
      </c>
      <c r="O238" t="s">
        <v>6</v>
      </c>
    </row>
    <row r="239" spans="2:15" x14ac:dyDescent="0.45">
      <c r="B239" t="s">
        <v>256</v>
      </c>
      <c r="C239" t="s">
        <v>5</v>
      </c>
      <c r="D239">
        <v>0</v>
      </c>
      <c r="E239" t="s">
        <v>6</v>
      </c>
      <c r="G239" t="s">
        <v>257</v>
      </c>
      <c r="H239" t="s">
        <v>5</v>
      </c>
      <c r="I239">
        <v>0.10335767350530455</v>
      </c>
      <c r="J239" t="s">
        <v>6</v>
      </c>
      <c r="L239" t="s">
        <v>258</v>
      </c>
      <c r="M239" t="s">
        <v>5</v>
      </c>
      <c r="N239">
        <v>9.790213191135419E-2</v>
      </c>
      <c r="O239" t="s">
        <v>6</v>
      </c>
    </row>
    <row r="240" spans="2:15" x14ac:dyDescent="0.45">
      <c r="B240" t="s">
        <v>256</v>
      </c>
      <c r="C240" t="s">
        <v>9</v>
      </c>
      <c r="D240">
        <v>0.11243855037958517</v>
      </c>
      <c r="E240" t="s">
        <v>6</v>
      </c>
      <c r="G240" t="s">
        <v>257</v>
      </c>
      <c r="H240" t="s">
        <v>9</v>
      </c>
      <c r="I240">
        <v>0.12447268092004909</v>
      </c>
      <c r="J240" t="s">
        <v>6</v>
      </c>
      <c r="L240" t="s">
        <v>258</v>
      </c>
      <c r="M240" t="s">
        <v>9</v>
      </c>
      <c r="N240">
        <v>0.12349931056521361</v>
      </c>
      <c r="O240" t="s">
        <v>6</v>
      </c>
    </row>
    <row r="241" spans="2:15" x14ac:dyDescent="0.45">
      <c r="B241" t="s">
        <v>256</v>
      </c>
      <c r="C241" t="s">
        <v>10</v>
      </c>
      <c r="D241">
        <v>1.7734537420103358E-4</v>
      </c>
      <c r="E241" t="s">
        <v>6</v>
      </c>
      <c r="G241" t="s">
        <v>257</v>
      </c>
      <c r="H241" t="s">
        <v>10</v>
      </c>
      <c r="I241">
        <v>7.9360458194175088E-2</v>
      </c>
      <c r="J241" t="s">
        <v>6</v>
      </c>
      <c r="L241" t="s">
        <v>258</v>
      </c>
      <c r="M241" t="s">
        <v>10</v>
      </c>
      <c r="N241">
        <v>7.4265779118008399E-2</v>
      </c>
      <c r="O241" t="s">
        <v>6</v>
      </c>
    </row>
    <row r="242" spans="2:15" x14ac:dyDescent="0.45">
      <c r="B242" t="s">
        <v>256</v>
      </c>
      <c r="C242" t="s">
        <v>11</v>
      </c>
      <c r="D242">
        <v>5.4042105426307654E-3</v>
      </c>
      <c r="E242" t="s">
        <v>6</v>
      </c>
      <c r="G242" t="s">
        <v>257</v>
      </c>
      <c r="H242" t="s">
        <v>11</v>
      </c>
      <c r="I242">
        <v>7.6055864023431646E-2</v>
      </c>
      <c r="J242" t="s">
        <v>6</v>
      </c>
      <c r="L242" t="s">
        <v>258</v>
      </c>
      <c r="M242" t="s">
        <v>11</v>
      </c>
      <c r="N242">
        <v>7.7015981023851487E-2</v>
      </c>
      <c r="O242" t="s">
        <v>6</v>
      </c>
    </row>
    <row r="243" spans="2:15" x14ac:dyDescent="0.45">
      <c r="B243" t="s">
        <v>256</v>
      </c>
      <c r="C243" t="s">
        <v>12</v>
      </c>
      <c r="D243">
        <v>0.32901976414529815</v>
      </c>
      <c r="E243" t="s">
        <v>6</v>
      </c>
      <c r="G243" t="s">
        <v>257</v>
      </c>
      <c r="H243" t="s">
        <v>12</v>
      </c>
      <c r="I243">
        <v>9.9238588764516494E-2</v>
      </c>
      <c r="J243" t="s">
        <v>6</v>
      </c>
      <c r="L243" t="s">
        <v>258</v>
      </c>
      <c r="M243" t="s">
        <v>12</v>
      </c>
      <c r="N243">
        <v>9.5931218156123418E-2</v>
      </c>
      <c r="O243" t="s">
        <v>6</v>
      </c>
    </row>
    <row r="244" spans="2:15" x14ac:dyDescent="0.45">
      <c r="B244" t="s">
        <v>256</v>
      </c>
      <c r="C244" t="s">
        <v>13</v>
      </c>
      <c r="D244">
        <v>1.2587238058416432E-2</v>
      </c>
      <c r="E244" t="s">
        <v>6</v>
      </c>
      <c r="G244" t="s">
        <v>257</v>
      </c>
      <c r="H244" t="s">
        <v>13</v>
      </c>
      <c r="I244">
        <v>6.1549719874788605E-2</v>
      </c>
      <c r="J244" t="s">
        <v>6</v>
      </c>
      <c r="L244" t="s">
        <v>258</v>
      </c>
      <c r="M244" t="s">
        <v>13</v>
      </c>
      <c r="N244">
        <v>6.2128827064375593E-2</v>
      </c>
      <c r="O244" t="s">
        <v>6</v>
      </c>
    </row>
    <row r="245" spans="2:15" x14ac:dyDescent="0.45">
      <c r="B245" t="s">
        <v>256</v>
      </c>
      <c r="C245" t="s">
        <v>14</v>
      </c>
      <c r="D245">
        <v>9.3512297627097174E-3</v>
      </c>
      <c r="E245" t="s">
        <v>6</v>
      </c>
      <c r="G245" t="s">
        <v>257</v>
      </c>
      <c r="H245" t="s">
        <v>14</v>
      </c>
      <c r="I245">
        <v>6.3853064456674727E-2</v>
      </c>
      <c r="J245" t="s">
        <v>6</v>
      </c>
      <c r="L245" t="s">
        <v>258</v>
      </c>
      <c r="M245" t="s">
        <v>14</v>
      </c>
      <c r="N245">
        <v>6.9900404068939215E-2</v>
      </c>
      <c r="O245" t="s">
        <v>6</v>
      </c>
    </row>
    <row r="246" spans="2:15" x14ac:dyDescent="0.45">
      <c r="B246" t="s">
        <v>256</v>
      </c>
      <c r="C246" t="s">
        <v>15</v>
      </c>
      <c r="D246">
        <v>0.33347872677285956</v>
      </c>
      <c r="E246" t="s">
        <v>6</v>
      </c>
      <c r="G246" t="s">
        <v>257</v>
      </c>
      <c r="H246" t="s">
        <v>15</v>
      </c>
      <c r="I246">
        <v>8.3529477993661116E-2</v>
      </c>
      <c r="J246" t="s">
        <v>6</v>
      </c>
      <c r="L246" t="s">
        <v>258</v>
      </c>
      <c r="M246" t="s">
        <v>15</v>
      </c>
      <c r="N246">
        <v>8.680389644535505E-2</v>
      </c>
      <c r="O246" t="s">
        <v>6</v>
      </c>
    </row>
    <row r="247" spans="2:15" x14ac:dyDescent="0.45">
      <c r="B247" t="s">
        <v>256</v>
      </c>
      <c r="C247" t="s">
        <v>16</v>
      </c>
      <c r="D247">
        <v>2.1723653414286875E-2</v>
      </c>
      <c r="E247" t="s">
        <v>6</v>
      </c>
      <c r="G247" t="s">
        <v>257</v>
      </c>
      <c r="H247" t="s">
        <v>16</v>
      </c>
      <c r="I247">
        <v>4.77871180625032E-2</v>
      </c>
      <c r="J247" t="s">
        <v>6</v>
      </c>
      <c r="L247" t="s">
        <v>258</v>
      </c>
      <c r="M247" t="s">
        <v>16</v>
      </c>
      <c r="N247">
        <v>5.2619242733690418E-2</v>
      </c>
      <c r="O247" t="s">
        <v>6</v>
      </c>
    </row>
    <row r="248" spans="2:15" x14ac:dyDescent="0.45">
      <c r="B248" t="s">
        <v>256</v>
      </c>
      <c r="C248" t="s">
        <v>17</v>
      </c>
      <c r="D248">
        <v>3.6681701981929271E-4</v>
      </c>
      <c r="E248" t="s">
        <v>6</v>
      </c>
      <c r="G248" t="s">
        <v>257</v>
      </c>
      <c r="H248" t="s">
        <v>17</v>
      </c>
      <c r="I248">
        <v>8.467788248603926E-2</v>
      </c>
      <c r="J248" t="s">
        <v>6</v>
      </c>
      <c r="L248" t="s">
        <v>258</v>
      </c>
      <c r="M248" t="s">
        <v>17</v>
      </c>
      <c r="N248">
        <v>8.8218605847601869E-2</v>
      </c>
      <c r="O248" t="s">
        <v>6</v>
      </c>
    </row>
    <row r="249" spans="2:15" x14ac:dyDescent="0.45">
      <c r="B249" t="s">
        <v>256</v>
      </c>
      <c r="C249" t="s">
        <v>18</v>
      </c>
      <c r="D249">
        <v>0.17396826255151465</v>
      </c>
      <c r="E249" t="s">
        <v>6</v>
      </c>
      <c r="G249" t="s">
        <v>257</v>
      </c>
      <c r="H249" t="s">
        <v>18</v>
      </c>
      <c r="I249">
        <v>0.11060598272748728</v>
      </c>
      <c r="J249" t="s">
        <v>6</v>
      </c>
      <c r="L249" t="s">
        <v>258</v>
      </c>
      <c r="M249" t="s">
        <v>18</v>
      </c>
      <c r="N249">
        <v>0.10572367186708326</v>
      </c>
      <c r="O249" t="s">
        <v>6</v>
      </c>
    </row>
    <row r="250" spans="2:15" x14ac:dyDescent="0.45">
      <c r="B250" t="s">
        <v>256</v>
      </c>
      <c r="C250" t="s">
        <v>19</v>
      </c>
      <c r="D250">
        <v>1.4842019786745697E-3</v>
      </c>
      <c r="E250" t="s">
        <v>6</v>
      </c>
      <c r="G250" t="s">
        <v>257</v>
      </c>
      <c r="H250" t="s">
        <v>19</v>
      </c>
      <c r="I250">
        <v>6.5511488991368827E-2</v>
      </c>
      <c r="J250" t="s">
        <v>6</v>
      </c>
      <c r="L250" t="s">
        <v>258</v>
      </c>
      <c r="M250" t="s">
        <v>19</v>
      </c>
      <c r="N250">
        <v>6.5990931198405156E-2</v>
      </c>
      <c r="O250" t="s">
        <v>6</v>
      </c>
    </row>
    <row r="251" spans="2:15" x14ac:dyDescent="0.45">
      <c r="B251" t="s">
        <v>259</v>
      </c>
      <c r="C251" t="s">
        <v>5</v>
      </c>
      <c r="D251">
        <v>0</v>
      </c>
      <c r="E251" t="s">
        <v>6</v>
      </c>
      <c r="G251" t="s">
        <v>260</v>
      </c>
      <c r="H251" t="s">
        <v>5</v>
      </c>
      <c r="I251">
        <v>0.10394981644510551</v>
      </c>
      <c r="J251" t="s">
        <v>6</v>
      </c>
      <c r="L251" t="s">
        <v>261</v>
      </c>
      <c r="M251" t="s">
        <v>5</v>
      </c>
      <c r="N251">
        <v>9.7042578728270892E-2</v>
      </c>
      <c r="O251" t="s">
        <v>6</v>
      </c>
    </row>
    <row r="252" spans="2:15" x14ac:dyDescent="0.45">
      <c r="B252" t="s">
        <v>259</v>
      </c>
      <c r="C252" t="s">
        <v>9</v>
      </c>
      <c r="D252">
        <v>0.10460857314588155</v>
      </c>
      <c r="E252" t="s">
        <v>6</v>
      </c>
      <c r="G252" t="s">
        <v>260</v>
      </c>
      <c r="H252" t="s">
        <v>9</v>
      </c>
      <c r="I252">
        <v>0.12542627431861714</v>
      </c>
      <c r="J252" t="s">
        <v>6</v>
      </c>
      <c r="L252" t="s">
        <v>261</v>
      </c>
      <c r="M252" t="s">
        <v>9</v>
      </c>
      <c r="N252">
        <v>0.12386642144046353</v>
      </c>
      <c r="O252" t="s">
        <v>6</v>
      </c>
    </row>
    <row r="253" spans="2:15" x14ac:dyDescent="0.45">
      <c r="B253" t="s">
        <v>259</v>
      </c>
      <c r="C253" t="s">
        <v>10</v>
      </c>
      <c r="D253">
        <v>2.8595170155006804E-4</v>
      </c>
      <c r="E253" t="s">
        <v>6</v>
      </c>
      <c r="G253" t="s">
        <v>260</v>
      </c>
      <c r="H253" t="s">
        <v>10</v>
      </c>
      <c r="I253">
        <v>7.8979046386091073E-2</v>
      </c>
      <c r="J253" t="s">
        <v>6</v>
      </c>
      <c r="L253" t="s">
        <v>261</v>
      </c>
      <c r="M253" t="s">
        <v>10</v>
      </c>
      <c r="N253">
        <v>7.4241690440702043E-2</v>
      </c>
      <c r="O253" t="s">
        <v>6</v>
      </c>
    </row>
    <row r="254" spans="2:15" x14ac:dyDescent="0.45">
      <c r="B254" t="s">
        <v>259</v>
      </c>
      <c r="C254" t="s">
        <v>11</v>
      </c>
      <c r="D254">
        <v>3.9465901474005438E-3</v>
      </c>
      <c r="E254" t="s">
        <v>6</v>
      </c>
      <c r="G254" t="s">
        <v>260</v>
      </c>
      <c r="H254" t="s">
        <v>11</v>
      </c>
      <c r="I254">
        <v>7.8457917072064884E-2</v>
      </c>
      <c r="J254" t="s">
        <v>6</v>
      </c>
      <c r="L254" t="s">
        <v>261</v>
      </c>
      <c r="M254" t="s">
        <v>11</v>
      </c>
      <c r="N254">
        <v>8.1951159605867047E-2</v>
      </c>
      <c r="O254" t="s">
        <v>6</v>
      </c>
    </row>
    <row r="255" spans="2:15" x14ac:dyDescent="0.45">
      <c r="B255" t="s">
        <v>259</v>
      </c>
      <c r="C255" t="s">
        <v>12</v>
      </c>
      <c r="D255">
        <v>0.32624537665117831</v>
      </c>
      <c r="E255" t="s">
        <v>6</v>
      </c>
      <c r="G255" t="s">
        <v>260</v>
      </c>
      <c r="H255" t="s">
        <v>12</v>
      </c>
      <c r="I255">
        <v>0.10149216046232648</v>
      </c>
      <c r="J255" t="s">
        <v>6</v>
      </c>
      <c r="L255" t="s">
        <v>261</v>
      </c>
      <c r="M255" t="s">
        <v>12</v>
      </c>
      <c r="N255">
        <v>9.8121566500871518E-2</v>
      </c>
      <c r="O255" t="s">
        <v>6</v>
      </c>
    </row>
    <row r="256" spans="2:15" x14ac:dyDescent="0.45">
      <c r="B256" t="s">
        <v>259</v>
      </c>
      <c r="C256" t="s">
        <v>13</v>
      </c>
      <c r="D256">
        <v>1.3538703234584452E-2</v>
      </c>
      <c r="E256" t="s">
        <v>6</v>
      </c>
      <c r="G256" t="s">
        <v>260</v>
      </c>
      <c r="H256" t="s">
        <v>13</v>
      </c>
      <c r="I256">
        <v>6.214124352508979E-2</v>
      </c>
      <c r="J256" t="s">
        <v>6</v>
      </c>
      <c r="L256" t="s">
        <v>261</v>
      </c>
      <c r="M256" t="s">
        <v>13</v>
      </c>
      <c r="N256">
        <v>6.2432276060011491E-2</v>
      </c>
      <c r="O256" t="s">
        <v>6</v>
      </c>
    </row>
    <row r="257" spans="2:15" x14ac:dyDescent="0.45">
      <c r="B257" t="s">
        <v>259</v>
      </c>
      <c r="C257" t="s">
        <v>14</v>
      </c>
      <c r="D257">
        <v>7.6117339770094541E-3</v>
      </c>
      <c r="E257" t="s">
        <v>6</v>
      </c>
      <c r="G257" t="s">
        <v>260</v>
      </c>
      <c r="H257" t="s">
        <v>14</v>
      </c>
      <c r="I257">
        <v>6.2329905877164284E-2</v>
      </c>
      <c r="J257" t="s">
        <v>6</v>
      </c>
      <c r="L257" t="s">
        <v>261</v>
      </c>
      <c r="M257" t="s">
        <v>14</v>
      </c>
      <c r="N257">
        <v>6.6633199462826573E-2</v>
      </c>
      <c r="O257" t="s">
        <v>6</v>
      </c>
    </row>
    <row r="258" spans="2:15" x14ac:dyDescent="0.45">
      <c r="B258" t="s">
        <v>259</v>
      </c>
      <c r="C258" t="s">
        <v>15</v>
      </c>
      <c r="D258">
        <v>0.339178143317868</v>
      </c>
      <c r="E258" t="s">
        <v>6</v>
      </c>
      <c r="G258" t="s">
        <v>260</v>
      </c>
      <c r="H258" t="s">
        <v>15</v>
      </c>
      <c r="I258">
        <v>7.8561234145121062E-2</v>
      </c>
      <c r="J258" t="s">
        <v>6</v>
      </c>
      <c r="L258" t="s">
        <v>261</v>
      </c>
      <c r="M258" t="s">
        <v>15</v>
      </c>
      <c r="N258">
        <v>8.8300443059854947E-2</v>
      </c>
      <c r="O258" t="s">
        <v>6</v>
      </c>
    </row>
    <row r="259" spans="2:15" x14ac:dyDescent="0.45">
      <c r="B259" t="s">
        <v>259</v>
      </c>
      <c r="C259" t="s">
        <v>16</v>
      </c>
      <c r="D259">
        <v>2.2026194071271054E-2</v>
      </c>
      <c r="E259" t="s">
        <v>6</v>
      </c>
      <c r="G259" t="s">
        <v>260</v>
      </c>
      <c r="H259" t="s">
        <v>16</v>
      </c>
      <c r="I259">
        <v>4.5429853113402932E-2</v>
      </c>
      <c r="J259" t="s">
        <v>6</v>
      </c>
      <c r="L259" t="s">
        <v>261</v>
      </c>
      <c r="M259" t="s">
        <v>16</v>
      </c>
      <c r="N259">
        <v>5.2326543906777864E-2</v>
      </c>
      <c r="O259" t="s">
        <v>6</v>
      </c>
    </row>
    <row r="260" spans="2:15" x14ac:dyDescent="0.45">
      <c r="B260" t="s">
        <v>259</v>
      </c>
      <c r="C260" t="s">
        <v>17</v>
      </c>
      <c r="D260">
        <v>2.6500965546035485E-4</v>
      </c>
      <c r="E260" t="s">
        <v>6</v>
      </c>
      <c r="G260" t="s">
        <v>260</v>
      </c>
      <c r="H260" t="s">
        <v>17</v>
      </c>
      <c r="I260">
        <v>8.536988398194971E-2</v>
      </c>
      <c r="J260" t="s">
        <v>6</v>
      </c>
      <c r="L260" t="s">
        <v>261</v>
      </c>
      <c r="M260" t="s">
        <v>17</v>
      </c>
      <c r="N260">
        <v>8.4113788218999272E-2</v>
      </c>
      <c r="O260" t="s">
        <v>6</v>
      </c>
    </row>
    <row r="261" spans="2:15" x14ac:dyDescent="0.45">
      <c r="B261" t="s">
        <v>259</v>
      </c>
      <c r="C261" t="s">
        <v>18</v>
      </c>
      <c r="D261">
        <v>0.18054948114442454</v>
      </c>
      <c r="E261" t="s">
        <v>6</v>
      </c>
      <c r="G261" t="s">
        <v>260</v>
      </c>
      <c r="H261" t="s">
        <v>18</v>
      </c>
      <c r="I261">
        <v>0.1126698762795707</v>
      </c>
      <c r="J261" t="s">
        <v>6</v>
      </c>
      <c r="L261" t="s">
        <v>261</v>
      </c>
      <c r="M261" t="s">
        <v>18</v>
      </c>
      <c r="N261">
        <v>0.10771288272310744</v>
      </c>
      <c r="O261" t="s">
        <v>6</v>
      </c>
    </row>
    <row r="262" spans="2:15" x14ac:dyDescent="0.45">
      <c r="B262" t="s">
        <v>259</v>
      </c>
      <c r="C262" t="s">
        <v>19</v>
      </c>
      <c r="D262">
        <v>1.7442429533734171E-3</v>
      </c>
      <c r="E262" t="s">
        <v>6</v>
      </c>
      <c r="G262" t="s">
        <v>260</v>
      </c>
      <c r="H262" t="s">
        <v>19</v>
      </c>
      <c r="I262">
        <v>6.5192788393494377E-2</v>
      </c>
      <c r="J262" t="s">
        <v>6</v>
      </c>
      <c r="L262" t="s">
        <v>261</v>
      </c>
      <c r="M262" t="s">
        <v>19</v>
      </c>
      <c r="N262">
        <v>6.3257449852244588E-2</v>
      </c>
      <c r="O262" t="s">
        <v>6</v>
      </c>
    </row>
    <row r="263" spans="2:15" x14ac:dyDescent="0.45">
      <c r="L263" t="s">
        <v>262</v>
      </c>
      <c r="M263" t="s">
        <v>5</v>
      </c>
      <c r="N263">
        <v>9.7395312328192221E-2</v>
      </c>
      <c r="O263" t="s">
        <v>6</v>
      </c>
    </row>
    <row r="264" spans="2:15" x14ac:dyDescent="0.45">
      <c r="L264" t="s">
        <v>262</v>
      </c>
      <c r="M264" t="s">
        <v>9</v>
      </c>
      <c r="N264">
        <v>0.12208954752576696</v>
      </c>
      <c r="O264" t="s">
        <v>6</v>
      </c>
    </row>
    <row r="265" spans="2:15" x14ac:dyDescent="0.45">
      <c r="L265" t="s">
        <v>262</v>
      </c>
      <c r="M265" t="s">
        <v>10</v>
      </c>
      <c r="N265">
        <v>7.413163296028695E-2</v>
      </c>
      <c r="O265" t="s">
        <v>6</v>
      </c>
    </row>
    <row r="266" spans="2:15" x14ac:dyDescent="0.45">
      <c r="L266" t="s">
        <v>262</v>
      </c>
      <c r="M266" t="s">
        <v>11</v>
      </c>
      <c r="N266">
        <v>7.9610018050446332E-2</v>
      </c>
      <c r="O266" t="s">
        <v>6</v>
      </c>
    </row>
    <row r="267" spans="2:15" x14ac:dyDescent="0.45">
      <c r="L267" t="s">
        <v>262</v>
      </c>
      <c r="M267" t="s">
        <v>12</v>
      </c>
      <c r="N267">
        <v>9.7465277283776602E-2</v>
      </c>
      <c r="O267" t="s">
        <v>6</v>
      </c>
    </row>
    <row r="268" spans="2:15" x14ac:dyDescent="0.45">
      <c r="L268" t="s">
        <v>262</v>
      </c>
      <c r="M268" t="s">
        <v>13</v>
      </c>
      <c r="N268">
        <v>6.2121541183688789E-2</v>
      </c>
      <c r="O268" t="s">
        <v>6</v>
      </c>
    </row>
    <row r="269" spans="2:15" x14ac:dyDescent="0.45">
      <c r="L269" t="s">
        <v>262</v>
      </c>
      <c r="M269" t="s">
        <v>14</v>
      </c>
      <c r="N269">
        <v>6.7313937434905796E-2</v>
      </c>
      <c r="O269" t="s">
        <v>6</v>
      </c>
    </row>
    <row r="270" spans="2:15" x14ac:dyDescent="0.45">
      <c r="L270" t="s">
        <v>262</v>
      </c>
      <c r="M270" t="s">
        <v>15</v>
      </c>
      <c r="N270">
        <v>8.5727165309417125E-2</v>
      </c>
      <c r="O270" t="s">
        <v>6</v>
      </c>
    </row>
    <row r="271" spans="2:15" x14ac:dyDescent="0.45">
      <c r="L271" t="s">
        <v>262</v>
      </c>
      <c r="M271" t="s">
        <v>16</v>
      </c>
      <c r="N271">
        <v>5.1552232193526074E-2</v>
      </c>
      <c r="O271" t="s">
        <v>6</v>
      </c>
    </row>
    <row r="272" spans="2:15" x14ac:dyDescent="0.45">
      <c r="L272" t="s">
        <v>262</v>
      </c>
      <c r="M272" t="s">
        <v>17</v>
      </c>
      <c r="N272">
        <v>8.7093837607063004E-2</v>
      </c>
      <c r="O272" t="s">
        <v>6</v>
      </c>
    </row>
    <row r="273" spans="12:15" x14ac:dyDescent="0.45">
      <c r="L273" t="s">
        <v>262</v>
      </c>
      <c r="M273" t="s">
        <v>18</v>
      </c>
      <c r="N273">
        <v>0.10942488919507161</v>
      </c>
      <c r="O273" t="s">
        <v>6</v>
      </c>
    </row>
    <row r="274" spans="12:15" x14ac:dyDescent="0.45">
      <c r="L274" t="s">
        <v>262</v>
      </c>
      <c r="M274" t="s">
        <v>19</v>
      </c>
      <c r="N274">
        <v>6.6074608927856576E-2</v>
      </c>
      <c r="O274" t="s">
        <v>6</v>
      </c>
    </row>
    <row r="275" spans="12:15" x14ac:dyDescent="0.45">
      <c r="L275" t="s">
        <v>263</v>
      </c>
      <c r="M275" t="s">
        <v>5</v>
      </c>
      <c r="N275">
        <v>9.7005636966358624E-2</v>
      </c>
      <c r="O275" t="s">
        <v>6</v>
      </c>
    </row>
    <row r="276" spans="12:15" x14ac:dyDescent="0.45">
      <c r="L276" t="s">
        <v>263</v>
      </c>
      <c r="M276" t="s">
        <v>9</v>
      </c>
      <c r="N276">
        <v>0.11931504431256529</v>
      </c>
      <c r="O276" t="s">
        <v>6</v>
      </c>
    </row>
    <row r="277" spans="12:15" x14ac:dyDescent="0.45">
      <c r="L277" t="s">
        <v>263</v>
      </c>
      <c r="M277" t="s">
        <v>10</v>
      </c>
      <c r="N277">
        <v>7.0407919758663742E-2</v>
      </c>
      <c r="O277" t="s">
        <v>6</v>
      </c>
    </row>
    <row r="278" spans="12:15" x14ac:dyDescent="0.45">
      <c r="L278" t="s">
        <v>263</v>
      </c>
      <c r="M278" t="s">
        <v>11</v>
      </c>
      <c r="N278">
        <v>8.007712377739909E-2</v>
      </c>
      <c r="O278" t="s">
        <v>6</v>
      </c>
    </row>
    <row r="279" spans="12:15" x14ac:dyDescent="0.45">
      <c r="L279" t="s">
        <v>263</v>
      </c>
      <c r="M279" t="s">
        <v>12</v>
      </c>
      <c r="N279">
        <v>9.1123498190919625E-2</v>
      </c>
      <c r="O279" t="s">
        <v>6</v>
      </c>
    </row>
    <row r="280" spans="12:15" x14ac:dyDescent="0.45">
      <c r="L280" t="s">
        <v>263</v>
      </c>
      <c r="M280" t="s">
        <v>13</v>
      </c>
      <c r="N280">
        <v>6.0259239750630404E-2</v>
      </c>
      <c r="O280" t="s">
        <v>6</v>
      </c>
    </row>
    <row r="281" spans="12:15" x14ac:dyDescent="0.45">
      <c r="L281" t="s">
        <v>263</v>
      </c>
      <c r="M281" t="s">
        <v>14</v>
      </c>
      <c r="N281">
        <v>6.7693192548394718E-2</v>
      </c>
      <c r="O281" t="s">
        <v>6</v>
      </c>
    </row>
    <row r="282" spans="12:15" x14ac:dyDescent="0.45">
      <c r="L282" t="s">
        <v>263</v>
      </c>
      <c r="M282" t="s">
        <v>15</v>
      </c>
      <c r="N282">
        <v>9.1653776899351266E-2</v>
      </c>
      <c r="O282" t="s">
        <v>6</v>
      </c>
    </row>
    <row r="283" spans="12:15" x14ac:dyDescent="0.45">
      <c r="L283" t="s">
        <v>263</v>
      </c>
      <c r="M283" t="s">
        <v>16</v>
      </c>
      <c r="N283">
        <v>5.3473410647411887E-2</v>
      </c>
      <c r="O283" t="s">
        <v>6</v>
      </c>
    </row>
    <row r="284" spans="12:15" x14ac:dyDescent="0.45">
      <c r="L284" t="s">
        <v>263</v>
      </c>
      <c r="M284" t="s">
        <v>17</v>
      </c>
      <c r="N284">
        <v>8.9600337871095392E-2</v>
      </c>
      <c r="O284" t="s">
        <v>6</v>
      </c>
    </row>
    <row r="285" spans="12:15" x14ac:dyDescent="0.45">
      <c r="L285" t="s">
        <v>263</v>
      </c>
      <c r="M285" t="s">
        <v>18</v>
      </c>
      <c r="N285">
        <v>0.11228102796787183</v>
      </c>
      <c r="O285" t="s">
        <v>6</v>
      </c>
    </row>
    <row r="286" spans="12:15" x14ac:dyDescent="0.45">
      <c r="L286" t="s">
        <v>263</v>
      </c>
      <c r="M286" t="s">
        <v>19</v>
      </c>
      <c r="N286">
        <v>6.7109791309342609E-2</v>
      </c>
      <c r="O286" t="s">
        <v>6</v>
      </c>
    </row>
    <row r="287" spans="12:15" x14ac:dyDescent="0.45">
      <c r="L287" t="s">
        <v>264</v>
      </c>
      <c r="M287" t="s">
        <v>5</v>
      </c>
      <c r="N287">
        <v>9.6572090195766347E-2</v>
      </c>
      <c r="O287" t="s">
        <v>6</v>
      </c>
    </row>
    <row r="288" spans="12:15" x14ac:dyDescent="0.45">
      <c r="L288" t="s">
        <v>264</v>
      </c>
      <c r="M288" t="s">
        <v>9</v>
      </c>
      <c r="N288">
        <v>0.11500892260792964</v>
      </c>
      <c r="O288" t="s">
        <v>6</v>
      </c>
    </row>
    <row r="289" spans="12:15" x14ac:dyDescent="0.45">
      <c r="L289" t="s">
        <v>264</v>
      </c>
      <c r="M289" t="s">
        <v>10</v>
      </c>
      <c r="N289">
        <v>6.9540833071796121E-2</v>
      </c>
      <c r="O289" t="s">
        <v>6</v>
      </c>
    </row>
    <row r="290" spans="12:15" x14ac:dyDescent="0.45">
      <c r="L290" t="s">
        <v>264</v>
      </c>
      <c r="M290" t="s">
        <v>11</v>
      </c>
      <c r="N290">
        <v>7.9082282537509069E-2</v>
      </c>
      <c r="O290" t="s">
        <v>6</v>
      </c>
    </row>
    <row r="291" spans="12:15" x14ac:dyDescent="0.45">
      <c r="L291" t="s">
        <v>264</v>
      </c>
      <c r="M291" t="s">
        <v>12</v>
      </c>
      <c r="N291">
        <v>9.0478110336838349E-2</v>
      </c>
      <c r="O291" t="s">
        <v>6</v>
      </c>
    </row>
    <row r="292" spans="12:15" x14ac:dyDescent="0.45">
      <c r="L292" t="s">
        <v>264</v>
      </c>
      <c r="M292" t="s">
        <v>13</v>
      </c>
      <c r="N292">
        <v>5.8865016797642979E-2</v>
      </c>
      <c r="O292" t="s">
        <v>6</v>
      </c>
    </row>
    <row r="293" spans="12:15" x14ac:dyDescent="0.45">
      <c r="L293" t="s">
        <v>264</v>
      </c>
      <c r="M293" t="s">
        <v>14</v>
      </c>
      <c r="N293">
        <v>6.6474370961097498E-2</v>
      </c>
      <c r="O293" t="s">
        <v>6</v>
      </c>
    </row>
    <row r="294" spans="12:15" x14ac:dyDescent="0.45">
      <c r="L294" t="s">
        <v>264</v>
      </c>
      <c r="M294" t="s">
        <v>15</v>
      </c>
      <c r="N294">
        <v>9.1210146180002741E-2</v>
      </c>
      <c r="O294" t="s">
        <v>6</v>
      </c>
    </row>
    <row r="295" spans="12:15" x14ac:dyDescent="0.45">
      <c r="L295" t="s">
        <v>264</v>
      </c>
      <c r="M295" t="s">
        <v>16</v>
      </c>
      <c r="N295">
        <v>5.0563446670768813E-2</v>
      </c>
      <c r="O295" t="s">
        <v>6</v>
      </c>
    </row>
    <row r="296" spans="12:15" x14ac:dyDescent="0.45">
      <c r="L296" t="s">
        <v>264</v>
      </c>
      <c r="M296" t="s">
        <v>17</v>
      </c>
      <c r="N296">
        <v>9.4747695533079157E-2</v>
      </c>
      <c r="O296" t="s">
        <v>6</v>
      </c>
    </row>
    <row r="297" spans="12:15" x14ac:dyDescent="0.45">
      <c r="L297" t="s">
        <v>264</v>
      </c>
      <c r="M297" t="s">
        <v>18</v>
      </c>
      <c r="N297">
        <v>0.11625912265717395</v>
      </c>
      <c r="O297" t="s">
        <v>6</v>
      </c>
    </row>
    <row r="298" spans="12:15" x14ac:dyDescent="0.45">
      <c r="L298" t="s">
        <v>264</v>
      </c>
      <c r="M298" t="s">
        <v>19</v>
      </c>
      <c r="N298">
        <v>7.1197962450394378E-2</v>
      </c>
      <c r="O298" t="s">
        <v>6</v>
      </c>
    </row>
    <row r="299" spans="12:15" x14ac:dyDescent="0.45">
      <c r="L299" t="s">
        <v>265</v>
      </c>
      <c r="M299" t="s">
        <v>5</v>
      </c>
      <c r="N299">
        <v>9.8125132642319132E-2</v>
      </c>
      <c r="O299" t="s">
        <v>6</v>
      </c>
    </row>
    <row r="300" spans="12:15" x14ac:dyDescent="0.45">
      <c r="L300" t="s">
        <v>265</v>
      </c>
      <c r="M300" t="s">
        <v>9</v>
      </c>
      <c r="N300">
        <v>0.11756478376248757</v>
      </c>
      <c r="O300" t="s">
        <v>6</v>
      </c>
    </row>
    <row r="301" spans="12:15" x14ac:dyDescent="0.45">
      <c r="L301" t="s">
        <v>265</v>
      </c>
      <c r="M301" t="s">
        <v>10</v>
      </c>
      <c r="N301">
        <v>7.1732615297586538E-2</v>
      </c>
      <c r="O301" t="s">
        <v>6</v>
      </c>
    </row>
    <row r="302" spans="12:15" x14ac:dyDescent="0.45">
      <c r="L302" t="s">
        <v>265</v>
      </c>
      <c r="M302" t="s">
        <v>11</v>
      </c>
      <c r="N302">
        <v>8.0356435864513076E-2</v>
      </c>
      <c r="O302" t="s">
        <v>6</v>
      </c>
    </row>
    <row r="303" spans="12:15" x14ac:dyDescent="0.45">
      <c r="L303" t="s">
        <v>265</v>
      </c>
      <c r="M303" t="s">
        <v>12</v>
      </c>
      <c r="N303">
        <v>9.6313155225143832E-2</v>
      </c>
      <c r="O303" t="s">
        <v>6</v>
      </c>
    </row>
    <row r="304" spans="12:15" x14ac:dyDescent="0.45">
      <c r="L304" t="s">
        <v>265</v>
      </c>
      <c r="M304" t="s">
        <v>13</v>
      </c>
      <c r="N304">
        <v>6.0959523805565914E-2</v>
      </c>
      <c r="O304" t="s">
        <v>6</v>
      </c>
    </row>
    <row r="305" spans="12:15" x14ac:dyDescent="0.45">
      <c r="L305" t="s">
        <v>265</v>
      </c>
      <c r="M305" t="s">
        <v>14</v>
      </c>
      <c r="N305">
        <v>6.5812903611887075E-2</v>
      </c>
      <c r="O305" t="s">
        <v>6</v>
      </c>
    </row>
    <row r="306" spans="12:15" x14ac:dyDescent="0.45">
      <c r="L306" t="s">
        <v>265</v>
      </c>
      <c r="M306" t="s">
        <v>15</v>
      </c>
      <c r="N306">
        <v>8.8101057996984061E-2</v>
      </c>
      <c r="O306" t="s">
        <v>6</v>
      </c>
    </row>
    <row r="307" spans="12:15" x14ac:dyDescent="0.45">
      <c r="L307" t="s">
        <v>265</v>
      </c>
      <c r="M307" t="s">
        <v>16</v>
      </c>
      <c r="N307">
        <v>4.7922829325387502E-2</v>
      </c>
      <c r="O307" t="s">
        <v>6</v>
      </c>
    </row>
    <row r="308" spans="12:15" x14ac:dyDescent="0.45">
      <c r="L308" t="s">
        <v>265</v>
      </c>
      <c r="M308" t="s">
        <v>17</v>
      </c>
      <c r="N308">
        <v>9.1838687676070896E-2</v>
      </c>
      <c r="O308" t="s">
        <v>6</v>
      </c>
    </row>
    <row r="309" spans="12:15" x14ac:dyDescent="0.45">
      <c r="L309" t="s">
        <v>265</v>
      </c>
      <c r="M309" t="s">
        <v>18</v>
      </c>
      <c r="N309">
        <v>0.11239110692940833</v>
      </c>
      <c r="O309" t="s">
        <v>6</v>
      </c>
    </row>
    <row r="310" spans="12:15" x14ac:dyDescent="0.45">
      <c r="L310" t="s">
        <v>265</v>
      </c>
      <c r="M310" t="s">
        <v>19</v>
      </c>
      <c r="N310">
        <v>6.8881767862643134E-2</v>
      </c>
      <c r="O310" t="s">
        <v>6</v>
      </c>
    </row>
    <row r="311" spans="12:15" x14ac:dyDescent="0.45">
      <c r="L311" t="s">
        <v>266</v>
      </c>
      <c r="M311" t="s">
        <v>5</v>
      </c>
      <c r="N311">
        <v>9.7192583446063865E-2</v>
      </c>
      <c r="O311" t="s">
        <v>6</v>
      </c>
    </row>
    <row r="312" spans="12:15" x14ac:dyDescent="0.45">
      <c r="L312" t="s">
        <v>266</v>
      </c>
      <c r="M312" t="s">
        <v>9</v>
      </c>
      <c r="N312">
        <v>0.11894287359159329</v>
      </c>
      <c r="O312" t="s">
        <v>6</v>
      </c>
    </row>
    <row r="313" spans="12:15" x14ac:dyDescent="0.45">
      <c r="L313" t="s">
        <v>266</v>
      </c>
      <c r="M313" t="s">
        <v>10</v>
      </c>
      <c r="N313">
        <v>7.5020405530051848E-2</v>
      </c>
      <c r="O313" t="s">
        <v>6</v>
      </c>
    </row>
    <row r="314" spans="12:15" x14ac:dyDescent="0.45">
      <c r="L314" t="s">
        <v>266</v>
      </c>
      <c r="M314" t="s">
        <v>11</v>
      </c>
      <c r="N314">
        <v>8.801530415350628E-2</v>
      </c>
      <c r="O314" t="s">
        <v>6</v>
      </c>
    </row>
    <row r="315" spans="12:15" x14ac:dyDescent="0.45">
      <c r="L315" t="s">
        <v>266</v>
      </c>
      <c r="M315" t="s">
        <v>12</v>
      </c>
      <c r="N315">
        <v>0.10979121269383345</v>
      </c>
      <c r="O315" t="s">
        <v>6</v>
      </c>
    </row>
    <row r="316" spans="12:15" x14ac:dyDescent="0.45">
      <c r="L316" t="s">
        <v>266</v>
      </c>
      <c r="M316" t="s">
        <v>13</v>
      </c>
      <c r="N316">
        <v>6.7204378800777786E-2</v>
      </c>
      <c r="O316" t="s">
        <v>6</v>
      </c>
    </row>
    <row r="317" spans="12:15" x14ac:dyDescent="0.45">
      <c r="L317" t="s">
        <v>266</v>
      </c>
      <c r="M317" t="s">
        <v>14</v>
      </c>
      <c r="N317">
        <v>5.9217351611791681E-2</v>
      </c>
      <c r="O317" t="s">
        <v>6</v>
      </c>
    </row>
    <row r="318" spans="12:15" x14ac:dyDescent="0.45">
      <c r="L318" t="s">
        <v>266</v>
      </c>
      <c r="M318" t="s">
        <v>15</v>
      </c>
      <c r="N318">
        <v>6.3259758569564492E-2</v>
      </c>
      <c r="O318" t="s">
        <v>6</v>
      </c>
    </row>
    <row r="319" spans="12:15" x14ac:dyDescent="0.45">
      <c r="L319" t="s">
        <v>266</v>
      </c>
      <c r="M319" t="s">
        <v>16</v>
      </c>
      <c r="N319">
        <v>4.0878124853898162E-2</v>
      </c>
      <c r="O319" t="s">
        <v>6</v>
      </c>
    </row>
    <row r="320" spans="12:15" x14ac:dyDescent="0.45">
      <c r="L320" t="s">
        <v>266</v>
      </c>
      <c r="M320" t="s">
        <v>17</v>
      </c>
      <c r="N320">
        <v>9.3921682068636395E-2</v>
      </c>
      <c r="O320" t="s">
        <v>6</v>
      </c>
    </row>
    <row r="321" spans="12:15" x14ac:dyDescent="0.45">
      <c r="L321" t="s">
        <v>266</v>
      </c>
      <c r="M321" t="s">
        <v>18</v>
      </c>
      <c r="N321">
        <v>0.11650078456899793</v>
      </c>
      <c r="O321" t="s">
        <v>6</v>
      </c>
    </row>
    <row r="322" spans="12:15" x14ac:dyDescent="0.45">
      <c r="L322" t="s">
        <v>266</v>
      </c>
      <c r="M322" t="s">
        <v>19</v>
      </c>
      <c r="N322">
        <v>7.005554011128455E-2</v>
      </c>
      <c r="O322" t="s">
        <v>6</v>
      </c>
    </row>
    <row r="323" spans="12:15" x14ac:dyDescent="0.45">
      <c r="L323" t="s">
        <v>267</v>
      </c>
      <c r="M323" t="s">
        <v>5</v>
      </c>
      <c r="N323">
        <v>0.10206306839666845</v>
      </c>
      <c r="O323" t="s">
        <v>6</v>
      </c>
    </row>
    <row r="324" spans="12:15" x14ac:dyDescent="0.45">
      <c r="L324" t="s">
        <v>267</v>
      </c>
      <c r="M324" t="s">
        <v>9</v>
      </c>
      <c r="N324">
        <v>0.12576992815227192</v>
      </c>
      <c r="O324" t="s">
        <v>6</v>
      </c>
    </row>
    <row r="325" spans="12:15" x14ac:dyDescent="0.45">
      <c r="L325" t="s">
        <v>267</v>
      </c>
      <c r="M325" t="s">
        <v>10</v>
      </c>
      <c r="N325">
        <v>7.9057001008203787E-2</v>
      </c>
      <c r="O325" t="s">
        <v>6</v>
      </c>
    </row>
    <row r="326" spans="12:15" x14ac:dyDescent="0.45">
      <c r="L326" t="s">
        <v>267</v>
      </c>
      <c r="M326" t="s">
        <v>11</v>
      </c>
      <c r="N326">
        <v>8.9549778294433446E-2</v>
      </c>
      <c r="O326" t="s">
        <v>6</v>
      </c>
    </row>
    <row r="327" spans="12:15" x14ac:dyDescent="0.45">
      <c r="L327" t="s">
        <v>267</v>
      </c>
      <c r="M327" t="s">
        <v>12</v>
      </c>
      <c r="N327">
        <v>0.11038159741360973</v>
      </c>
      <c r="O327" t="s">
        <v>6</v>
      </c>
    </row>
    <row r="328" spans="12:15" x14ac:dyDescent="0.45">
      <c r="L328" t="s">
        <v>267</v>
      </c>
      <c r="M328" t="s">
        <v>13</v>
      </c>
      <c r="N328">
        <v>6.5247943055865343E-2</v>
      </c>
      <c r="O328" t="s">
        <v>6</v>
      </c>
    </row>
    <row r="329" spans="12:15" x14ac:dyDescent="0.45">
      <c r="L329" t="s">
        <v>267</v>
      </c>
      <c r="M329" t="s">
        <v>14</v>
      </c>
      <c r="N329">
        <v>4.7722475459738629E-2</v>
      </c>
      <c r="O329" t="s">
        <v>6</v>
      </c>
    </row>
    <row r="330" spans="12:15" x14ac:dyDescent="0.45">
      <c r="L330" t="s">
        <v>267</v>
      </c>
      <c r="M330" t="s">
        <v>15</v>
      </c>
      <c r="N330">
        <v>5.3776634827759059E-2</v>
      </c>
      <c r="O330" t="s">
        <v>6</v>
      </c>
    </row>
    <row r="331" spans="12:15" x14ac:dyDescent="0.45">
      <c r="L331" t="s">
        <v>267</v>
      </c>
      <c r="M331" t="s">
        <v>16</v>
      </c>
      <c r="N331">
        <v>3.737125060858415E-2</v>
      </c>
      <c r="O331" t="s">
        <v>6</v>
      </c>
    </row>
    <row r="332" spans="12:15" x14ac:dyDescent="0.45">
      <c r="L332" t="s">
        <v>267</v>
      </c>
      <c r="M332" t="s">
        <v>17</v>
      </c>
      <c r="N332">
        <v>9.6504857280784687E-2</v>
      </c>
      <c r="O332" t="s">
        <v>6</v>
      </c>
    </row>
    <row r="333" spans="12:15" x14ac:dyDescent="0.45">
      <c r="L333" t="s">
        <v>267</v>
      </c>
      <c r="M333" t="s">
        <v>18</v>
      </c>
      <c r="N333">
        <v>0.11767859188768506</v>
      </c>
      <c r="O333" t="s">
        <v>6</v>
      </c>
    </row>
    <row r="334" spans="12:15" x14ac:dyDescent="0.45">
      <c r="L334" t="s">
        <v>267</v>
      </c>
      <c r="M334" t="s">
        <v>19</v>
      </c>
      <c r="N334">
        <v>7.4876873614393186E-2</v>
      </c>
      <c r="O334" t="s">
        <v>6</v>
      </c>
    </row>
    <row r="335" spans="12:15" x14ac:dyDescent="0.45">
      <c r="L335" t="s">
        <v>268</v>
      </c>
      <c r="M335" t="s">
        <v>5</v>
      </c>
      <c r="N335">
        <v>9.8386874679632599E-2</v>
      </c>
      <c r="O335" t="s">
        <v>6</v>
      </c>
    </row>
    <row r="336" spans="12:15" x14ac:dyDescent="0.45">
      <c r="L336" t="s">
        <v>268</v>
      </c>
      <c r="M336" t="s">
        <v>9</v>
      </c>
      <c r="N336">
        <v>0.12022465455475756</v>
      </c>
      <c r="O336" t="s">
        <v>6</v>
      </c>
    </row>
    <row r="337" spans="12:15" x14ac:dyDescent="0.45">
      <c r="L337" t="s">
        <v>268</v>
      </c>
      <c r="M337" t="s">
        <v>10</v>
      </c>
      <c r="N337">
        <v>7.5107034625042493E-2</v>
      </c>
      <c r="O337" t="s">
        <v>6</v>
      </c>
    </row>
    <row r="338" spans="12:15" x14ac:dyDescent="0.45">
      <c r="L338" t="s">
        <v>268</v>
      </c>
      <c r="M338" t="s">
        <v>11</v>
      </c>
      <c r="N338">
        <v>8.8777209959926606E-2</v>
      </c>
      <c r="O338" t="s">
        <v>6</v>
      </c>
    </row>
    <row r="339" spans="12:15" x14ac:dyDescent="0.45">
      <c r="L339" t="s">
        <v>268</v>
      </c>
      <c r="M339" t="s">
        <v>12</v>
      </c>
      <c r="N339">
        <v>0.11098648905748644</v>
      </c>
      <c r="O339" t="s">
        <v>6</v>
      </c>
    </row>
    <row r="340" spans="12:15" x14ac:dyDescent="0.45">
      <c r="L340" t="s">
        <v>268</v>
      </c>
      <c r="M340" t="s">
        <v>13</v>
      </c>
      <c r="N340">
        <v>6.6090940498317985E-2</v>
      </c>
      <c r="O340" t="s">
        <v>6</v>
      </c>
    </row>
    <row r="341" spans="12:15" x14ac:dyDescent="0.45">
      <c r="L341" t="s">
        <v>268</v>
      </c>
      <c r="M341" t="s">
        <v>14</v>
      </c>
      <c r="N341">
        <v>5.3435566739202939E-2</v>
      </c>
      <c r="O341" t="s">
        <v>6</v>
      </c>
    </row>
    <row r="342" spans="12:15" x14ac:dyDescent="0.45">
      <c r="L342" t="s">
        <v>268</v>
      </c>
      <c r="M342" t="s">
        <v>15</v>
      </c>
      <c r="N342">
        <v>5.884538854919031E-2</v>
      </c>
      <c r="O342" t="s">
        <v>6</v>
      </c>
    </row>
    <row r="343" spans="12:15" x14ac:dyDescent="0.45">
      <c r="L343" t="s">
        <v>268</v>
      </c>
      <c r="M343" t="s">
        <v>16</v>
      </c>
      <c r="N343">
        <v>3.956979366755236E-2</v>
      </c>
      <c r="O343" t="s">
        <v>6</v>
      </c>
    </row>
    <row r="344" spans="12:15" x14ac:dyDescent="0.45">
      <c r="L344" t="s">
        <v>268</v>
      </c>
      <c r="M344" t="s">
        <v>17</v>
      </c>
      <c r="N344">
        <v>9.667156475876458E-2</v>
      </c>
      <c r="O344" t="s">
        <v>6</v>
      </c>
    </row>
    <row r="345" spans="12:15" x14ac:dyDescent="0.45">
      <c r="L345" t="s">
        <v>268</v>
      </c>
      <c r="M345" t="s">
        <v>18</v>
      </c>
      <c r="N345">
        <v>0.11812493417736096</v>
      </c>
      <c r="O345" t="s">
        <v>6</v>
      </c>
    </row>
    <row r="346" spans="12:15" x14ac:dyDescent="0.45">
      <c r="L346" t="s">
        <v>268</v>
      </c>
      <c r="M346" t="s">
        <v>19</v>
      </c>
      <c r="N346">
        <v>7.3779548732767888E-2</v>
      </c>
      <c r="O346" t="s">
        <v>6</v>
      </c>
    </row>
    <row r="347" spans="12:15" x14ac:dyDescent="0.45">
      <c r="L347" t="s">
        <v>269</v>
      </c>
      <c r="M347" t="s">
        <v>5</v>
      </c>
      <c r="N347">
        <v>9.7899123903564311E-2</v>
      </c>
      <c r="O347" t="s">
        <v>6</v>
      </c>
    </row>
    <row r="348" spans="12:15" x14ac:dyDescent="0.45">
      <c r="L348" t="s">
        <v>269</v>
      </c>
      <c r="M348" t="s">
        <v>9</v>
      </c>
      <c r="N348">
        <v>0.1237402933402318</v>
      </c>
      <c r="O348" t="s">
        <v>6</v>
      </c>
    </row>
    <row r="349" spans="12:15" x14ac:dyDescent="0.45">
      <c r="L349" t="s">
        <v>269</v>
      </c>
      <c r="M349" t="s">
        <v>10</v>
      </c>
      <c r="N349">
        <v>7.1003126983331638E-2</v>
      </c>
      <c r="O349" t="s">
        <v>6</v>
      </c>
    </row>
    <row r="350" spans="12:15" x14ac:dyDescent="0.45">
      <c r="L350" t="s">
        <v>269</v>
      </c>
      <c r="M350" t="s">
        <v>11</v>
      </c>
      <c r="N350">
        <v>8.887146578961734E-2</v>
      </c>
      <c r="O350" t="s">
        <v>6</v>
      </c>
    </row>
    <row r="351" spans="12:15" x14ac:dyDescent="0.45">
      <c r="L351" t="s">
        <v>269</v>
      </c>
      <c r="M351" t="s">
        <v>12</v>
      </c>
      <c r="N351">
        <v>0.10741125027691824</v>
      </c>
      <c r="O351" t="s">
        <v>6</v>
      </c>
    </row>
    <row r="352" spans="12:15" x14ac:dyDescent="0.45">
      <c r="L352" t="s">
        <v>269</v>
      </c>
      <c r="M352" t="s">
        <v>13</v>
      </c>
      <c r="N352">
        <v>6.4578295482246847E-2</v>
      </c>
      <c r="O352" t="s">
        <v>6</v>
      </c>
    </row>
    <row r="353" spans="12:15" x14ac:dyDescent="0.45">
      <c r="L353" t="s">
        <v>269</v>
      </c>
      <c r="M353" t="s">
        <v>14</v>
      </c>
      <c r="N353">
        <v>5.3799044179087568E-2</v>
      </c>
      <c r="O353" t="s">
        <v>6</v>
      </c>
    </row>
    <row r="354" spans="12:15" x14ac:dyDescent="0.45">
      <c r="L354" t="s">
        <v>269</v>
      </c>
      <c r="M354" t="s">
        <v>15</v>
      </c>
      <c r="N354">
        <v>6.4839257810378345E-2</v>
      </c>
      <c r="O354" t="s">
        <v>6</v>
      </c>
    </row>
    <row r="355" spans="12:15" x14ac:dyDescent="0.45">
      <c r="L355" t="s">
        <v>269</v>
      </c>
      <c r="M355" t="s">
        <v>16</v>
      </c>
      <c r="N355">
        <v>4.119429493493143E-2</v>
      </c>
      <c r="O355" t="s">
        <v>6</v>
      </c>
    </row>
    <row r="356" spans="12:15" x14ac:dyDescent="0.45">
      <c r="L356" t="s">
        <v>269</v>
      </c>
      <c r="M356" t="s">
        <v>17</v>
      </c>
      <c r="N356">
        <v>9.6120275963192461E-2</v>
      </c>
      <c r="O356" t="s">
        <v>6</v>
      </c>
    </row>
    <row r="357" spans="12:15" x14ac:dyDescent="0.45">
      <c r="L357" t="s">
        <v>269</v>
      </c>
      <c r="M357" t="s">
        <v>18</v>
      </c>
      <c r="N357">
        <v>0.11600016779478145</v>
      </c>
      <c r="O357" t="s">
        <v>6</v>
      </c>
    </row>
    <row r="358" spans="12:15" x14ac:dyDescent="0.45">
      <c r="L358" t="s">
        <v>269</v>
      </c>
      <c r="M358" t="s">
        <v>19</v>
      </c>
      <c r="N358">
        <v>7.4543403541718775E-2</v>
      </c>
      <c r="O358" t="s">
        <v>6</v>
      </c>
    </row>
    <row r="359" spans="12:15" x14ac:dyDescent="0.45">
      <c r="L359" t="s">
        <v>270</v>
      </c>
      <c r="M359" t="s">
        <v>5</v>
      </c>
      <c r="N359">
        <v>9.8799905355286821E-2</v>
      </c>
      <c r="O359" t="s">
        <v>6</v>
      </c>
    </row>
    <row r="360" spans="12:15" x14ac:dyDescent="0.45">
      <c r="L360" t="s">
        <v>270</v>
      </c>
      <c r="M360" t="s">
        <v>9</v>
      </c>
      <c r="N360">
        <v>0.11978292830146374</v>
      </c>
      <c r="O360" t="s">
        <v>6</v>
      </c>
    </row>
    <row r="361" spans="12:15" x14ac:dyDescent="0.45">
      <c r="L361" t="s">
        <v>270</v>
      </c>
      <c r="M361" t="s">
        <v>10</v>
      </c>
      <c r="N361">
        <v>7.0372318513311216E-2</v>
      </c>
      <c r="O361" t="s">
        <v>6</v>
      </c>
    </row>
    <row r="362" spans="12:15" x14ac:dyDescent="0.45">
      <c r="L362" t="s">
        <v>270</v>
      </c>
      <c r="M362" t="s">
        <v>11</v>
      </c>
      <c r="N362">
        <v>8.5817825761457647E-2</v>
      </c>
      <c r="O362" t="s">
        <v>6</v>
      </c>
    </row>
    <row r="363" spans="12:15" x14ac:dyDescent="0.45">
      <c r="L363" t="s">
        <v>270</v>
      </c>
      <c r="M363" t="s">
        <v>12</v>
      </c>
      <c r="N363">
        <v>0.10045298430632379</v>
      </c>
      <c r="O363" t="s">
        <v>6</v>
      </c>
    </row>
    <row r="364" spans="12:15" x14ac:dyDescent="0.45">
      <c r="L364" t="s">
        <v>270</v>
      </c>
      <c r="M364" t="s">
        <v>13</v>
      </c>
      <c r="N364">
        <v>6.299358179911356E-2</v>
      </c>
      <c r="O364" t="s">
        <v>6</v>
      </c>
    </row>
    <row r="365" spans="12:15" x14ac:dyDescent="0.45">
      <c r="L365" t="s">
        <v>270</v>
      </c>
      <c r="M365" t="s">
        <v>14</v>
      </c>
      <c r="N365">
        <v>5.9045146826871724E-2</v>
      </c>
      <c r="O365" t="s">
        <v>6</v>
      </c>
    </row>
    <row r="366" spans="12:15" x14ac:dyDescent="0.45">
      <c r="L366" t="s">
        <v>270</v>
      </c>
      <c r="M366" t="s">
        <v>15</v>
      </c>
      <c r="N366">
        <v>7.7734534960622659E-2</v>
      </c>
      <c r="O366" t="s">
        <v>6</v>
      </c>
    </row>
    <row r="367" spans="12:15" x14ac:dyDescent="0.45">
      <c r="L367" t="s">
        <v>270</v>
      </c>
      <c r="M367" t="s">
        <v>16</v>
      </c>
      <c r="N367">
        <v>4.166744506777903E-2</v>
      </c>
      <c r="O367" t="s">
        <v>6</v>
      </c>
    </row>
    <row r="368" spans="12:15" x14ac:dyDescent="0.45">
      <c r="L368" t="s">
        <v>270</v>
      </c>
      <c r="M368" t="s">
        <v>17</v>
      </c>
      <c r="N368">
        <v>9.506548291698548E-2</v>
      </c>
      <c r="O368" t="s">
        <v>6</v>
      </c>
    </row>
    <row r="369" spans="12:15" x14ac:dyDescent="0.45">
      <c r="L369" t="s">
        <v>270</v>
      </c>
      <c r="M369" t="s">
        <v>18</v>
      </c>
      <c r="N369">
        <v>0.11565074990915064</v>
      </c>
      <c r="O369" t="s">
        <v>6</v>
      </c>
    </row>
    <row r="370" spans="12:15" x14ac:dyDescent="0.45">
      <c r="L370" t="s">
        <v>270</v>
      </c>
      <c r="M370" t="s">
        <v>19</v>
      </c>
      <c r="N370">
        <v>7.261709628163196E-2</v>
      </c>
      <c r="O370" t="s">
        <v>6</v>
      </c>
    </row>
    <row r="371" spans="12:15" x14ac:dyDescent="0.45">
      <c r="L371" t="s">
        <v>271</v>
      </c>
      <c r="M371" t="s">
        <v>5</v>
      </c>
      <c r="N371">
        <v>0.10085897360322824</v>
      </c>
      <c r="O371" t="s">
        <v>6</v>
      </c>
    </row>
    <row r="372" spans="12:15" x14ac:dyDescent="0.45">
      <c r="L372" t="s">
        <v>271</v>
      </c>
      <c r="M372" t="s">
        <v>9</v>
      </c>
      <c r="N372">
        <v>0.12597530873325369</v>
      </c>
      <c r="O372" t="s">
        <v>6</v>
      </c>
    </row>
    <row r="373" spans="12:15" x14ac:dyDescent="0.45">
      <c r="L373" t="s">
        <v>271</v>
      </c>
      <c r="M373" t="s">
        <v>10</v>
      </c>
      <c r="N373">
        <v>7.5966581642084863E-2</v>
      </c>
      <c r="O373" t="s">
        <v>6</v>
      </c>
    </row>
    <row r="374" spans="12:15" x14ac:dyDescent="0.45">
      <c r="L374" t="s">
        <v>271</v>
      </c>
      <c r="M374" t="s">
        <v>11</v>
      </c>
      <c r="N374">
        <v>8.5748539629366849E-2</v>
      </c>
      <c r="O374" t="s">
        <v>6</v>
      </c>
    </row>
    <row r="375" spans="12:15" x14ac:dyDescent="0.45">
      <c r="L375" t="s">
        <v>271</v>
      </c>
      <c r="M375" t="s">
        <v>12</v>
      </c>
      <c r="N375">
        <v>0.10569464441918713</v>
      </c>
      <c r="O375" t="s">
        <v>6</v>
      </c>
    </row>
    <row r="376" spans="12:15" x14ac:dyDescent="0.45">
      <c r="L376" t="s">
        <v>271</v>
      </c>
      <c r="M376" t="s">
        <v>13</v>
      </c>
      <c r="N376">
        <v>6.447528195189603E-2</v>
      </c>
      <c r="O376" t="s">
        <v>6</v>
      </c>
    </row>
    <row r="377" spans="12:15" x14ac:dyDescent="0.45">
      <c r="L377" t="s">
        <v>271</v>
      </c>
      <c r="M377" t="s">
        <v>14</v>
      </c>
      <c r="N377">
        <v>5.0435091959808317E-2</v>
      </c>
      <c r="O377" t="s">
        <v>6</v>
      </c>
    </row>
    <row r="378" spans="12:15" x14ac:dyDescent="0.45">
      <c r="L378" t="s">
        <v>271</v>
      </c>
      <c r="M378" t="s">
        <v>15</v>
      </c>
      <c r="N378">
        <v>5.8467106100976052E-2</v>
      </c>
      <c r="O378" t="s">
        <v>6</v>
      </c>
    </row>
    <row r="379" spans="12:15" x14ac:dyDescent="0.45">
      <c r="L379" t="s">
        <v>271</v>
      </c>
      <c r="M379" t="s">
        <v>16</v>
      </c>
      <c r="N379">
        <v>4.3904386068975232E-2</v>
      </c>
      <c r="O379" t="s">
        <v>6</v>
      </c>
    </row>
    <row r="380" spans="12:15" x14ac:dyDescent="0.45">
      <c r="L380" t="s">
        <v>271</v>
      </c>
      <c r="M380" t="s">
        <v>17</v>
      </c>
      <c r="N380">
        <v>9.6452522098721696E-2</v>
      </c>
      <c r="O380" t="s">
        <v>6</v>
      </c>
    </row>
    <row r="381" spans="12:15" x14ac:dyDescent="0.45">
      <c r="L381" t="s">
        <v>271</v>
      </c>
      <c r="M381" t="s">
        <v>18</v>
      </c>
      <c r="N381">
        <v>0.1171374051738181</v>
      </c>
      <c r="O381" t="s">
        <v>6</v>
      </c>
    </row>
    <row r="382" spans="12:15" x14ac:dyDescent="0.45">
      <c r="L382" t="s">
        <v>271</v>
      </c>
      <c r="M382" t="s">
        <v>19</v>
      </c>
      <c r="N382">
        <v>7.4884158618686122E-2</v>
      </c>
      <c r="O382" t="s">
        <v>6</v>
      </c>
    </row>
    <row r="383" spans="12:15" x14ac:dyDescent="0.45">
      <c r="L383" t="s">
        <v>272</v>
      </c>
      <c r="M383" t="s">
        <v>5</v>
      </c>
      <c r="N383">
        <v>0.10266712193137281</v>
      </c>
      <c r="O383" t="s">
        <v>6</v>
      </c>
    </row>
    <row r="384" spans="12:15" x14ac:dyDescent="0.45">
      <c r="L384" t="s">
        <v>272</v>
      </c>
      <c r="M384" t="s">
        <v>9</v>
      </c>
      <c r="N384">
        <v>0.12441841339599002</v>
      </c>
      <c r="O384" t="s">
        <v>6</v>
      </c>
    </row>
    <row r="385" spans="12:15" x14ac:dyDescent="0.45">
      <c r="L385" t="s">
        <v>272</v>
      </c>
      <c r="M385" t="s">
        <v>10</v>
      </c>
      <c r="N385">
        <v>7.6197639127934702E-2</v>
      </c>
      <c r="O385" t="s">
        <v>6</v>
      </c>
    </row>
    <row r="386" spans="12:15" x14ac:dyDescent="0.45">
      <c r="L386" t="s">
        <v>272</v>
      </c>
      <c r="M386" t="s">
        <v>11</v>
      </c>
      <c r="N386">
        <v>7.8717943105638816E-2</v>
      </c>
      <c r="O386" t="s">
        <v>6</v>
      </c>
    </row>
    <row r="387" spans="12:15" x14ac:dyDescent="0.45">
      <c r="L387" t="s">
        <v>272</v>
      </c>
      <c r="M387" t="s">
        <v>12</v>
      </c>
      <c r="N387">
        <v>9.535990169756961E-2</v>
      </c>
      <c r="O387" t="s">
        <v>6</v>
      </c>
    </row>
    <row r="388" spans="12:15" x14ac:dyDescent="0.45">
      <c r="L388" t="s">
        <v>272</v>
      </c>
      <c r="M388" t="s">
        <v>13</v>
      </c>
      <c r="N388">
        <v>6.3042734489616725E-2</v>
      </c>
      <c r="O388" t="s">
        <v>6</v>
      </c>
    </row>
    <row r="389" spans="12:15" x14ac:dyDescent="0.45">
      <c r="L389" t="s">
        <v>272</v>
      </c>
      <c r="M389" t="s">
        <v>14</v>
      </c>
      <c r="N389">
        <v>5.8442133245536806E-2</v>
      </c>
      <c r="O389" t="s">
        <v>6</v>
      </c>
    </row>
    <row r="390" spans="12:15" x14ac:dyDescent="0.45">
      <c r="L390" t="s">
        <v>272</v>
      </c>
      <c r="M390" t="s">
        <v>15</v>
      </c>
      <c r="N390">
        <v>7.3863310404364835E-2</v>
      </c>
      <c r="O390" t="s">
        <v>6</v>
      </c>
    </row>
    <row r="391" spans="12:15" x14ac:dyDescent="0.45">
      <c r="L391" t="s">
        <v>272</v>
      </c>
      <c r="M391" t="s">
        <v>16</v>
      </c>
      <c r="N391">
        <v>4.438902280718434E-2</v>
      </c>
      <c r="O391" t="s">
        <v>6</v>
      </c>
    </row>
    <row r="392" spans="12:15" x14ac:dyDescent="0.45">
      <c r="L392" t="s">
        <v>272</v>
      </c>
      <c r="M392" t="s">
        <v>17</v>
      </c>
      <c r="N392">
        <v>9.4580019947587038E-2</v>
      </c>
      <c r="O392" t="s">
        <v>6</v>
      </c>
    </row>
    <row r="393" spans="12:15" x14ac:dyDescent="0.45">
      <c r="L393" t="s">
        <v>272</v>
      </c>
      <c r="M393" t="s">
        <v>18</v>
      </c>
      <c r="N393">
        <v>0.11544884717423305</v>
      </c>
      <c r="O393" t="s">
        <v>6</v>
      </c>
    </row>
    <row r="394" spans="12:15" x14ac:dyDescent="0.45">
      <c r="L394" t="s">
        <v>272</v>
      </c>
      <c r="M394" t="s">
        <v>19</v>
      </c>
      <c r="N394">
        <v>7.2872912672969803E-2</v>
      </c>
      <c r="O394" t="s">
        <v>6</v>
      </c>
    </row>
    <row r="395" spans="12:15" x14ac:dyDescent="0.45">
      <c r="L395" t="s">
        <v>273</v>
      </c>
      <c r="M395" t="s">
        <v>5</v>
      </c>
      <c r="N395">
        <v>9.6978416216779648E-2</v>
      </c>
      <c r="O395" t="s">
        <v>6</v>
      </c>
    </row>
    <row r="396" spans="12:15" x14ac:dyDescent="0.45">
      <c r="L396" t="s">
        <v>273</v>
      </c>
      <c r="M396" t="s">
        <v>9</v>
      </c>
      <c r="N396">
        <v>0.12099162711907076</v>
      </c>
      <c r="O396" t="s">
        <v>6</v>
      </c>
    </row>
    <row r="397" spans="12:15" x14ac:dyDescent="0.45">
      <c r="L397" t="s">
        <v>273</v>
      </c>
      <c r="M397" t="s">
        <v>10</v>
      </c>
      <c r="N397">
        <v>7.4343281606465292E-2</v>
      </c>
      <c r="O397" t="s">
        <v>6</v>
      </c>
    </row>
    <row r="398" spans="12:15" x14ac:dyDescent="0.45">
      <c r="L398" t="s">
        <v>273</v>
      </c>
      <c r="M398" t="s">
        <v>11</v>
      </c>
      <c r="N398">
        <v>8.1525340619076778E-2</v>
      </c>
      <c r="O398" t="s">
        <v>6</v>
      </c>
    </row>
    <row r="399" spans="12:15" x14ac:dyDescent="0.45">
      <c r="L399" t="s">
        <v>273</v>
      </c>
      <c r="M399" t="s">
        <v>12</v>
      </c>
      <c r="N399">
        <v>9.5629200640228201E-2</v>
      </c>
      <c r="O399" t="s">
        <v>6</v>
      </c>
    </row>
    <row r="400" spans="12:15" x14ac:dyDescent="0.45">
      <c r="L400" t="s">
        <v>273</v>
      </c>
      <c r="M400" t="s">
        <v>13</v>
      </c>
      <c r="N400">
        <v>6.2769764165735764E-2</v>
      </c>
      <c r="O400" t="s">
        <v>6</v>
      </c>
    </row>
    <row r="401" spans="12:15" x14ac:dyDescent="0.45">
      <c r="L401" t="s">
        <v>273</v>
      </c>
      <c r="M401" t="s">
        <v>14</v>
      </c>
      <c r="N401">
        <v>6.3142710715920383E-2</v>
      </c>
      <c r="O401" t="s">
        <v>6</v>
      </c>
    </row>
    <row r="402" spans="12:15" x14ac:dyDescent="0.45">
      <c r="L402" t="s">
        <v>273</v>
      </c>
      <c r="M402" t="s">
        <v>15</v>
      </c>
      <c r="N402">
        <v>7.9592360295278608E-2</v>
      </c>
      <c r="O402" t="s">
        <v>6</v>
      </c>
    </row>
    <row r="403" spans="12:15" x14ac:dyDescent="0.45">
      <c r="L403" t="s">
        <v>273</v>
      </c>
      <c r="M403" t="s">
        <v>16</v>
      </c>
      <c r="N403">
        <v>4.5933677445618736E-2</v>
      </c>
      <c r="O403" t="s">
        <v>6</v>
      </c>
    </row>
    <row r="404" spans="12:15" x14ac:dyDescent="0.45">
      <c r="L404" t="s">
        <v>273</v>
      </c>
      <c r="M404" t="s">
        <v>17</v>
      </c>
      <c r="N404">
        <v>9.4987005466162178E-2</v>
      </c>
      <c r="O404" t="s">
        <v>6</v>
      </c>
    </row>
    <row r="405" spans="12:15" x14ac:dyDescent="0.45">
      <c r="L405" t="s">
        <v>273</v>
      </c>
      <c r="M405" t="s">
        <v>18</v>
      </c>
      <c r="N405">
        <v>0.11351743832723421</v>
      </c>
      <c r="O405" t="s">
        <v>6</v>
      </c>
    </row>
    <row r="406" spans="12:15" x14ac:dyDescent="0.45">
      <c r="L406" t="s">
        <v>273</v>
      </c>
      <c r="M406" t="s">
        <v>19</v>
      </c>
      <c r="N406">
        <v>7.0589177382428994E-2</v>
      </c>
      <c r="O406" t="s">
        <v>6</v>
      </c>
    </row>
    <row r="407" spans="12:15" x14ac:dyDescent="0.45">
      <c r="L407" t="s">
        <v>274</v>
      </c>
      <c r="M407" t="s">
        <v>5</v>
      </c>
      <c r="N407">
        <v>0.10199292153373306</v>
      </c>
      <c r="O407" t="s">
        <v>6</v>
      </c>
    </row>
    <row r="408" spans="12:15" x14ac:dyDescent="0.45">
      <c r="L408" t="s">
        <v>274</v>
      </c>
      <c r="M408" t="s">
        <v>9</v>
      </c>
      <c r="N408">
        <v>0.125485230668995</v>
      </c>
      <c r="O408" t="s">
        <v>6</v>
      </c>
    </row>
    <row r="409" spans="12:15" x14ac:dyDescent="0.45">
      <c r="L409" t="s">
        <v>274</v>
      </c>
      <c r="M409" t="s">
        <v>10</v>
      </c>
      <c r="N409">
        <v>7.4820953254667782E-2</v>
      </c>
      <c r="O409" t="s">
        <v>6</v>
      </c>
    </row>
    <row r="410" spans="12:15" x14ac:dyDescent="0.45">
      <c r="L410" t="s">
        <v>274</v>
      </c>
      <c r="M410" t="s">
        <v>11</v>
      </c>
      <c r="N410">
        <v>8.4301402050265817E-2</v>
      </c>
      <c r="O410" t="s">
        <v>6</v>
      </c>
    </row>
    <row r="411" spans="12:15" x14ac:dyDescent="0.45">
      <c r="L411" t="s">
        <v>274</v>
      </c>
      <c r="M411" t="s">
        <v>12</v>
      </c>
      <c r="N411">
        <v>9.9507180295265604E-2</v>
      </c>
      <c r="O411" t="s">
        <v>6</v>
      </c>
    </row>
    <row r="412" spans="12:15" x14ac:dyDescent="0.45">
      <c r="L412" t="s">
        <v>274</v>
      </c>
      <c r="M412" t="s">
        <v>13</v>
      </c>
      <c r="N412">
        <v>6.3624365448163411E-2</v>
      </c>
      <c r="O412" t="s">
        <v>6</v>
      </c>
    </row>
    <row r="413" spans="12:15" x14ac:dyDescent="0.45">
      <c r="L413" t="s">
        <v>274</v>
      </c>
      <c r="M413" t="s">
        <v>14</v>
      </c>
      <c r="N413">
        <v>5.4587145768743975E-2</v>
      </c>
      <c r="O413" t="s">
        <v>6</v>
      </c>
    </row>
    <row r="414" spans="12:15" x14ac:dyDescent="0.45">
      <c r="L414" t="s">
        <v>274</v>
      </c>
      <c r="M414" t="s">
        <v>15</v>
      </c>
      <c r="N414">
        <v>6.6815890391365748E-2</v>
      </c>
      <c r="O414" t="s">
        <v>6</v>
      </c>
    </row>
    <row r="415" spans="12:15" x14ac:dyDescent="0.45">
      <c r="L415" t="s">
        <v>274</v>
      </c>
      <c r="M415" t="s">
        <v>16</v>
      </c>
      <c r="N415">
        <v>4.2165386627070194E-2</v>
      </c>
      <c r="O415" t="s">
        <v>6</v>
      </c>
    </row>
    <row r="416" spans="12:15" x14ac:dyDescent="0.45">
      <c r="L416" t="s">
        <v>274</v>
      </c>
      <c r="M416" t="s">
        <v>17</v>
      </c>
      <c r="N416">
        <v>9.5612220994576905E-2</v>
      </c>
      <c r="O416" t="s">
        <v>6</v>
      </c>
    </row>
    <row r="417" spans="12:15" x14ac:dyDescent="0.45">
      <c r="L417" t="s">
        <v>274</v>
      </c>
      <c r="M417" t="s">
        <v>18</v>
      </c>
      <c r="N417">
        <v>0.11729568039627535</v>
      </c>
      <c r="O417" t="s">
        <v>6</v>
      </c>
    </row>
    <row r="418" spans="12:15" x14ac:dyDescent="0.45">
      <c r="L418" t="s">
        <v>274</v>
      </c>
      <c r="M418" t="s">
        <v>19</v>
      </c>
      <c r="N418">
        <v>7.379162257087625E-2</v>
      </c>
      <c r="O418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1C40-90A2-4506-A337-0FF4CDFE6A2D}">
  <dimension ref="B9:CI8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region=GBR")</f>
        <v>~TFM_DINS-TSL: attribute=FLO_EMIS; other_indexes=ACT; region=GBR</v>
      </c>
      <c r="Q9" t="str">
        <f>IF(A11="x","DeActivated","~TFM_DINS-TSL: attribute=FLO_SHAR; limtype=FX; region=GBR")</f>
        <v>~TFM_DINS-TSL: attribute=FLO_SHAR; limtype=FX; region=GBR</v>
      </c>
      <c r="AF9" t="str">
        <f>IF(A11="x","DeActivated","~TFM_DINS-TSL: attribute=FLO_SHAR; limtype=FX; region=GBR")</f>
        <v>~TFM_DINS-TSL: attribute=FLO_SHAR; limtype=FX; region=GBR</v>
      </c>
      <c r="AU9" t="str">
        <f>IF(A11="x","DeActivated","~TFM_DINS-TSL: attribute=FLO_SHAR; limtype=FX; region=GBR")</f>
        <v>~TFM_DINS-TSL: attribute=FLO_SHAR; limtype=FX; region=GBR</v>
      </c>
      <c r="BJ9" t="str">
        <f>IF(A11="x","DeActivated","~TFM_INS: region=GBR")</f>
        <v>~TFM_INS: region=GBR</v>
      </c>
      <c r="BR9" t="str">
        <f>IF(A11="x","DeActivated","~TFM_DINS-TSL: attribute=NCAP_PKCNT; region=GBR")</f>
        <v>~TFM_DINS-TSL: attribute=NCAP_PKCNT; region=GBR</v>
      </c>
      <c r="CF9" t="str">
        <f>IF(A11="x","DeActivated","~TFM_DINS-AT: region=GBR")</f>
        <v>~TFM_DINS-AT: region=GBR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275</v>
      </c>
      <c r="C11" t="s">
        <v>99</v>
      </c>
      <c r="D11">
        <v>0</v>
      </c>
      <c r="E11">
        <v>0.46240339195969027</v>
      </c>
      <c r="F11">
        <v>0.98518218018714465</v>
      </c>
      <c r="G11">
        <v>0.84477890336784123</v>
      </c>
      <c r="H11">
        <v>0.23407061079145167</v>
      </c>
      <c r="I11">
        <v>0.73529873946308111</v>
      </c>
      <c r="J11">
        <v>0.75923043791547884</v>
      </c>
      <c r="K11">
        <v>0.1922745378594127</v>
      </c>
      <c r="L11">
        <v>0.63793591149280715</v>
      </c>
      <c r="M11">
        <v>0.95846019690478135</v>
      </c>
      <c r="N11">
        <v>0.33708116779851865</v>
      </c>
      <c r="O11">
        <v>0.9237747043450143</v>
      </c>
      <c r="Q11" t="s">
        <v>275</v>
      </c>
      <c r="R11" t="s">
        <v>100</v>
      </c>
      <c r="S11">
        <v>0</v>
      </c>
      <c r="T11">
        <v>0.26374088054760902</v>
      </c>
      <c r="U11">
        <v>0.20135649740832923</v>
      </c>
      <c r="V11">
        <v>0.73292991781983774</v>
      </c>
      <c r="W11">
        <v>0.11649474592575554</v>
      </c>
      <c r="X11">
        <v>0.5027264853575838</v>
      </c>
      <c r="Y11">
        <v>0.611796121170612</v>
      </c>
      <c r="Z11">
        <v>9.5546845929141463E-2</v>
      </c>
      <c r="AA11">
        <v>0.45480537374847413</v>
      </c>
      <c r="AB11">
        <v>0.92027977697313468</v>
      </c>
      <c r="AC11">
        <v>0.17912894708996369</v>
      </c>
      <c r="AD11">
        <v>0.52291287106339213</v>
      </c>
      <c r="AF11" t="s">
        <v>275</v>
      </c>
      <c r="AG11" t="s">
        <v>101</v>
      </c>
      <c r="AH11">
        <v>0</v>
      </c>
      <c r="AI11">
        <v>4.450010977003295E-2</v>
      </c>
      <c r="AJ11">
        <v>0.7694820754304712</v>
      </c>
      <c r="AK11">
        <v>0</v>
      </c>
      <c r="AL11">
        <v>1.9800494868255494E-2</v>
      </c>
      <c r="AM11">
        <v>9.2436816131082955E-2</v>
      </c>
      <c r="AN11">
        <v>0</v>
      </c>
      <c r="AO11">
        <v>1.2587389117180828E-2</v>
      </c>
      <c r="AP11">
        <v>2.827872110023814E-2</v>
      </c>
      <c r="AQ11">
        <v>0</v>
      </c>
      <c r="AR11">
        <v>2.7496041765803034E-2</v>
      </c>
      <c r="AS11">
        <v>0.34262130174296984</v>
      </c>
      <c r="AU11" t="s">
        <v>275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275</v>
      </c>
      <c r="BS11">
        <v>0</v>
      </c>
      <c r="BT11">
        <v>0.13798179854142223</v>
      </c>
      <c r="BU11">
        <v>3.7903280821447528E-4</v>
      </c>
      <c r="BV11">
        <v>6.7690986865909112E-3</v>
      </c>
      <c r="BW11">
        <v>0.35833780031851498</v>
      </c>
      <c r="BX11">
        <v>2.0597592332988187E-2</v>
      </c>
      <c r="BY11">
        <v>1.1795844642964454E-2</v>
      </c>
      <c r="BZ11">
        <v>0.39537627409707665</v>
      </c>
      <c r="CA11">
        <v>3.4150674696879636E-2</v>
      </c>
      <c r="CB11">
        <v>6.1085458080083806E-4</v>
      </c>
      <c r="CC11">
        <v>0.20008123714907849</v>
      </c>
      <c r="CD11">
        <v>2.5270652519183015E-3</v>
      </c>
      <c r="CF11" t="s">
        <v>275</v>
      </c>
      <c r="CG11" t="s">
        <v>108</v>
      </c>
      <c r="CH11" t="s">
        <v>109</v>
      </c>
      <c r="CI11">
        <v>0.38668421578111267</v>
      </c>
    </row>
    <row r="12" spans="2:87" x14ac:dyDescent="0.45">
      <c r="B12" t="s">
        <v>276</v>
      </c>
      <c r="C12" t="s">
        <v>99</v>
      </c>
      <c r="D12">
        <v>0</v>
      </c>
      <c r="E12">
        <v>0.4212219776849831</v>
      </c>
      <c r="F12">
        <v>0.97878478134254188</v>
      </c>
      <c r="G12">
        <v>0.85204183708377979</v>
      </c>
      <c r="H12">
        <v>0.22372858024199263</v>
      </c>
      <c r="I12">
        <v>0.73858891284806483</v>
      </c>
      <c r="J12">
        <v>0.77273383461038425</v>
      </c>
      <c r="K12">
        <v>0.1852365854577582</v>
      </c>
      <c r="L12">
        <v>0.64577073324051593</v>
      </c>
      <c r="M12">
        <v>0.95708109442722988</v>
      </c>
      <c r="N12">
        <v>0.32803497570705542</v>
      </c>
      <c r="O12">
        <v>0.92150013158057142</v>
      </c>
      <c r="Q12" t="s">
        <v>276</v>
      </c>
      <c r="R12" t="s">
        <v>100</v>
      </c>
      <c r="S12">
        <v>0</v>
      </c>
      <c r="T12">
        <v>0.24177274132978985</v>
      </c>
      <c r="U12">
        <v>0.78401160709647344</v>
      </c>
      <c r="V12">
        <v>0.74211981952788786</v>
      </c>
      <c r="W12">
        <v>0.10822293561594555</v>
      </c>
      <c r="X12">
        <v>0.45449519998932475</v>
      </c>
      <c r="Y12">
        <v>0.62301921369310709</v>
      </c>
      <c r="Z12">
        <v>9.4231792083838584E-2</v>
      </c>
      <c r="AA12">
        <v>0.48931240263035736</v>
      </c>
      <c r="AB12">
        <v>0.91745811494907825</v>
      </c>
      <c r="AC12">
        <v>0.17722703576019866</v>
      </c>
      <c r="AD12">
        <v>0.51700836561945074</v>
      </c>
      <c r="AF12" t="s">
        <v>276</v>
      </c>
      <c r="AG12" t="s">
        <v>101</v>
      </c>
      <c r="AH12">
        <v>0</v>
      </c>
      <c r="AI12">
        <v>3.107509756134217E-2</v>
      </c>
      <c r="AJ12">
        <v>0.17483496573723914</v>
      </c>
      <c r="AK12">
        <v>0</v>
      </c>
      <c r="AL12">
        <v>2.3846464890262604E-2</v>
      </c>
      <c r="AM12">
        <v>0.13898247822248186</v>
      </c>
      <c r="AN12">
        <v>0</v>
      </c>
      <c r="AO12">
        <v>1.016139123588356E-2</v>
      </c>
      <c r="AP12">
        <v>0</v>
      </c>
      <c r="AQ12">
        <v>0</v>
      </c>
      <c r="AR12">
        <v>2.5065828343262153E-2</v>
      </c>
      <c r="AS12">
        <v>0.34177496805100688</v>
      </c>
      <c r="AU12" t="s">
        <v>276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276</v>
      </c>
      <c r="BS12">
        <v>0</v>
      </c>
      <c r="BT12">
        <v>0.15958803624897797</v>
      </c>
      <c r="BU12">
        <v>2.4348452447595762E-4</v>
      </c>
      <c r="BV12">
        <v>6.8559024876004362E-3</v>
      </c>
      <c r="BW12">
        <v>0.36096655251431231</v>
      </c>
      <c r="BX12">
        <v>1.9378420967733099E-2</v>
      </c>
      <c r="BY12">
        <v>1.1274331270360913E-2</v>
      </c>
      <c r="BZ12">
        <v>0.42445342194925562</v>
      </c>
      <c r="CA12">
        <v>3.4028634285556768E-2</v>
      </c>
      <c r="CB12">
        <v>6.6093112800905812E-4</v>
      </c>
      <c r="CC12">
        <v>0.23042073502629393</v>
      </c>
      <c r="CD12">
        <v>3.0773007853381572E-3</v>
      </c>
      <c r="CF12" t="s">
        <v>276</v>
      </c>
      <c r="CG12" t="s">
        <v>108</v>
      </c>
      <c r="CH12" t="s">
        <v>109</v>
      </c>
      <c r="CI12">
        <v>0.38010929053429426</v>
      </c>
    </row>
    <row r="13" spans="2:87" x14ac:dyDescent="0.45">
      <c r="B13" t="s">
        <v>277</v>
      </c>
      <c r="C13" t="s">
        <v>99</v>
      </c>
      <c r="D13">
        <v>0</v>
      </c>
      <c r="E13">
        <v>0.43619807800741395</v>
      </c>
      <c r="F13">
        <v>0.98069109388557973</v>
      </c>
      <c r="G13">
        <v>0.84848615720728382</v>
      </c>
      <c r="H13">
        <v>0.22856233823615663</v>
      </c>
      <c r="I13">
        <v>0.7343202472739665</v>
      </c>
      <c r="J13">
        <v>0.76378180840781329</v>
      </c>
      <c r="K13">
        <v>0.18410771884468013</v>
      </c>
      <c r="L13">
        <v>0.64135636795692863</v>
      </c>
      <c r="M13">
        <v>0.95713914474469264</v>
      </c>
      <c r="N13">
        <v>0.32806216014196893</v>
      </c>
      <c r="O13">
        <v>0.91971052407755283</v>
      </c>
      <c r="Q13" t="s">
        <v>277</v>
      </c>
      <c r="R13" t="s">
        <v>100</v>
      </c>
      <c r="S13">
        <v>0</v>
      </c>
      <c r="T13">
        <v>0.24489062339608789</v>
      </c>
      <c r="U13">
        <v>0.46613823042307989</v>
      </c>
      <c r="V13">
        <v>0.73763325387256662</v>
      </c>
      <c r="W13">
        <v>0.11266305031658673</v>
      </c>
      <c r="X13">
        <v>0.56294528433182545</v>
      </c>
      <c r="Y13">
        <v>0.61509554207223538</v>
      </c>
      <c r="Z13">
        <v>9.2212972031466778E-2</v>
      </c>
      <c r="AA13">
        <v>0.48409901515060266</v>
      </c>
      <c r="AB13">
        <v>0.91775708909659182</v>
      </c>
      <c r="AC13">
        <v>0.17725067124756644</v>
      </c>
      <c r="AD13">
        <v>0.47498151606314198</v>
      </c>
      <c r="AF13" t="s">
        <v>277</v>
      </c>
      <c r="AG13" t="s">
        <v>101</v>
      </c>
      <c r="AH13">
        <v>0</v>
      </c>
      <c r="AI13">
        <v>3.8086145132278273E-2</v>
      </c>
      <c r="AJ13">
        <v>0.49639191727943349</v>
      </c>
      <c r="AK13">
        <v>0</v>
      </c>
      <c r="AL13">
        <v>1.8387843204580215E-2</v>
      </c>
      <c r="AM13">
        <v>2.7316001421018036E-2</v>
      </c>
      <c r="AN13">
        <v>0</v>
      </c>
      <c r="AO13">
        <v>1.1169602979377488E-2</v>
      </c>
      <c r="AP13">
        <v>0</v>
      </c>
      <c r="AQ13">
        <v>0</v>
      </c>
      <c r="AR13">
        <v>2.013504567126188E-2</v>
      </c>
      <c r="AS13">
        <v>0.38063385934296129</v>
      </c>
      <c r="AU13" t="s">
        <v>277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277</v>
      </c>
      <c r="BS13">
        <v>0</v>
      </c>
      <c r="BT13">
        <v>0.15101740045070999</v>
      </c>
      <c r="BU13">
        <v>3.147094969710549E-4</v>
      </c>
      <c r="BV13">
        <v>7.1059546365109588E-3</v>
      </c>
      <c r="BW13">
        <v>0.36765052337759108</v>
      </c>
      <c r="BX13">
        <v>2.0240241091928231E-2</v>
      </c>
      <c r="BY13">
        <v>1.2083714875023096E-2</v>
      </c>
      <c r="BZ13">
        <v>0.40751593564821792</v>
      </c>
      <c r="CA13">
        <v>3.4226330485575177E-2</v>
      </c>
      <c r="CB13">
        <v>6.5295863852706394E-4</v>
      </c>
      <c r="CC13">
        <v>0.21774476916314756</v>
      </c>
      <c r="CD13">
        <v>2.8094189841648774E-3</v>
      </c>
      <c r="CF13" t="s">
        <v>277</v>
      </c>
      <c r="CG13" t="s">
        <v>108</v>
      </c>
      <c r="CH13" t="s">
        <v>109</v>
      </c>
      <c r="CI13">
        <v>0.3821038941590062</v>
      </c>
    </row>
    <row r="14" spans="2:87" x14ac:dyDescent="0.45">
      <c r="B14" t="s">
        <v>278</v>
      </c>
      <c r="C14" t="s">
        <v>99</v>
      </c>
      <c r="D14">
        <v>0</v>
      </c>
      <c r="E14">
        <v>0.44322428011885595</v>
      </c>
      <c r="F14">
        <v>0.99629629629629624</v>
      </c>
      <c r="G14">
        <v>0.8292514472210889</v>
      </c>
      <c r="H14">
        <v>0.23650075995559933</v>
      </c>
      <c r="I14">
        <v>0.74616604647659823</v>
      </c>
      <c r="J14">
        <v>0.73069919691954399</v>
      </c>
      <c r="K14">
        <v>0.18193802965612033</v>
      </c>
      <c r="L14">
        <v>0.64172373467903221</v>
      </c>
      <c r="M14">
        <v>0.94705012145225487</v>
      </c>
      <c r="N14">
        <v>0.34637383962334695</v>
      </c>
      <c r="O14">
        <v>0.93530262090178995</v>
      </c>
      <c r="Q14" t="s">
        <v>278</v>
      </c>
      <c r="R14" t="s">
        <v>100</v>
      </c>
      <c r="S14">
        <v>0</v>
      </c>
      <c r="T14">
        <v>0.25904393476748511</v>
      </c>
      <c r="U14">
        <v>0</v>
      </c>
      <c r="V14">
        <v>0.71387610256460698</v>
      </c>
      <c r="W14">
        <v>0.11482212987545871</v>
      </c>
      <c r="X14">
        <v>0.56898427124920148</v>
      </c>
      <c r="Y14">
        <v>0.58674849753683733</v>
      </c>
      <c r="Z14">
        <v>9.0266794799083783E-2</v>
      </c>
      <c r="AA14">
        <v>0.48900988894549124</v>
      </c>
      <c r="AB14">
        <v>0.90050153565576363</v>
      </c>
      <c r="AC14">
        <v>0.18694714005285823</v>
      </c>
      <c r="AD14">
        <v>0.71617617256449628</v>
      </c>
      <c r="AF14" t="s">
        <v>278</v>
      </c>
      <c r="AG14" t="s">
        <v>101</v>
      </c>
      <c r="AH14">
        <v>0</v>
      </c>
      <c r="AI14">
        <v>3.1749090903101365E-2</v>
      </c>
      <c r="AJ14">
        <v>0.99260631001371746</v>
      </c>
      <c r="AK14">
        <v>0</v>
      </c>
      <c r="AL14">
        <v>2.7505992916045486E-2</v>
      </c>
      <c r="AM14">
        <v>1.5277096805916509E-2</v>
      </c>
      <c r="AN14">
        <v>0</v>
      </c>
      <c r="AO14">
        <v>1.3998735418255782E-2</v>
      </c>
      <c r="AP14">
        <v>0</v>
      </c>
      <c r="AQ14">
        <v>0</v>
      </c>
      <c r="AR14">
        <v>2.5508766528877673E-2</v>
      </c>
      <c r="AS14">
        <v>0.16460835959257594</v>
      </c>
      <c r="AU14" t="s">
        <v>278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1.9421667961326435E-2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278</v>
      </c>
      <c r="BS14">
        <v>0</v>
      </c>
      <c r="BT14">
        <v>0.14252516497650469</v>
      </c>
      <c r="BU14">
        <v>2.9963340007840574E-6</v>
      </c>
      <c r="BV14">
        <v>9.0706813981147154E-3</v>
      </c>
      <c r="BW14">
        <v>0.3262171005455714</v>
      </c>
      <c r="BX14">
        <v>1.4750189843466247E-2</v>
      </c>
      <c r="BY14">
        <v>1.527722052856076E-2</v>
      </c>
      <c r="BZ14">
        <v>0.3687250490499554</v>
      </c>
      <c r="CA14">
        <v>2.7526059733008864E-2</v>
      </c>
      <c r="CB14">
        <v>1.3311362463428486E-3</v>
      </c>
      <c r="CC14">
        <v>0.20448084460344007</v>
      </c>
      <c r="CD14">
        <v>1.706379672422102E-3</v>
      </c>
      <c r="CF14" t="s">
        <v>278</v>
      </c>
      <c r="CG14" t="s">
        <v>108</v>
      </c>
      <c r="CH14" t="s">
        <v>109</v>
      </c>
      <c r="CI14">
        <v>0.34131885452987065</v>
      </c>
    </row>
    <row r="15" spans="2:87" x14ac:dyDescent="0.45">
      <c r="B15" t="s">
        <v>279</v>
      </c>
      <c r="C15" t="s">
        <v>99</v>
      </c>
      <c r="D15">
        <v>0</v>
      </c>
      <c r="E15">
        <v>0.41757585801072711</v>
      </c>
      <c r="F15">
        <v>0</v>
      </c>
      <c r="G15">
        <v>0.81811635486643375</v>
      </c>
      <c r="H15">
        <v>0.22485844757138379</v>
      </c>
      <c r="I15">
        <v>0.76154016804198987</v>
      </c>
      <c r="J15">
        <v>0.72468034700791117</v>
      </c>
      <c r="K15">
        <v>0.1753532112644724</v>
      </c>
      <c r="L15">
        <v>0.6533968780236129</v>
      </c>
      <c r="M15">
        <v>0.93665948584430636</v>
      </c>
      <c r="N15">
        <v>0.32650385570947082</v>
      </c>
      <c r="O15">
        <v>0.94402033119271922</v>
      </c>
      <c r="Q15" t="s">
        <v>279</v>
      </c>
      <c r="R15" t="s">
        <v>100</v>
      </c>
      <c r="S15">
        <v>0</v>
      </c>
      <c r="T15">
        <v>0.25053824336148556</v>
      </c>
      <c r="U15">
        <v>0</v>
      </c>
      <c r="V15">
        <v>0.69964967779787579</v>
      </c>
      <c r="W15">
        <v>0.11336773711099693</v>
      </c>
      <c r="X15">
        <v>0.61841220564943644</v>
      </c>
      <c r="Y15">
        <v>0.57699172883965</v>
      </c>
      <c r="Z15">
        <v>8.9330065999804004E-2</v>
      </c>
      <c r="AA15">
        <v>0.49619587637456986</v>
      </c>
      <c r="AB15">
        <v>0.88325178627649881</v>
      </c>
      <c r="AC15">
        <v>0.16561767283415263</v>
      </c>
      <c r="AD15">
        <v>0.89388005719164088</v>
      </c>
      <c r="AF15" t="s">
        <v>279</v>
      </c>
      <c r="AG15" t="s">
        <v>101</v>
      </c>
      <c r="AH15">
        <v>0</v>
      </c>
      <c r="AI15">
        <v>1.8353029850861485E-2</v>
      </c>
      <c r="AJ15">
        <v>0</v>
      </c>
      <c r="AK15">
        <v>0</v>
      </c>
      <c r="AL15">
        <v>1.8584002849164481E-2</v>
      </c>
      <c r="AM15">
        <v>0</v>
      </c>
      <c r="AN15">
        <v>0</v>
      </c>
      <c r="AO15">
        <v>1.1766766462431346E-2</v>
      </c>
      <c r="AP15">
        <v>0</v>
      </c>
      <c r="AQ15">
        <v>0</v>
      </c>
      <c r="AR15">
        <v>3.2679060026328782E-2</v>
      </c>
      <c r="AS15">
        <v>0</v>
      </c>
      <c r="AU15" t="s">
        <v>279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279</v>
      </c>
      <c r="BS15">
        <v>0</v>
      </c>
      <c r="BT15">
        <v>0.1546099076652048</v>
      </c>
      <c r="BU15">
        <v>0</v>
      </c>
      <c r="BV15">
        <v>1.118534022234904E-2</v>
      </c>
      <c r="BW15">
        <v>0.36951641891876918</v>
      </c>
      <c r="BX15">
        <v>1.2764690974763047E-2</v>
      </c>
      <c r="BY15">
        <v>1.7586947073200132E-2</v>
      </c>
      <c r="BZ15">
        <v>0.40490845365736133</v>
      </c>
      <c r="CA15">
        <v>2.4615356298488586E-2</v>
      </c>
      <c r="CB15">
        <v>2.0833164649828643E-3</v>
      </c>
      <c r="CC15">
        <v>0.23068002905122675</v>
      </c>
      <c r="CD15">
        <v>1.2496942649530868E-3</v>
      </c>
      <c r="CF15" t="s">
        <v>279</v>
      </c>
      <c r="CG15" t="s">
        <v>108</v>
      </c>
      <c r="CH15" t="s">
        <v>109</v>
      </c>
      <c r="CI15">
        <v>0.37812773605030592</v>
      </c>
    </row>
    <row r="16" spans="2:87" x14ac:dyDescent="0.45">
      <c r="B16" t="s">
        <v>280</v>
      </c>
      <c r="C16" t="s">
        <v>99</v>
      </c>
      <c r="D16">
        <v>0</v>
      </c>
      <c r="E16">
        <v>0.43123992200820122</v>
      </c>
      <c r="F16">
        <v>0.99814814814814812</v>
      </c>
      <c r="G16">
        <v>0.8303808879419855</v>
      </c>
      <c r="H16">
        <v>0.23210807671655961</v>
      </c>
      <c r="I16">
        <v>0.76482393859900977</v>
      </c>
      <c r="J16">
        <v>0.74311993845012803</v>
      </c>
      <c r="K16">
        <v>0.1908509158833494</v>
      </c>
      <c r="L16">
        <v>0.66631498019421487</v>
      </c>
      <c r="M16">
        <v>0.9382662473942841</v>
      </c>
      <c r="N16">
        <v>0.35237923143341915</v>
      </c>
      <c r="O16">
        <v>0.94396492388186903</v>
      </c>
      <c r="Q16" t="s">
        <v>280</v>
      </c>
      <c r="R16" t="s">
        <v>100</v>
      </c>
      <c r="S16">
        <v>0</v>
      </c>
      <c r="T16">
        <v>0.25942151461249141</v>
      </c>
      <c r="U16">
        <v>0.99629972565157754</v>
      </c>
      <c r="V16">
        <v>0.71597858187503183</v>
      </c>
      <c r="W16">
        <v>0.11293742435441573</v>
      </c>
      <c r="X16">
        <v>0.62631236671427082</v>
      </c>
      <c r="Y16">
        <v>0.59726148267480206</v>
      </c>
      <c r="Z16">
        <v>9.7956383653699533E-2</v>
      </c>
      <c r="AA16">
        <v>0.5156580792726928</v>
      </c>
      <c r="AB16">
        <v>0.8828466750894014</v>
      </c>
      <c r="AC16">
        <v>0.1822382212722761</v>
      </c>
      <c r="AD16">
        <v>0.72830680961903838</v>
      </c>
      <c r="AF16" t="s">
        <v>280</v>
      </c>
      <c r="AG16" t="s">
        <v>101</v>
      </c>
      <c r="AH16">
        <v>0</v>
      </c>
      <c r="AI16">
        <v>2.7612238170360008E-2</v>
      </c>
      <c r="AJ16">
        <v>0</v>
      </c>
      <c r="AK16">
        <v>0</v>
      </c>
      <c r="AL16">
        <v>3.0087960796206653E-2</v>
      </c>
      <c r="AM16">
        <v>0</v>
      </c>
      <c r="AN16">
        <v>0</v>
      </c>
      <c r="AO16">
        <v>9.0873646427366388E-3</v>
      </c>
      <c r="AP16">
        <v>0</v>
      </c>
      <c r="AQ16">
        <v>0</v>
      </c>
      <c r="AR16">
        <v>3.8635489144190169E-2</v>
      </c>
      <c r="AS16">
        <v>0.16815684952894164</v>
      </c>
      <c r="AU16" t="s">
        <v>280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280</v>
      </c>
      <c r="BS16">
        <v>0</v>
      </c>
      <c r="BT16">
        <v>0.14793554091871339</v>
      </c>
      <c r="BU16">
        <v>4.3974576565447517E-8</v>
      </c>
      <c r="BV16">
        <v>9.9757923713493964E-3</v>
      </c>
      <c r="BW16">
        <v>0.3406773835505234</v>
      </c>
      <c r="BX16">
        <v>1.3000448198642425E-2</v>
      </c>
      <c r="BY16">
        <v>1.6371137100968582E-2</v>
      </c>
      <c r="BZ16">
        <v>0.40680114661290856</v>
      </c>
      <c r="CA16">
        <v>2.5752373416395389E-2</v>
      </c>
      <c r="CB16">
        <v>1.979604536690791E-3</v>
      </c>
      <c r="CC16">
        <v>0.22221889203158124</v>
      </c>
      <c r="CD16">
        <v>1.5219574569432458E-3</v>
      </c>
      <c r="CF16" t="s">
        <v>280</v>
      </c>
      <c r="CG16" t="s">
        <v>108</v>
      </c>
      <c r="CH16" t="s">
        <v>109</v>
      </c>
      <c r="CI16">
        <v>0.37673291830934619</v>
      </c>
    </row>
    <row r="17" spans="2:87" x14ac:dyDescent="0.45">
      <c r="B17" t="s">
        <v>281</v>
      </c>
      <c r="C17" t="s">
        <v>99</v>
      </c>
      <c r="D17">
        <v>0</v>
      </c>
      <c r="E17">
        <v>0.42586601979253974</v>
      </c>
      <c r="F17">
        <v>0.98888888888888904</v>
      </c>
      <c r="G17">
        <v>0.84213680154451553</v>
      </c>
      <c r="H17">
        <v>0.2240989484490214</v>
      </c>
      <c r="I17">
        <v>0.75073480247486735</v>
      </c>
      <c r="J17">
        <v>0.75786760494349703</v>
      </c>
      <c r="K17">
        <v>0.18246721160929735</v>
      </c>
      <c r="L17">
        <v>0.65309071628526094</v>
      </c>
      <c r="M17">
        <v>0.94446053525169216</v>
      </c>
      <c r="N17">
        <v>0.33164941658974928</v>
      </c>
      <c r="O17">
        <v>0.92774761735805311</v>
      </c>
      <c r="Q17" t="s">
        <v>281</v>
      </c>
      <c r="R17" t="s">
        <v>100</v>
      </c>
      <c r="S17">
        <v>0</v>
      </c>
      <c r="T17">
        <v>0.25879715894539174</v>
      </c>
      <c r="U17">
        <v>0.97790123456790135</v>
      </c>
      <c r="V17">
        <v>0.73196484742613788</v>
      </c>
      <c r="W17">
        <v>0.1073612188971408</v>
      </c>
      <c r="X17">
        <v>0.58675995705093253</v>
      </c>
      <c r="Y17">
        <v>0.61255230671165073</v>
      </c>
      <c r="Z17">
        <v>9.5510427455802113E-2</v>
      </c>
      <c r="AA17">
        <v>0.50187744079904906</v>
      </c>
      <c r="AB17">
        <v>0.89559653497507652</v>
      </c>
      <c r="AC17">
        <v>0.17903922233496525</v>
      </c>
      <c r="AD17">
        <v>0.5369494417788766</v>
      </c>
      <c r="AF17" t="s">
        <v>281</v>
      </c>
      <c r="AG17" t="s">
        <v>101</v>
      </c>
      <c r="AH17">
        <v>0</v>
      </c>
      <c r="AI17">
        <v>2.8574397012954781E-2</v>
      </c>
      <c r="AJ17">
        <v>0</v>
      </c>
      <c r="AK17">
        <v>0</v>
      </c>
      <c r="AL17">
        <v>2.7384858365122663E-2</v>
      </c>
      <c r="AM17">
        <v>0</v>
      </c>
      <c r="AN17">
        <v>0</v>
      </c>
      <c r="AO17">
        <v>1.0690499409263433E-2</v>
      </c>
      <c r="AP17">
        <v>0</v>
      </c>
      <c r="AQ17">
        <v>0</v>
      </c>
      <c r="AR17">
        <v>2.555523229964627E-2</v>
      </c>
      <c r="AS17">
        <v>0.33517138188101914</v>
      </c>
      <c r="AU17" t="s">
        <v>281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1.9424780160127358E-2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281</v>
      </c>
      <c r="BS17">
        <v>0</v>
      </c>
      <c r="BT17">
        <v>0.15141674914856271</v>
      </c>
      <c r="BU17">
        <v>7.8236776528686338E-5</v>
      </c>
      <c r="BV17">
        <v>8.2751148581511162E-3</v>
      </c>
      <c r="BW17">
        <v>0.32958009437460845</v>
      </c>
      <c r="BX17">
        <v>1.5382453977360728E-2</v>
      </c>
      <c r="BY17">
        <v>1.3410195529850701E-2</v>
      </c>
      <c r="BZ17">
        <v>0.40279753008307456</v>
      </c>
      <c r="CA17">
        <v>2.9288237689793096E-2</v>
      </c>
      <c r="CB17">
        <v>1.0246903615091932E-3</v>
      </c>
      <c r="CC17">
        <v>0.21808336505957981</v>
      </c>
      <c r="CD17">
        <v>2.4206620799485973E-3</v>
      </c>
      <c r="CF17" t="s">
        <v>281</v>
      </c>
      <c r="CG17" t="s">
        <v>108</v>
      </c>
      <c r="CH17" t="s">
        <v>109</v>
      </c>
      <c r="CI17">
        <v>0.37484670430090328</v>
      </c>
    </row>
    <row r="18" spans="2:87" x14ac:dyDescent="0.45">
      <c r="B18" t="s">
        <v>282</v>
      </c>
      <c r="C18" t="s">
        <v>99</v>
      </c>
      <c r="D18">
        <v>0</v>
      </c>
      <c r="E18">
        <v>0.44358832789080205</v>
      </c>
      <c r="F18">
        <v>0.99074074074074081</v>
      </c>
      <c r="G18">
        <v>0.83744687576808741</v>
      </c>
      <c r="H18">
        <v>0.22792265826053287</v>
      </c>
      <c r="I18">
        <v>0.74470123984296488</v>
      </c>
      <c r="J18">
        <v>0.74967817299784378</v>
      </c>
      <c r="K18">
        <v>0.19744803166158356</v>
      </c>
      <c r="L18">
        <v>0.64615163370354001</v>
      </c>
      <c r="M18">
        <v>0.95483389171592525</v>
      </c>
      <c r="N18">
        <v>0.34611643435633582</v>
      </c>
      <c r="O18">
        <v>0.93220834262335417</v>
      </c>
      <c r="Q18" t="s">
        <v>282</v>
      </c>
      <c r="R18" t="s">
        <v>100</v>
      </c>
      <c r="S18">
        <v>0</v>
      </c>
      <c r="T18">
        <v>0.26576959133084144</v>
      </c>
      <c r="U18">
        <v>5.0488872692194972E-2</v>
      </c>
      <c r="V18">
        <v>0.72626447958842677</v>
      </c>
      <c r="W18">
        <v>0.1078906140149167</v>
      </c>
      <c r="X18">
        <v>0.50449389373443676</v>
      </c>
      <c r="Y18">
        <v>0.60555934134525202</v>
      </c>
      <c r="Z18">
        <v>9.8373246336880438E-2</v>
      </c>
      <c r="AA18">
        <v>0.46488727082514508</v>
      </c>
      <c r="AB18">
        <v>0.91587391875535906</v>
      </c>
      <c r="AC18">
        <v>0.18886289788831623</v>
      </c>
      <c r="AD18">
        <v>0.57063347070018211</v>
      </c>
      <c r="AF18" t="s">
        <v>282</v>
      </c>
      <c r="AG18" t="s">
        <v>101</v>
      </c>
      <c r="AH18">
        <v>0</v>
      </c>
      <c r="AI18">
        <v>3.4777524561039413E-2</v>
      </c>
      <c r="AJ18">
        <v>0.93107834267131673</v>
      </c>
      <c r="AK18">
        <v>0</v>
      </c>
      <c r="AL18">
        <v>2.9985369972479858E-2</v>
      </c>
      <c r="AM18">
        <v>6.4546277241262856E-2</v>
      </c>
      <c r="AN18">
        <v>0</v>
      </c>
      <c r="AO18">
        <v>1.9871018715922794E-2</v>
      </c>
      <c r="AP18">
        <v>2.8701214992668769E-2</v>
      </c>
      <c r="AQ18">
        <v>0</v>
      </c>
      <c r="AR18">
        <v>2.674485493128758E-2</v>
      </c>
      <c r="AS18">
        <v>0.30722529074330429</v>
      </c>
      <c r="AU18" t="s">
        <v>282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3.2450680922827727E-2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282</v>
      </c>
      <c r="BS18">
        <v>0</v>
      </c>
      <c r="BT18">
        <v>0.14225060416918692</v>
      </c>
      <c r="BU18">
        <v>2.0090311023471168E-4</v>
      </c>
      <c r="BV18">
        <v>8.3826357080591888E-3</v>
      </c>
      <c r="BW18">
        <v>0.32554394728983688</v>
      </c>
      <c r="BX18">
        <v>1.6357081817310503E-2</v>
      </c>
      <c r="BY18">
        <v>1.370593639959807E-2</v>
      </c>
      <c r="BZ18">
        <v>0.36541635879548817</v>
      </c>
      <c r="CA18">
        <v>2.9321396401717714E-2</v>
      </c>
      <c r="CB18">
        <v>9.1617991587778251E-4</v>
      </c>
      <c r="CC18">
        <v>0.20147510873024416</v>
      </c>
      <c r="CD18">
        <v>2.247093899834433E-3</v>
      </c>
      <c r="CF18" t="s">
        <v>282</v>
      </c>
      <c r="CG18" t="s">
        <v>108</v>
      </c>
      <c r="CH18" t="s">
        <v>109</v>
      </c>
      <c r="CI18">
        <v>0.34325459833114447</v>
      </c>
    </row>
    <row r="19" spans="2:87" x14ac:dyDescent="0.45">
      <c r="B19" t="s">
        <v>283</v>
      </c>
      <c r="C19" t="s">
        <v>99</v>
      </c>
      <c r="D19">
        <v>0</v>
      </c>
      <c r="E19">
        <v>0.42512409673665363</v>
      </c>
      <c r="F19">
        <v>0.99629629629629601</v>
      </c>
      <c r="G19">
        <v>0.83115215918613883</v>
      </c>
      <c r="H19">
        <v>0.22512393227927946</v>
      </c>
      <c r="I19">
        <v>0.75068124935266023</v>
      </c>
      <c r="J19">
        <v>0.74332706892234357</v>
      </c>
      <c r="K19">
        <v>0.19055743108030287</v>
      </c>
      <c r="L19">
        <v>0.65020500331914455</v>
      </c>
      <c r="M19">
        <v>0.94494019681128061</v>
      </c>
      <c r="N19">
        <v>0.34040349701229017</v>
      </c>
      <c r="O19">
        <v>0.93668639470534765</v>
      </c>
      <c r="Q19" t="s">
        <v>283</v>
      </c>
      <c r="R19" t="s">
        <v>100</v>
      </c>
      <c r="S19">
        <v>0</v>
      </c>
      <c r="T19">
        <v>0.25208255791681944</v>
      </c>
      <c r="U19">
        <v>0</v>
      </c>
      <c r="V19">
        <v>0.7188986716611192</v>
      </c>
      <c r="W19">
        <v>9.9980555106440105E-2</v>
      </c>
      <c r="X19">
        <v>0.58697910843233569</v>
      </c>
      <c r="Y19">
        <v>0.60116960801698138</v>
      </c>
      <c r="Z19">
        <v>9.5156657148967497E-2</v>
      </c>
      <c r="AA19">
        <v>0.49693068515006733</v>
      </c>
      <c r="AB19">
        <v>0.89691439010521301</v>
      </c>
      <c r="AC19">
        <v>0.18043633883307017</v>
      </c>
      <c r="AD19">
        <v>0.57626746531446582</v>
      </c>
      <c r="AF19" t="s">
        <v>283</v>
      </c>
      <c r="AG19" t="s">
        <v>101</v>
      </c>
      <c r="AH19">
        <v>0</v>
      </c>
      <c r="AI19">
        <v>3.0779756849556694E-2</v>
      </c>
      <c r="AJ19">
        <v>0.99260631001371735</v>
      </c>
      <c r="AK19">
        <v>0</v>
      </c>
      <c r="AL19">
        <v>3.2879673780485001E-2</v>
      </c>
      <c r="AM19">
        <v>0</v>
      </c>
      <c r="AN19">
        <v>0</v>
      </c>
      <c r="AO19">
        <v>1.849959176307555E-2</v>
      </c>
      <c r="AP19">
        <v>0</v>
      </c>
      <c r="AQ19">
        <v>0</v>
      </c>
      <c r="AR19">
        <v>3.5178665097990079E-2</v>
      </c>
      <c r="AS19">
        <v>0.30895033922779241</v>
      </c>
      <c r="AU19" t="s">
        <v>283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2.0640162851772524E-2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283</v>
      </c>
      <c r="BS19">
        <v>0</v>
      </c>
      <c r="BT19">
        <v>0.1474475899406158</v>
      </c>
      <c r="BU19">
        <v>5.7530487212236158E-5</v>
      </c>
      <c r="BV19">
        <v>9.0568754255168776E-3</v>
      </c>
      <c r="BW19">
        <v>0.32638518271236494</v>
      </c>
      <c r="BX19">
        <v>1.4006609274930889E-2</v>
      </c>
      <c r="BY19">
        <v>1.4821027542388242E-2</v>
      </c>
      <c r="BZ19">
        <v>0.37037506514969559</v>
      </c>
      <c r="CA19">
        <v>2.6219575014534854E-2</v>
      </c>
      <c r="CB19">
        <v>1.382115328170316E-3</v>
      </c>
      <c r="CC19">
        <v>0.20502281370781011</v>
      </c>
      <c r="CD19">
        <v>1.672510294178711E-3</v>
      </c>
      <c r="CF19" t="s">
        <v>283</v>
      </c>
      <c r="CG19" t="s">
        <v>108</v>
      </c>
      <c r="CH19" t="s">
        <v>109</v>
      </c>
      <c r="CI19">
        <v>0.35645620065811318</v>
      </c>
    </row>
    <row r="20" spans="2:87" x14ac:dyDescent="0.45">
      <c r="B20" t="s">
        <v>284</v>
      </c>
      <c r="C20" t="s">
        <v>99</v>
      </c>
      <c r="D20">
        <v>0</v>
      </c>
      <c r="E20">
        <v>0.53045282708789321</v>
      </c>
      <c r="F20">
        <v>0.98333333333333339</v>
      </c>
      <c r="G20">
        <v>0.84766305623614469</v>
      </c>
      <c r="H20">
        <v>0.24204551112063333</v>
      </c>
      <c r="I20">
        <v>0.70327444440141318</v>
      </c>
      <c r="J20">
        <v>0.74665260551254453</v>
      </c>
      <c r="K20">
        <v>0.21301918706000755</v>
      </c>
      <c r="L20">
        <v>0.59611660987047721</v>
      </c>
      <c r="M20">
        <v>0.9719920289244236</v>
      </c>
      <c r="N20">
        <v>0.37361747610040419</v>
      </c>
      <c r="O20">
        <v>0.91465543907105118</v>
      </c>
      <c r="Q20" t="s">
        <v>284</v>
      </c>
      <c r="R20" t="s">
        <v>100</v>
      </c>
      <c r="S20">
        <v>0</v>
      </c>
      <c r="T20">
        <v>0.31716701939507153</v>
      </c>
      <c r="U20">
        <v>0.13899703682758227</v>
      </c>
      <c r="V20">
        <v>0.74311196122427015</v>
      </c>
      <c r="W20">
        <v>0.12162781138570478</v>
      </c>
      <c r="X20">
        <v>0.37759415902886201</v>
      </c>
      <c r="Y20">
        <v>0.6020206561252337</v>
      </c>
      <c r="Z20">
        <v>9.963220117037247E-2</v>
      </c>
      <c r="AA20">
        <v>0.25168560645883775</v>
      </c>
      <c r="AB20">
        <v>0.94662410509260519</v>
      </c>
      <c r="AC20">
        <v>0.19581173354269593</v>
      </c>
      <c r="AD20">
        <v>0.4298410894432273</v>
      </c>
      <c r="AF20" t="s">
        <v>284</v>
      </c>
      <c r="AG20" t="s">
        <v>101</v>
      </c>
      <c r="AH20">
        <v>0</v>
      </c>
      <c r="AI20">
        <v>6.4270375100416902E-2</v>
      </c>
      <c r="AJ20">
        <v>0.82877204673017058</v>
      </c>
      <c r="AK20">
        <v>0</v>
      </c>
      <c r="AL20">
        <v>1.8588286211014205E-2</v>
      </c>
      <c r="AM20">
        <v>0.18135904362901512</v>
      </c>
      <c r="AN20">
        <v>0</v>
      </c>
      <c r="AO20">
        <v>2.3406432681494314E-2</v>
      </c>
      <c r="AP20">
        <v>0.18744445349683364</v>
      </c>
      <c r="AQ20">
        <v>0</v>
      </c>
      <c r="AR20">
        <v>4.4963284215022298E-2</v>
      </c>
      <c r="AS20">
        <v>0.41170492838535777</v>
      </c>
      <c r="AU20" t="s">
        <v>284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3.187365678465651E-3</v>
      </c>
      <c r="BF20">
        <v>0</v>
      </c>
      <c r="BG20">
        <v>0</v>
      </c>
      <c r="BH20">
        <v>9.5855426990647235E-3</v>
      </c>
      <c r="BR20" t="s">
        <v>284</v>
      </c>
      <c r="BS20">
        <v>0</v>
      </c>
      <c r="BT20">
        <v>9.4453173213709302E-2</v>
      </c>
      <c r="BU20">
        <v>4.2325853061283403E-4</v>
      </c>
      <c r="BV20">
        <v>5.395989916984755E-3</v>
      </c>
      <c r="BW20">
        <v>0.37207416845290575</v>
      </c>
      <c r="BX20">
        <v>2.6992012199851499E-2</v>
      </c>
      <c r="BY20">
        <v>9.8973498325873894E-3</v>
      </c>
      <c r="BZ20">
        <v>0.35841134878072767</v>
      </c>
      <c r="CA20">
        <v>4.4175263384693957E-2</v>
      </c>
      <c r="CB20">
        <v>2.2254232503578876E-4</v>
      </c>
      <c r="CC20">
        <v>0.1786138424977155</v>
      </c>
      <c r="CD20">
        <v>3.3450070824891987E-3</v>
      </c>
      <c r="CF20" t="s">
        <v>284</v>
      </c>
      <c r="CG20" t="s">
        <v>108</v>
      </c>
      <c r="CH20" t="s">
        <v>109</v>
      </c>
      <c r="CI20">
        <v>0.37207416845290575</v>
      </c>
    </row>
    <row r="21" spans="2:87" x14ac:dyDescent="0.45">
      <c r="B21" t="s">
        <v>285</v>
      </c>
      <c r="C21" t="s">
        <v>99</v>
      </c>
      <c r="D21">
        <v>0</v>
      </c>
      <c r="E21">
        <v>0.5325757745333547</v>
      </c>
      <c r="F21">
        <v>0.98703703703703716</v>
      </c>
      <c r="G21">
        <v>0.83742564028125843</v>
      </c>
      <c r="H21">
        <v>0.23235287544966737</v>
      </c>
      <c r="I21">
        <v>0.70100132054573194</v>
      </c>
      <c r="J21">
        <v>0.73310601425527455</v>
      </c>
      <c r="K21">
        <v>0.20967024991583694</v>
      </c>
      <c r="L21">
        <v>0.58932535665645103</v>
      </c>
      <c r="M21">
        <v>0.96916089570103492</v>
      </c>
      <c r="N21">
        <v>0.3820690753559719</v>
      </c>
      <c r="O21">
        <v>0.92022116209716909</v>
      </c>
      <c r="Q21" t="s">
        <v>285</v>
      </c>
      <c r="R21" t="s">
        <v>100</v>
      </c>
      <c r="S21">
        <v>0</v>
      </c>
      <c r="T21">
        <v>0.30188681063249295</v>
      </c>
      <c r="U21">
        <v>0.15207659872310683</v>
      </c>
      <c r="V21">
        <v>0.72780273181520849</v>
      </c>
      <c r="W21">
        <v>0.11646240421449899</v>
      </c>
      <c r="X21">
        <v>0.43010620386792925</v>
      </c>
      <c r="Y21">
        <v>0.58982298018075463</v>
      </c>
      <c r="Z21">
        <v>0.10370108975288458</v>
      </c>
      <c r="AA21">
        <v>0.27284222306446615</v>
      </c>
      <c r="AB21">
        <v>0.94048888769514294</v>
      </c>
      <c r="AC21">
        <v>0.19376230213682921</v>
      </c>
      <c r="AD21">
        <v>0.34980672652373956</v>
      </c>
      <c r="AF21" t="s">
        <v>285</v>
      </c>
      <c r="AG21" t="s">
        <v>101</v>
      </c>
      <c r="AH21">
        <v>0</v>
      </c>
      <c r="AI21">
        <v>7.6436717038495375E-2</v>
      </c>
      <c r="AJ21">
        <v>0.82216551375974645</v>
      </c>
      <c r="AK21">
        <v>0</v>
      </c>
      <c r="AL21">
        <v>1.5271214849553039E-2</v>
      </c>
      <c r="AM21">
        <v>0.12361700461576441</v>
      </c>
      <c r="AN21">
        <v>0</v>
      </c>
      <c r="AO21">
        <v>1.948928504917672E-2</v>
      </c>
      <c r="AP21">
        <v>0.16061685109897714</v>
      </c>
      <c r="AQ21">
        <v>0</v>
      </c>
      <c r="AR21">
        <v>5.5567993401396384E-2</v>
      </c>
      <c r="AS21">
        <v>0.44217052462921747</v>
      </c>
      <c r="AU21" t="s">
        <v>285</v>
      </c>
      <c r="AV21" t="s">
        <v>102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1.5754371423323623E-3</v>
      </c>
      <c r="BF21">
        <v>0</v>
      </c>
      <c r="BG21">
        <v>0</v>
      </c>
      <c r="BH21">
        <v>6.6789046716334205E-2</v>
      </c>
      <c r="BR21" t="s">
        <v>285</v>
      </c>
      <c r="BS21">
        <v>0</v>
      </c>
      <c r="BT21">
        <v>0.1003832386326062</v>
      </c>
      <c r="BU21">
        <v>3.5971236756049396E-4</v>
      </c>
      <c r="BV21">
        <v>6.202809213468663E-3</v>
      </c>
      <c r="BW21">
        <v>0.37722494833900111</v>
      </c>
      <c r="BX21">
        <v>2.6099140820956691E-2</v>
      </c>
      <c r="BY21">
        <v>1.0677034494146136E-2</v>
      </c>
      <c r="BZ21">
        <v>0.33772670601333121</v>
      </c>
      <c r="CA21">
        <v>4.045345337386605E-2</v>
      </c>
      <c r="CB21">
        <v>2.8224869979383207E-4</v>
      </c>
      <c r="CC21">
        <v>0.16288249360177676</v>
      </c>
      <c r="CD21">
        <v>2.9031473375810118E-3</v>
      </c>
      <c r="CF21" t="s">
        <v>285</v>
      </c>
      <c r="CG21" t="s">
        <v>108</v>
      </c>
      <c r="CH21" t="s">
        <v>109</v>
      </c>
      <c r="CI21">
        <v>0.37715855340325694</v>
      </c>
    </row>
    <row r="22" spans="2:87" x14ac:dyDescent="0.45">
      <c r="B22" t="s">
        <v>286</v>
      </c>
      <c r="C22" t="s">
        <v>99</v>
      </c>
      <c r="D22">
        <v>0</v>
      </c>
      <c r="E22">
        <v>0.49640973416033735</v>
      </c>
      <c r="F22">
        <v>0</v>
      </c>
      <c r="G22">
        <v>0.81734533565326861</v>
      </c>
      <c r="H22">
        <v>0.2189829841407851</v>
      </c>
      <c r="I22">
        <v>0.72081737509732369</v>
      </c>
      <c r="J22">
        <v>0.70467032791264383</v>
      </c>
      <c r="K22">
        <v>0.19003408774218156</v>
      </c>
      <c r="L22">
        <v>0.60023832136385824</v>
      </c>
      <c r="M22">
        <v>0.95870250289095205</v>
      </c>
      <c r="N22">
        <v>0.38949294098880527</v>
      </c>
      <c r="O22">
        <v>0.93099888749712778</v>
      </c>
      <c r="Q22" t="s">
        <v>286</v>
      </c>
      <c r="R22" t="s">
        <v>100</v>
      </c>
      <c r="S22">
        <v>0</v>
      </c>
      <c r="T22">
        <v>0.29726202134529167</v>
      </c>
      <c r="U22">
        <v>0</v>
      </c>
      <c r="V22">
        <v>0.69673031541142827</v>
      </c>
      <c r="W22">
        <v>0.11216564697240586</v>
      </c>
      <c r="X22">
        <v>0.52986726621579516</v>
      </c>
      <c r="Y22">
        <v>0.55580359005940949</v>
      </c>
      <c r="Z22">
        <v>9.3415395335237392E-2</v>
      </c>
      <c r="AA22">
        <v>0.34152033242874658</v>
      </c>
      <c r="AB22">
        <v>0.92351928565206587</v>
      </c>
      <c r="AC22">
        <v>0.20778982458106929</v>
      </c>
      <c r="AD22">
        <v>0.31091445103490989</v>
      </c>
      <c r="AF22" t="s">
        <v>286</v>
      </c>
      <c r="AG22" t="s">
        <v>101</v>
      </c>
      <c r="AH22">
        <v>0</v>
      </c>
      <c r="AI22">
        <v>4.7543525674407387E-2</v>
      </c>
      <c r="AJ22">
        <v>0</v>
      </c>
      <c r="AK22">
        <v>0</v>
      </c>
      <c r="AL22">
        <v>1.4163233067165965E-2</v>
      </c>
      <c r="AM22">
        <v>5.2296215594221492E-2</v>
      </c>
      <c r="AN22">
        <v>0</v>
      </c>
      <c r="AO22">
        <v>1.7742034620631449E-2</v>
      </c>
      <c r="AP22">
        <v>0.10298480700512647</v>
      </c>
      <c r="AQ22">
        <v>0</v>
      </c>
      <c r="AR22">
        <v>4.6012316036183047E-2</v>
      </c>
      <c r="AS22">
        <v>0.48089854520418718</v>
      </c>
      <c r="AU22" t="s">
        <v>286</v>
      </c>
      <c r="AV22" t="s">
        <v>102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8.7447221562753891E-2</v>
      </c>
      <c r="BR22" t="s">
        <v>286</v>
      </c>
      <c r="BS22">
        <v>0</v>
      </c>
      <c r="BT22">
        <v>0.10664814973895508</v>
      </c>
      <c r="BU22">
        <v>0</v>
      </c>
      <c r="BV22">
        <v>9.1738055760428698E-3</v>
      </c>
      <c r="BW22">
        <v>0.3844953970651942</v>
      </c>
      <c r="BX22">
        <v>2.0285436376652706E-2</v>
      </c>
      <c r="BY22">
        <v>1.5320365644752601E-2</v>
      </c>
      <c r="BZ22">
        <v>0.3536533192668298</v>
      </c>
      <c r="CA22">
        <v>3.5133252033870147E-2</v>
      </c>
      <c r="CB22">
        <v>6.0434466751418882E-4</v>
      </c>
      <c r="CC22">
        <v>0.16150817590805469</v>
      </c>
      <c r="CD22">
        <v>2.0419800794309268E-3</v>
      </c>
      <c r="CF22" t="s">
        <v>286</v>
      </c>
      <c r="CG22" t="s">
        <v>108</v>
      </c>
      <c r="CH22" t="s">
        <v>109</v>
      </c>
      <c r="CI22">
        <v>0.37980461314163599</v>
      </c>
    </row>
    <row r="23" spans="2:87" x14ac:dyDescent="0.45">
      <c r="B23" t="s">
        <v>287</v>
      </c>
      <c r="C23" t="s">
        <v>99</v>
      </c>
      <c r="D23">
        <v>0</v>
      </c>
      <c r="E23">
        <v>0.53094800045055546</v>
      </c>
      <c r="F23">
        <v>0.99259259259259247</v>
      </c>
      <c r="G23">
        <v>0.8350739753857096</v>
      </c>
      <c r="H23">
        <v>0.24362705977734522</v>
      </c>
      <c r="I23">
        <v>0.71917967026716279</v>
      </c>
      <c r="J23">
        <v>0.73357181438888353</v>
      </c>
      <c r="K23">
        <v>0.21892000841366097</v>
      </c>
      <c r="L23">
        <v>0.59996145811629897</v>
      </c>
      <c r="M23">
        <v>0.96552665808861371</v>
      </c>
      <c r="N23">
        <v>0.38071282915321264</v>
      </c>
      <c r="O23">
        <v>0.9300629984383989</v>
      </c>
      <c r="Q23" t="s">
        <v>287</v>
      </c>
      <c r="R23" t="s">
        <v>100</v>
      </c>
      <c r="S23">
        <v>0</v>
      </c>
      <c r="T23">
        <v>0.31169572802668538</v>
      </c>
      <c r="U23">
        <v>0.14676239164765498</v>
      </c>
      <c r="V23">
        <v>0.71981467162047053</v>
      </c>
      <c r="W23">
        <v>0.12011932403787552</v>
      </c>
      <c r="X23">
        <v>0.50212589444043543</v>
      </c>
      <c r="Y23">
        <v>0.59304459834248724</v>
      </c>
      <c r="Z23">
        <v>0.10704026477981875</v>
      </c>
      <c r="AA23">
        <v>0.28555346038028095</v>
      </c>
      <c r="AB23">
        <v>0.93426772546138526</v>
      </c>
      <c r="AC23">
        <v>0.20001064499409865</v>
      </c>
      <c r="AD23">
        <v>0.44460557444388232</v>
      </c>
      <c r="AF23" t="s">
        <v>287</v>
      </c>
      <c r="AG23" t="s">
        <v>101</v>
      </c>
      <c r="AH23">
        <v>0</v>
      </c>
      <c r="AI23">
        <v>7.1522012112365002E-2</v>
      </c>
      <c r="AJ23">
        <v>0.83919942613686671</v>
      </c>
      <c r="AK23">
        <v>0</v>
      </c>
      <c r="AL23">
        <v>2.4970323242209328E-2</v>
      </c>
      <c r="AM23">
        <v>5.3723344712209915E-2</v>
      </c>
      <c r="AN23">
        <v>0</v>
      </c>
      <c r="AO23">
        <v>2.9183332488117057E-2</v>
      </c>
      <c r="AP23">
        <v>0.1559911640734423</v>
      </c>
      <c r="AQ23">
        <v>0</v>
      </c>
      <c r="AR23">
        <v>5.1982629027940666E-2</v>
      </c>
      <c r="AS23">
        <v>0.33852084043716646</v>
      </c>
      <c r="AU23" t="s">
        <v>287</v>
      </c>
      <c r="AV23" t="s">
        <v>102</v>
      </c>
      <c r="AW23">
        <v>0</v>
      </c>
      <c r="AX23">
        <v>0</v>
      </c>
      <c r="AY23">
        <v>0</v>
      </c>
      <c r="AZ23">
        <v>0</v>
      </c>
      <c r="BA23">
        <v>5.1442782992580194E-4</v>
      </c>
      <c r="BB23">
        <v>1.7944389226501389E-2</v>
      </c>
      <c r="BC23">
        <v>0</v>
      </c>
      <c r="BD23">
        <v>0</v>
      </c>
      <c r="BE23">
        <v>4.9510601909693464E-3</v>
      </c>
      <c r="BF23">
        <v>0</v>
      </c>
      <c r="BG23">
        <v>0</v>
      </c>
      <c r="BH23">
        <v>8.9473105195512978E-2</v>
      </c>
      <c r="BR23" t="s">
        <v>287</v>
      </c>
      <c r="BS23">
        <v>0</v>
      </c>
      <c r="BT23">
        <v>0.10195691080541246</v>
      </c>
      <c r="BU23">
        <v>1.5295948216696869E-4</v>
      </c>
      <c r="BV23">
        <v>6.743825924407594E-3</v>
      </c>
      <c r="BW23">
        <v>0.31301161729617288</v>
      </c>
      <c r="BX23">
        <v>1.9660141780493114E-2</v>
      </c>
      <c r="BY23">
        <v>1.2016934699417461E-2</v>
      </c>
      <c r="BZ23">
        <v>0.31627707114949616</v>
      </c>
      <c r="CA23">
        <v>3.3455911474298605E-2</v>
      </c>
      <c r="CB23">
        <v>4.2906604109166683E-4</v>
      </c>
      <c r="CC23">
        <v>0.15297776767075363</v>
      </c>
      <c r="CD23">
        <v>2.0254141655880382E-3</v>
      </c>
      <c r="CF23" t="s">
        <v>287</v>
      </c>
      <c r="CG23" t="s">
        <v>108</v>
      </c>
      <c r="CH23" t="s">
        <v>109</v>
      </c>
      <c r="CI23">
        <v>0.31035751919032156</v>
      </c>
    </row>
    <row r="24" spans="2:87" x14ac:dyDescent="0.45">
      <c r="B24" t="s">
        <v>288</v>
      </c>
      <c r="C24" t="s">
        <v>99</v>
      </c>
      <c r="D24">
        <v>0</v>
      </c>
      <c r="E24">
        <v>0.49083145235865772</v>
      </c>
      <c r="F24">
        <v>0.99399245277584158</v>
      </c>
      <c r="G24">
        <v>0.82343379069868683</v>
      </c>
      <c r="H24">
        <v>0.22614948739134358</v>
      </c>
      <c r="I24">
        <v>0.71642306248653531</v>
      </c>
      <c r="J24">
        <v>0.7148072230093041</v>
      </c>
      <c r="K24">
        <v>0.19072506768871622</v>
      </c>
      <c r="L24">
        <v>0.59655184752304313</v>
      </c>
      <c r="M24">
        <v>0.96343986338654009</v>
      </c>
      <c r="N24">
        <v>0.3798250202109949</v>
      </c>
      <c r="O24">
        <v>0.92944494082324391</v>
      </c>
      <c r="Q24" t="s">
        <v>288</v>
      </c>
      <c r="R24" t="s">
        <v>100</v>
      </c>
      <c r="S24">
        <v>0</v>
      </c>
      <c r="T24">
        <v>0.2924764931623699</v>
      </c>
      <c r="U24">
        <v>0.63788530472940053</v>
      </c>
      <c r="V24">
        <v>0.70308734327544575</v>
      </c>
      <c r="W24">
        <v>0.11683876150261176</v>
      </c>
      <c r="X24">
        <v>0.50561043177044163</v>
      </c>
      <c r="Y24">
        <v>0.56813722214459783</v>
      </c>
      <c r="Z24">
        <v>9.4636838445278509E-2</v>
      </c>
      <c r="AA24">
        <v>0.30840487520172799</v>
      </c>
      <c r="AB24">
        <v>0.93261433370676994</v>
      </c>
      <c r="AC24">
        <v>0.19854724098774834</v>
      </c>
      <c r="AD24">
        <v>0.39106062216207138</v>
      </c>
      <c r="AF24" t="s">
        <v>288</v>
      </c>
      <c r="AG24" t="s">
        <v>101</v>
      </c>
      <c r="AH24">
        <v>0</v>
      </c>
      <c r="AI24">
        <v>4.4814913828492953E-2</v>
      </c>
      <c r="AJ24">
        <v>0.35058496775324216</v>
      </c>
      <c r="AK24">
        <v>0</v>
      </c>
      <c r="AL24">
        <v>1.3836654904519453E-2</v>
      </c>
      <c r="AM24">
        <v>6.6146078175397666E-2</v>
      </c>
      <c r="AN24">
        <v>0</v>
      </c>
      <c r="AO24">
        <v>1.8961631378531907E-2</v>
      </c>
      <c r="AP24">
        <v>0.13445795125456944</v>
      </c>
      <c r="AQ24">
        <v>0</v>
      </c>
      <c r="AR24">
        <v>4.767623287480157E-2</v>
      </c>
      <c r="AS24">
        <v>0.480839905093564</v>
      </c>
      <c r="AU24" t="s">
        <v>288</v>
      </c>
      <c r="AV24" t="s">
        <v>102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2.3631411893491523E-3</v>
      </c>
      <c r="BF24">
        <v>0</v>
      </c>
      <c r="BG24">
        <v>0</v>
      </c>
      <c r="BH24">
        <v>3.5183823351623692E-3</v>
      </c>
      <c r="BR24" t="s">
        <v>288</v>
      </c>
      <c r="BS24">
        <v>0</v>
      </c>
      <c r="BT24">
        <v>0.11246110861861695</v>
      </c>
      <c r="BU24">
        <v>2.9783144037401414E-5</v>
      </c>
      <c r="BV24">
        <v>8.0758990052697665E-3</v>
      </c>
      <c r="BW24">
        <v>0.35382977609282928</v>
      </c>
      <c r="BX24">
        <v>2.1056830348559586E-2</v>
      </c>
      <c r="BY24">
        <v>1.384491721370871E-2</v>
      </c>
      <c r="BZ24">
        <v>0.3443626095143455</v>
      </c>
      <c r="CA24">
        <v>3.5409568149780087E-2</v>
      </c>
      <c r="CB24">
        <v>5.371256886386427E-4</v>
      </c>
      <c r="CC24">
        <v>0.16977565614875084</v>
      </c>
      <c r="CD24">
        <v>2.2554839691629356E-3</v>
      </c>
      <c r="CF24" t="s">
        <v>288</v>
      </c>
      <c r="CG24" t="s">
        <v>108</v>
      </c>
      <c r="CH24" t="s">
        <v>109</v>
      </c>
      <c r="CI24">
        <v>0.35028394068578717</v>
      </c>
    </row>
    <row r="25" spans="2:87" x14ac:dyDescent="0.45">
      <c r="B25" t="s">
        <v>289</v>
      </c>
      <c r="C25" t="s">
        <v>99</v>
      </c>
      <c r="D25">
        <v>0</v>
      </c>
      <c r="E25">
        <v>0.47430939632581681</v>
      </c>
      <c r="F25">
        <v>0.99444444444444424</v>
      </c>
      <c r="G25">
        <v>0.82323766809002974</v>
      </c>
      <c r="H25">
        <v>0.21782737826400531</v>
      </c>
      <c r="I25">
        <v>0.72189961357447441</v>
      </c>
      <c r="J25">
        <v>0.71905366839634022</v>
      </c>
      <c r="K25">
        <v>0.17707316136449849</v>
      </c>
      <c r="L25">
        <v>0.60692460523083158</v>
      </c>
      <c r="M25">
        <v>0.9570756799401956</v>
      </c>
      <c r="N25">
        <v>0.33747552493555699</v>
      </c>
      <c r="O25">
        <v>0.93033129350591948</v>
      </c>
      <c r="Q25" t="s">
        <v>289</v>
      </c>
      <c r="R25" t="s">
        <v>100</v>
      </c>
      <c r="S25">
        <v>0</v>
      </c>
      <c r="T25">
        <v>0.27630839616283043</v>
      </c>
      <c r="U25">
        <v>0.27201784524629252</v>
      </c>
      <c r="V25">
        <v>0.70582369598190131</v>
      </c>
      <c r="W25">
        <v>0.10791559485693375</v>
      </c>
      <c r="X25">
        <v>0.54152325425212933</v>
      </c>
      <c r="Y25">
        <v>0.57601642385288632</v>
      </c>
      <c r="Z25">
        <v>8.935588325718026E-2</v>
      </c>
      <c r="AA25">
        <v>0.38217397661978575</v>
      </c>
      <c r="AB25">
        <v>0.91883134651131093</v>
      </c>
      <c r="AC25">
        <v>0.17985810509983163</v>
      </c>
      <c r="AD25">
        <v>0.48217025092756999</v>
      </c>
      <c r="AF25" t="s">
        <v>289</v>
      </c>
      <c r="AG25" t="s">
        <v>101</v>
      </c>
      <c r="AH25">
        <v>0</v>
      </c>
      <c r="AI25">
        <v>4.6576838803184625E-2</v>
      </c>
      <c r="AJ25">
        <v>0.71690190784012731</v>
      </c>
      <c r="AK25">
        <v>0</v>
      </c>
      <c r="AL25">
        <v>1.8158777778064281E-2</v>
      </c>
      <c r="AM25">
        <v>1.987502005033932E-2</v>
      </c>
      <c r="AN25">
        <v>0</v>
      </c>
      <c r="AO25">
        <v>1.7882903177689452E-2</v>
      </c>
      <c r="AP25">
        <v>6.5533644811054906E-2</v>
      </c>
      <c r="AQ25">
        <v>0</v>
      </c>
      <c r="AR25">
        <v>3.1015056135251868E-2</v>
      </c>
      <c r="AS25">
        <v>0.29629156756847586</v>
      </c>
      <c r="AU25" t="s">
        <v>289</v>
      </c>
      <c r="AV25" t="s">
        <v>102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1.8389819693687436E-2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9.6353977767092869E-2</v>
      </c>
      <c r="BR25" t="s">
        <v>289</v>
      </c>
      <c r="BS25">
        <v>0</v>
      </c>
      <c r="BT25">
        <v>0.12402752031651222</v>
      </c>
      <c r="BU25">
        <v>3.1448557695585379E-5</v>
      </c>
      <c r="BV25">
        <v>8.6439448700031309E-3</v>
      </c>
      <c r="BW25">
        <v>0.33957244897177424</v>
      </c>
      <c r="BX25">
        <v>1.9041915892945637E-2</v>
      </c>
      <c r="BY25">
        <v>1.4943944453354506E-2</v>
      </c>
      <c r="BZ25">
        <v>0.35485895553244529</v>
      </c>
      <c r="CA25">
        <v>3.4471242240589679E-2</v>
      </c>
      <c r="CB25">
        <v>7.659774133842584E-4</v>
      </c>
      <c r="CC25">
        <v>0.1866561718595868</v>
      </c>
      <c r="CD25">
        <v>2.2045112732766601E-3</v>
      </c>
      <c r="CF25" t="s">
        <v>289</v>
      </c>
      <c r="CG25" t="s">
        <v>108</v>
      </c>
      <c r="CH25" t="s">
        <v>109</v>
      </c>
      <c r="CI25">
        <v>0.33707537045846059</v>
      </c>
    </row>
    <row r="26" spans="2:87" x14ac:dyDescent="0.45">
      <c r="B26" t="s">
        <v>290</v>
      </c>
      <c r="C26" t="s">
        <v>99</v>
      </c>
      <c r="D26">
        <v>0</v>
      </c>
      <c r="E26">
        <v>0.48799256810009317</v>
      </c>
      <c r="F26">
        <v>0.98881894759546995</v>
      </c>
      <c r="G26">
        <v>0.84011529847676092</v>
      </c>
      <c r="H26">
        <v>0.2363876199872233</v>
      </c>
      <c r="I26">
        <v>0.72491430123813139</v>
      </c>
      <c r="J26">
        <v>0.7424182753306412</v>
      </c>
      <c r="K26">
        <v>0.1947416551497857</v>
      </c>
      <c r="L26">
        <v>0.62396784325493704</v>
      </c>
      <c r="M26">
        <v>0.96010352155224654</v>
      </c>
      <c r="N26">
        <v>0.33534421352873561</v>
      </c>
      <c r="O26">
        <v>0.92756663582568621</v>
      </c>
      <c r="Q26" t="s">
        <v>290</v>
      </c>
      <c r="R26" t="s">
        <v>100</v>
      </c>
      <c r="S26">
        <v>0</v>
      </c>
      <c r="T26">
        <v>0.2879971488696928</v>
      </c>
      <c r="U26">
        <v>2.2688866888850003E-2</v>
      </c>
      <c r="V26">
        <v>0.72914951717844778</v>
      </c>
      <c r="W26">
        <v>0.11766788318977796</v>
      </c>
      <c r="X26">
        <v>0.49870074025292777</v>
      </c>
      <c r="Y26">
        <v>0.59677910185958072</v>
      </c>
      <c r="Z26">
        <v>9.7926096804298979E-2</v>
      </c>
      <c r="AA26">
        <v>0.36111066531952574</v>
      </c>
      <c r="AB26">
        <v>0.92317646303100664</v>
      </c>
      <c r="AC26">
        <v>0.1838463076347395</v>
      </c>
      <c r="AD26">
        <v>0.50409751783294887</v>
      </c>
      <c r="AF26" t="s">
        <v>290</v>
      </c>
      <c r="AG26" t="s">
        <v>101</v>
      </c>
      <c r="AH26">
        <v>0</v>
      </c>
      <c r="AI26">
        <v>4.2786348352326323E-2</v>
      </c>
      <c r="AJ26">
        <v>0.95514320351111481</v>
      </c>
      <c r="AK26">
        <v>0</v>
      </c>
      <c r="AL26">
        <v>1.9313840867824342E-2</v>
      </c>
      <c r="AM26">
        <v>8.6305468627032159E-2</v>
      </c>
      <c r="AN26">
        <v>0</v>
      </c>
      <c r="AO26">
        <v>1.5619182090858519E-2</v>
      </c>
      <c r="AP26">
        <v>0.10439057782584642</v>
      </c>
      <c r="AQ26">
        <v>0</v>
      </c>
      <c r="AR26">
        <v>2.8568944584921263E-2</v>
      </c>
      <c r="AS26">
        <v>0.36757350852307086</v>
      </c>
      <c r="AU26" t="s">
        <v>290</v>
      </c>
      <c r="AV26" t="s">
        <v>102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5.8206703904662888E-5</v>
      </c>
      <c r="BR26" t="s">
        <v>290</v>
      </c>
      <c r="BS26">
        <v>0</v>
      </c>
      <c r="BT26">
        <v>0.12924735539364207</v>
      </c>
      <c r="BU26">
        <v>3.2641537082904801E-4</v>
      </c>
      <c r="BV26">
        <v>7.2934308830280362E-3</v>
      </c>
      <c r="BW26">
        <v>0.33194372046704063</v>
      </c>
      <c r="BX26">
        <v>2.0640981381302586E-2</v>
      </c>
      <c r="BY26">
        <v>1.2615905333149553E-2</v>
      </c>
      <c r="BZ26">
        <v>0.34956092813547385</v>
      </c>
      <c r="CA26">
        <v>3.4186936087525661E-2</v>
      </c>
      <c r="CB26">
        <v>5.2846459743940304E-4</v>
      </c>
      <c r="CC26">
        <v>0.188651854316809</v>
      </c>
      <c r="CD26">
        <v>2.4377404102775167E-3</v>
      </c>
      <c r="CF26" t="s">
        <v>290</v>
      </c>
      <c r="CG26" t="s">
        <v>108</v>
      </c>
      <c r="CH26" t="s">
        <v>109</v>
      </c>
      <c r="CI26">
        <v>0.32930007762165087</v>
      </c>
    </row>
    <row r="27" spans="2:87" x14ac:dyDescent="0.45">
      <c r="B27" t="s">
        <v>291</v>
      </c>
      <c r="C27" t="s">
        <v>99</v>
      </c>
      <c r="D27">
        <v>0</v>
      </c>
      <c r="E27">
        <v>0.46636894028435311</v>
      </c>
      <c r="F27">
        <v>0.99629629629629624</v>
      </c>
      <c r="G27">
        <v>0.83096766087169893</v>
      </c>
      <c r="H27">
        <v>0.23393406434858424</v>
      </c>
      <c r="I27">
        <v>0.73032932603731182</v>
      </c>
      <c r="J27">
        <v>0.72937034870375239</v>
      </c>
      <c r="K27">
        <v>0.18882615994645574</v>
      </c>
      <c r="L27">
        <v>0.62575642885904537</v>
      </c>
      <c r="M27">
        <v>0.9551599718559417</v>
      </c>
      <c r="N27">
        <v>0.34682013530447331</v>
      </c>
      <c r="O27">
        <v>0.93571017156144987</v>
      </c>
      <c r="Q27" t="s">
        <v>291</v>
      </c>
      <c r="R27" t="s">
        <v>100</v>
      </c>
      <c r="S27">
        <v>0</v>
      </c>
      <c r="T27">
        <v>0.27237918167838693</v>
      </c>
      <c r="U27">
        <v>0.57202257114983257</v>
      </c>
      <c r="V27">
        <v>0.71484299435442744</v>
      </c>
      <c r="W27">
        <v>0.11604356282519138</v>
      </c>
      <c r="X27">
        <v>0.56783558518468369</v>
      </c>
      <c r="Y27">
        <v>0.5892837906074635</v>
      </c>
      <c r="Z27">
        <v>9.9117892923509393E-2</v>
      </c>
      <c r="AA27">
        <v>0.39879170971970157</v>
      </c>
      <c r="AB27">
        <v>0.91711101693310904</v>
      </c>
      <c r="AC27">
        <v>0.18859004509624591</v>
      </c>
      <c r="AD27">
        <v>0.6809691433592967</v>
      </c>
      <c r="AF27" t="s">
        <v>291</v>
      </c>
      <c r="AG27" t="s">
        <v>101</v>
      </c>
      <c r="AH27">
        <v>0</v>
      </c>
      <c r="AI27">
        <v>3.54472583641567E-2</v>
      </c>
      <c r="AJ27">
        <v>0.42058373886388495</v>
      </c>
      <c r="AK27">
        <v>0</v>
      </c>
      <c r="AL27">
        <v>2.4089961493026224E-2</v>
      </c>
      <c r="AM27">
        <v>1.6157853449960114E-2</v>
      </c>
      <c r="AN27">
        <v>0</v>
      </c>
      <c r="AO27">
        <v>1.3865894767765338E-2</v>
      </c>
      <c r="AP27">
        <v>7.0499125107685606E-2</v>
      </c>
      <c r="AQ27">
        <v>0</v>
      </c>
      <c r="AR27">
        <v>2.8360046914882624E-2</v>
      </c>
      <c r="AS27">
        <v>0.1999379487778922</v>
      </c>
      <c r="AU27" t="s">
        <v>291</v>
      </c>
      <c r="AV27" t="s">
        <v>102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291</v>
      </c>
      <c r="BS27">
        <v>0</v>
      </c>
      <c r="BT27">
        <v>0.13287835464154327</v>
      </c>
      <c r="BU27">
        <v>2.6412503455125029E-5</v>
      </c>
      <c r="BV27">
        <v>8.7702412207478781E-3</v>
      </c>
      <c r="BW27">
        <v>0.33313064781744156</v>
      </c>
      <c r="BX27">
        <v>1.8499477485674744E-2</v>
      </c>
      <c r="BY27">
        <v>1.4949635705397795E-2</v>
      </c>
      <c r="BZ27">
        <v>0.35632180361926308</v>
      </c>
      <c r="CA27">
        <v>3.1108368188507051E-2</v>
      </c>
      <c r="CB27">
        <v>9.2673497832171717E-4</v>
      </c>
      <c r="CC27">
        <v>0.19410526168503148</v>
      </c>
      <c r="CD27">
        <v>1.9838857795021177E-3</v>
      </c>
      <c r="CF27" t="s">
        <v>291</v>
      </c>
      <c r="CG27" t="s">
        <v>108</v>
      </c>
      <c r="CH27" t="s">
        <v>109</v>
      </c>
      <c r="CI27">
        <v>0.34459842795478507</v>
      </c>
    </row>
    <row r="28" spans="2:87" x14ac:dyDescent="0.45">
      <c r="B28" t="s">
        <v>292</v>
      </c>
      <c r="C28" t="s">
        <v>99</v>
      </c>
      <c r="D28">
        <v>0</v>
      </c>
      <c r="E28">
        <v>0.45776308426837631</v>
      </c>
      <c r="F28">
        <v>0.99434915085361475</v>
      </c>
      <c r="G28">
        <v>0.83489384957021995</v>
      </c>
      <c r="H28">
        <v>0.23294414941784278</v>
      </c>
      <c r="I28">
        <v>0.73570246433040865</v>
      </c>
      <c r="J28">
        <v>0.73962770381571807</v>
      </c>
      <c r="K28">
        <v>0.18731835128835508</v>
      </c>
      <c r="L28">
        <v>0.63522555648699008</v>
      </c>
      <c r="M28">
        <v>0.95491397183113513</v>
      </c>
      <c r="N28">
        <v>0.33168626495672671</v>
      </c>
      <c r="O28">
        <v>0.93247182526470795</v>
      </c>
      <c r="Q28" t="s">
        <v>292</v>
      </c>
      <c r="R28" t="s">
        <v>100</v>
      </c>
      <c r="S28">
        <v>0</v>
      </c>
      <c r="T28">
        <v>0.26324628425700691</v>
      </c>
      <c r="U28">
        <v>3.7245605638351012E-2</v>
      </c>
      <c r="V28">
        <v>0.72203418248453466</v>
      </c>
      <c r="W28">
        <v>0.11845561731648581</v>
      </c>
      <c r="X28">
        <v>0.51268770554695242</v>
      </c>
      <c r="Y28">
        <v>0.6005804872148135</v>
      </c>
      <c r="Z28">
        <v>9.5310281660778901E-2</v>
      </c>
      <c r="AA28">
        <v>0.42815708964042465</v>
      </c>
      <c r="AB28">
        <v>0.91352834704722263</v>
      </c>
      <c r="AC28">
        <v>0.1805736686673432</v>
      </c>
      <c r="AD28">
        <v>0.71556329857605694</v>
      </c>
      <c r="AF28" t="s">
        <v>292</v>
      </c>
      <c r="AG28" t="s">
        <v>101</v>
      </c>
      <c r="AH28">
        <v>0</v>
      </c>
      <c r="AI28">
        <v>4.3985361024733979E-2</v>
      </c>
      <c r="AJ28">
        <v>0.95157938326607672</v>
      </c>
      <c r="AK28">
        <v>0</v>
      </c>
      <c r="AL28">
        <v>2.1337248356855475E-2</v>
      </c>
      <c r="AM28">
        <v>7.9178241755570963E-2</v>
      </c>
      <c r="AN28">
        <v>0</v>
      </c>
      <c r="AO28">
        <v>1.4951166570432483E-2</v>
      </c>
      <c r="AP28">
        <v>5.2817756003026239E-2</v>
      </c>
      <c r="AQ28">
        <v>0</v>
      </c>
      <c r="AR28">
        <v>2.8878537705149337E-2</v>
      </c>
      <c r="AS28">
        <v>0.15813910166040324</v>
      </c>
      <c r="AU28" t="s">
        <v>292</v>
      </c>
      <c r="AV28" t="s">
        <v>102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8.1082756643295151E-4</v>
      </c>
      <c r="BR28" t="s">
        <v>292</v>
      </c>
      <c r="BS28">
        <v>0</v>
      </c>
      <c r="BT28">
        <v>0.13012314314161624</v>
      </c>
      <c r="BU28">
        <v>1.4680216624731064E-4</v>
      </c>
      <c r="BV28">
        <v>8.0422891893454015E-3</v>
      </c>
      <c r="BW28">
        <v>0.33111179718155015</v>
      </c>
      <c r="BX28">
        <v>1.7752342092089105E-2</v>
      </c>
      <c r="BY28">
        <v>1.3817174131200321E-2</v>
      </c>
      <c r="BZ28">
        <v>0.3553611930556827</v>
      </c>
      <c r="CA28">
        <v>2.9990861247529001E-2</v>
      </c>
      <c r="CB28">
        <v>7.7492973334811167E-4</v>
      </c>
      <c r="CC28">
        <v>0.18756504544706901</v>
      </c>
      <c r="CD28">
        <v>1.9946600592954497E-3</v>
      </c>
      <c r="CF28" t="s">
        <v>292</v>
      </c>
      <c r="CG28" t="s">
        <v>108</v>
      </c>
      <c r="CH28" t="s">
        <v>109</v>
      </c>
      <c r="CI28">
        <v>0.33569723127314194</v>
      </c>
    </row>
    <row r="29" spans="2:87" x14ac:dyDescent="0.45">
      <c r="B29" t="s">
        <v>293</v>
      </c>
      <c r="C29" t="s">
        <v>99</v>
      </c>
      <c r="D29">
        <v>0</v>
      </c>
      <c r="E29">
        <v>0.48544426893574366</v>
      </c>
      <c r="F29">
        <v>0.9769146781554251</v>
      </c>
      <c r="G29">
        <v>0.86058008321538848</v>
      </c>
      <c r="H29">
        <v>0.24601208038195518</v>
      </c>
      <c r="I29">
        <v>0.70380878417861037</v>
      </c>
      <c r="J29">
        <v>0.76305050022425913</v>
      </c>
      <c r="K29">
        <v>0.20588483906094385</v>
      </c>
      <c r="L29">
        <v>0.61408442197643998</v>
      </c>
      <c r="M29">
        <v>0.96757958271293931</v>
      </c>
      <c r="N29">
        <v>0.3409641997449161</v>
      </c>
      <c r="O29">
        <v>0.90850372841128069</v>
      </c>
      <c r="Q29" t="s">
        <v>293</v>
      </c>
      <c r="R29" t="s">
        <v>100</v>
      </c>
      <c r="S29">
        <v>0</v>
      </c>
      <c r="T29">
        <v>0.28338679887146145</v>
      </c>
      <c r="U29">
        <v>0.19916762827263831</v>
      </c>
      <c r="V29">
        <v>0.7593038832632214</v>
      </c>
      <c r="W29">
        <v>0.1234426590792931</v>
      </c>
      <c r="X29">
        <v>0.35930483508879107</v>
      </c>
      <c r="Y29">
        <v>0.61869587583678431</v>
      </c>
      <c r="Z29">
        <v>9.9090760095941643E-2</v>
      </c>
      <c r="AA29">
        <v>0.26586152363119786</v>
      </c>
      <c r="AB29">
        <v>0.93950727709260151</v>
      </c>
      <c r="AC29">
        <v>0.18539534619496364</v>
      </c>
      <c r="AD29">
        <v>0.48225353190174808</v>
      </c>
      <c r="AF29" t="s">
        <v>293</v>
      </c>
      <c r="AG29" t="s">
        <v>101</v>
      </c>
      <c r="AH29">
        <v>0</v>
      </c>
      <c r="AI29">
        <v>4.2368878161017462E-2</v>
      </c>
      <c r="AJ29">
        <v>0.75603783481266651</v>
      </c>
      <c r="AK29">
        <v>0</v>
      </c>
      <c r="AL29">
        <v>2.092728246337652E-2</v>
      </c>
      <c r="AM29">
        <v>0.19313012501264765</v>
      </c>
      <c r="AN29">
        <v>0</v>
      </c>
      <c r="AO29">
        <v>2.2662416441260026E-2</v>
      </c>
      <c r="AP29">
        <v>0.18144675949664923</v>
      </c>
      <c r="AQ29">
        <v>0</v>
      </c>
      <c r="AR29">
        <v>2.8723732281230471E-2</v>
      </c>
      <c r="AS29">
        <v>0.35810146425775702</v>
      </c>
      <c r="AU29" t="s">
        <v>293</v>
      </c>
      <c r="AV29" t="s">
        <v>102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2.8905015653276703E-3</v>
      </c>
      <c r="BC29">
        <v>0</v>
      </c>
      <c r="BD29">
        <v>0</v>
      </c>
      <c r="BE29">
        <v>1.2165701333554236E-3</v>
      </c>
      <c r="BF29">
        <v>0</v>
      </c>
      <c r="BG29">
        <v>0</v>
      </c>
      <c r="BH29">
        <v>1.4315988800639892E-3</v>
      </c>
      <c r="BR29" t="s">
        <v>293</v>
      </c>
      <c r="BS29">
        <v>0</v>
      </c>
      <c r="BT29">
        <v>0.12431916349749525</v>
      </c>
      <c r="BU29">
        <v>8.1770779969977296E-4</v>
      </c>
      <c r="BV29">
        <v>4.4905952200168684E-3</v>
      </c>
      <c r="BW29">
        <v>0.32163312358335377</v>
      </c>
      <c r="BX29">
        <v>2.4531086268377664E-2</v>
      </c>
      <c r="BY29">
        <v>9.251784139662057E-3</v>
      </c>
      <c r="BZ29">
        <v>0.33802217851256167</v>
      </c>
      <c r="CA29">
        <v>3.7517621477855666E-2</v>
      </c>
      <c r="CB29">
        <v>2.9323497583024871E-4</v>
      </c>
      <c r="CC29">
        <v>0.19155860212846473</v>
      </c>
      <c r="CD29">
        <v>3.3695956567939803E-3</v>
      </c>
      <c r="CF29" t="s">
        <v>293</v>
      </c>
      <c r="CG29" t="s">
        <v>108</v>
      </c>
      <c r="CH29" t="s">
        <v>109</v>
      </c>
      <c r="CI29">
        <v>0.3208284759676055</v>
      </c>
    </row>
    <row r="30" spans="2:87" x14ac:dyDescent="0.45">
      <c r="B30" t="s">
        <v>294</v>
      </c>
      <c r="C30" t="s">
        <v>99</v>
      </c>
      <c r="D30">
        <v>0</v>
      </c>
      <c r="E30">
        <v>0.51407948329351705</v>
      </c>
      <c r="F30">
        <v>0.98963483122424734</v>
      </c>
      <c r="G30">
        <v>0.84220578681548663</v>
      </c>
      <c r="H30">
        <v>0.24127450404935449</v>
      </c>
      <c r="I30">
        <v>0.71774207029023651</v>
      </c>
      <c r="J30">
        <v>0.7420475621985686</v>
      </c>
      <c r="K30">
        <v>0.20349619349957163</v>
      </c>
      <c r="L30">
        <v>0.61195609385637117</v>
      </c>
      <c r="M30">
        <v>0.96504781603841672</v>
      </c>
      <c r="N30">
        <v>0.35473716261353672</v>
      </c>
      <c r="O30">
        <v>0.9273436923599282</v>
      </c>
      <c r="Q30" t="s">
        <v>294</v>
      </c>
      <c r="R30" t="s">
        <v>100</v>
      </c>
      <c r="S30">
        <v>0</v>
      </c>
      <c r="T30">
        <v>0.30473805420378275</v>
      </c>
      <c r="U30">
        <v>0.1030744072280486</v>
      </c>
      <c r="V30">
        <v>0.73622688280367221</v>
      </c>
      <c r="W30">
        <v>0.12105128353010053</v>
      </c>
      <c r="X30">
        <v>0.44069903893724777</v>
      </c>
      <c r="Y30">
        <v>0.60070448823281553</v>
      </c>
      <c r="Z30">
        <v>9.9747519646414207E-2</v>
      </c>
      <c r="AA30">
        <v>0.32527300272416232</v>
      </c>
      <c r="AB30">
        <v>0.933304071834546</v>
      </c>
      <c r="AC30">
        <v>0.19446868945743076</v>
      </c>
      <c r="AD30">
        <v>0.41787387791724218</v>
      </c>
      <c r="AF30" t="s">
        <v>294</v>
      </c>
      <c r="AG30" t="s">
        <v>101</v>
      </c>
      <c r="AH30">
        <v>0</v>
      </c>
      <c r="AI30">
        <v>5.695955690508657E-2</v>
      </c>
      <c r="AJ30">
        <v>0.87739713852190016</v>
      </c>
      <c r="AK30">
        <v>0</v>
      </c>
      <c r="AL30">
        <v>2.044337160083818E-2</v>
      </c>
      <c r="AM30">
        <v>0.12688254481670794</v>
      </c>
      <c r="AN30">
        <v>0</v>
      </c>
      <c r="AO30">
        <v>1.9180945940124813E-2</v>
      </c>
      <c r="AP30">
        <v>0.12794227866037183</v>
      </c>
      <c r="AQ30">
        <v>0</v>
      </c>
      <c r="AR30">
        <v>3.5674666875044066E-2</v>
      </c>
      <c r="AS30">
        <v>0.45346202360752252</v>
      </c>
      <c r="AU30" t="s">
        <v>294</v>
      </c>
      <c r="AV30" t="s">
        <v>102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5.3023316304571019E-3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7.5287749636029704E-4</v>
      </c>
      <c r="BR30" t="s">
        <v>294</v>
      </c>
      <c r="BS30">
        <v>0</v>
      </c>
      <c r="BT30">
        <v>0.11136086109769536</v>
      </c>
      <c r="BU30">
        <v>2.9274262128139701E-4</v>
      </c>
      <c r="BV30">
        <v>6.5450700360574019E-3</v>
      </c>
      <c r="BW30">
        <v>0.31878216181115149</v>
      </c>
      <c r="BX30">
        <v>2.0325967194894694E-2</v>
      </c>
      <c r="BY30">
        <v>1.1325327397478718E-2</v>
      </c>
      <c r="BZ30">
        <v>0.32310238175156042</v>
      </c>
      <c r="CA30">
        <v>3.5079519796387161E-2</v>
      </c>
      <c r="CB30">
        <v>4.4913608695174863E-4</v>
      </c>
      <c r="CC30">
        <v>0.17040741399550988</v>
      </c>
      <c r="CD30">
        <v>2.4230379469172727E-3</v>
      </c>
      <c r="CF30" t="s">
        <v>294</v>
      </c>
      <c r="CG30" t="s">
        <v>108</v>
      </c>
      <c r="CH30" t="s">
        <v>109</v>
      </c>
      <c r="CI30">
        <v>0.31476569964181489</v>
      </c>
    </row>
    <row r="31" spans="2:87" x14ac:dyDescent="0.45">
      <c r="B31" t="s">
        <v>295</v>
      </c>
      <c r="C31" t="s">
        <v>99</v>
      </c>
      <c r="D31">
        <v>0</v>
      </c>
      <c r="E31">
        <v>0.49248664805211873</v>
      </c>
      <c r="F31">
        <v>0.98518518518518516</v>
      </c>
      <c r="G31">
        <v>0.8500491246900983</v>
      </c>
      <c r="H31">
        <v>0.23767404561705899</v>
      </c>
      <c r="I31">
        <v>0.7088533825120783</v>
      </c>
      <c r="J31">
        <v>0.74920467553203429</v>
      </c>
      <c r="K31">
        <v>0.19369292042710123</v>
      </c>
      <c r="L31">
        <v>0.61066559275311416</v>
      </c>
      <c r="M31">
        <v>0.96557662415910595</v>
      </c>
      <c r="N31">
        <v>0.33885718015962285</v>
      </c>
      <c r="O31">
        <v>0.91415378002242786</v>
      </c>
      <c r="Q31" t="s">
        <v>295</v>
      </c>
      <c r="R31" t="s">
        <v>100</v>
      </c>
      <c r="S31">
        <v>0</v>
      </c>
      <c r="T31">
        <v>0.28695547230691654</v>
      </c>
      <c r="U31">
        <v>0.14226331957622107</v>
      </c>
      <c r="V31">
        <v>0.74522214324044644</v>
      </c>
      <c r="W31">
        <v>0.11971396340564458</v>
      </c>
      <c r="X31">
        <v>0.4015308139227044</v>
      </c>
      <c r="Y31">
        <v>0.60377764832900938</v>
      </c>
      <c r="Z31">
        <v>9.2454088583159844E-2</v>
      </c>
      <c r="AA31">
        <v>0.3012792212686809</v>
      </c>
      <c r="AB31">
        <v>0.93405103379617715</v>
      </c>
      <c r="AC31">
        <v>0.17949960606654206</v>
      </c>
      <c r="AD31">
        <v>0.38573103611585741</v>
      </c>
      <c r="AF31" t="s">
        <v>295</v>
      </c>
      <c r="AG31" t="s">
        <v>101</v>
      </c>
      <c r="AH31">
        <v>0</v>
      </c>
      <c r="AI31">
        <v>4.9517383010431661E-2</v>
      </c>
      <c r="AJ31">
        <v>0.82832652953214647</v>
      </c>
      <c r="AK31">
        <v>0</v>
      </c>
      <c r="AL31">
        <v>1.9978889767982684E-2</v>
      </c>
      <c r="AM31">
        <v>0.16106691337380405</v>
      </c>
      <c r="AN31">
        <v>0</v>
      </c>
      <c r="AO31">
        <v>1.7347660279695611E-2</v>
      </c>
      <c r="AP31">
        <v>0.14700717283234041</v>
      </c>
      <c r="AQ31">
        <v>0</v>
      </c>
      <c r="AR31">
        <v>3.2543074889044121E-2</v>
      </c>
      <c r="AS31">
        <v>0.45979242496011546</v>
      </c>
      <c r="AU31" t="s">
        <v>295</v>
      </c>
      <c r="AV31" t="s">
        <v>102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295</v>
      </c>
      <c r="BS31">
        <v>0</v>
      </c>
      <c r="BT31">
        <v>0.11639433263665486</v>
      </c>
      <c r="BU31">
        <v>5.30280907630473E-4</v>
      </c>
      <c r="BV31">
        <v>5.3697155277924371E-3</v>
      </c>
      <c r="BW31">
        <v>0.35511057382600358</v>
      </c>
      <c r="BX31">
        <v>2.4560944095940868E-2</v>
      </c>
      <c r="BY31">
        <v>1.0356496267212903E-2</v>
      </c>
      <c r="BZ31">
        <v>0.36918759229384351</v>
      </c>
      <c r="CA31">
        <v>3.9958341050632909E-2</v>
      </c>
      <c r="CB31">
        <v>3.645334482770896E-4</v>
      </c>
      <c r="CC31">
        <v>0.19868355311623731</v>
      </c>
      <c r="CD31">
        <v>3.1990527405335581E-3</v>
      </c>
      <c r="CF31" t="s">
        <v>295</v>
      </c>
      <c r="CG31" t="s">
        <v>108</v>
      </c>
      <c r="CH31" t="s">
        <v>109</v>
      </c>
      <c r="CI31">
        <v>0.35345233831633555</v>
      </c>
    </row>
    <row r="32" spans="2:87" x14ac:dyDescent="0.45">
      <c r="B32" t="s">
        <v>296</v>
      </c>
      <c r="C32" t="s">
        <v>99</v>
      </c>
      <c r="D32">
        <v>0.23816877765748989</v>
      </c>
      <c r="E32">
        <v>0.22577577510282609</v>
      </c>
      <c r="F32">
        <v>0.25282200017724715</v>
      </c>
      <c r="G32">
        <v>0.24731166036943877</v>
      </c>
      <c r="H32">
        <v>0.27167859269050443</v>
      </c>
      <c r="I32">
        <v>0.23813166594647642</v>
      </c>
      <c r="J32">
        <v>0.32249132637508082</v>
      </c>
      <c r="K32">
        <v>0.33239256258136324</v>
      </c>
      <c r="L32">
        <v>0.27724186380252985</v>
      </c>
      <c r="M32">
        <v>0.2860017536813757</v>
      </c>
      <c r="N32">
        <v>0.27533371365901099</v>
      </c>
      <c r="O32">
        <v>0.26536285050475783</v>
      </c>
      <c r="Q32" t="s">
        <v>296</v>
      </c>
      <c r="R32" t="s">
        <v>100</v>
      </c>
      <c r="S32">
        <v>8.2041567188421045E-3</v>
      </c>
      <c r="T32">
        <v>1.6199526657262035E-2</v>
      </c>
      <c r="U32">
        <v>1.0373090984675554E-2</v>
      </c>
      <c r="V32">
        <v>1.1758389628951926E-2</v>
      </c>
      <c r="W32">
        <v>1.2275525482923858E-2</v>
      </c>
      <c r="X32">
        <v>6.8427275426649146E-3</v>
      </c>
      <c r="Y32">
        <v>2.1992958405315621E-2</v>
      </c>
      <c r="Z32">
        <v>1.1279480919736858E-2</v>
      </c>
      <c r="AA32">
        <v>1.8977900892527023E-2</v>
      </c>
      <c r="AB32">
        <v>1.3881888442540071E-2</v>
      </c>
      <c r="AC32">
        <v>1.9481637053707326E-2</v>
      </c>
      <c r="AD32">
        <v>8.8107376852320281E-3</v>
      </c>
      <c r="AF32" t="s">
        <v>296</v>
      </c>
      <c r="AG32" t="s">
        <v>101</v>
      </c>
      <c r="AH32">
        <v>1.0285607780771274E-2</v>
      </c>
      <c r="AI32">
        <v>1.3864337614896659E-2</v>
      </c>
      <c r="AJ32">
        <v>2.2697828814986807E-2</v>
      </c>
      <c r="AK32">
        <v>6.1156318184410023E-3</v>
      </c>
      <c r="AL32">
        <v>1.8081672447311146E-2</v>
      </c>
      <c r="AM32">
        <v>1.3820689842568748E-2</v>
      </c>
      <c r="AN32">
        <v>2.483741645908526E-2</v>
      </c>
      <c r="AO32">
        <v>2.674950086541595E-2</v>
      </c>
      <c r="AP32">
        <v>1.2069297484414643E-2</v>
      </c>
      <c r="AQ32">
        <v>1.2867329509406772E-2</v>
      </c>
      <c r="AR32">
        <v>2.2859632309607636E-2</v>
      </c>
      <c r="AS32">
        <v>1.9016808656171724E-2</v>
      </c>
      <c r="AU32" t="s">
        <v>296</v>
      </c>
      <c r="AV32" t="s">
        <v>102</v>
      </c>
      <c r="AW32">
        <v>0.10309643018171472</v>
      </c>
      <c r="AX32">
        <v>8.7820739530041617E-2</v>
      </c>
      <c r="AY32">
        <v>9.3975868994154471E-2</v>
      </c>
      <c r="AZ32">
        <v>0.11422879577217517</v>
      </c>
      <c r="BA32">
        <v>0.12247044101280916</v>
      </c>
      <c r="BB32">
        <v>0.10546505637686945</v>
      </c>
      <c r="BC32">
        <v>0.14272608859692235</v>
      </c>
      <c r="BD32">
        <v>0.16715990867944816</v>
      </c>
      <c r="BE32">
        <v>0.1402439301251307</v>
      </c>
      <c r="BF32">
        <v>0.13290477983286017</v>
      </c>
      <c r="BG32">
        <v>0.11003526029713949</v>
      </c>
      <c r="BH32">
        <v>0.11613878619969528</v>
      </c>
      <c r="BR32" t="s">
        <v>296</v>
      </c>
      <c r="BS32">
        <v>0.62058675025894949</v>
      </c>
      <c r="BT32">
        <v>0.61430825413869805</v>
      </c>
      <c r="BU32">
        <v>0.613870681123587</v>
      </c>
      <c r="BV32">
        <v>0.57876092379551769</v>
      </c>
      <c r="BW32">
        <v>0.55550577327014272</v>
      </c>
      <c r="BX32">
        <v>0.5923944363525081</v>
      </c>
      <c r="BY32">
        <v>0.42902412858565847</v>
      </c>
      <c r="BZ32">
        <v>0.4101353465136886</v>
      </c>
      <c r="CA32">
        <v>0.4490414823567444</v>
      </c>
      <c r="CB32">
        <v>0.54541512875973686</v>
      </c>
      <c r="CC32">
        <v>0.55463312982192237</v>
      </c>
      <c r="CD32">
        <v>0.57481249673852153</v>
      </c>
      <c r="CF32" t="s">
        <v>297</v>
      </c>
      <c r="CG32" t="s">
        <v>108</v>
      </c>
      <c r="CH32" t="s">
        <v>109</v>
      </c>
      <c r="CI32">
        <v>0.66149962542266116</v>
      </c>
    </row>
    <row r="33" spans="2:87" x14ac:dyDescent="0.45">
      <c r="B33" t="s">
        <v>298</v>
      </c>
      <c r="C33" t="s">
        <v>99</v>
      </c>
      <c r="D33">
        <v>0.24726798436026948</v>
      </c>
      <c r="E33">
        <v>0.26078486423338004</v>
      </c>
      <c r="F33">
        <v>0.2469615906205031</v>
      </c>
      <c r="G33">
        <v>0.25894685778875637</v>
      </c>
      <c r="H33">
        <v>0.30196922073169408</v>
      </c>
      <c r="I33">
        <v>0.25947855474670706</v>
      </c>
      <c r="J33">
        <v>0.3330326282060409</v>
      </c>
      <c r="K33">
        <v>0.37235101392335712</v>
      </c>
      <c r="L33">
        <v>0.31330298088483616</v>
      </c>
      <c r="M33">
        <v>0.319218924891505</v>
      </c>
      <c r="N33">
        <v>0.30068357174224197</v>
      </c>
      <c r="O33">
        <v>0.27528615169104492</v>
      </c>
      <c r="Q33" t="s">
        <v>298</v>
      </c>
      <c r="R33" t="s">
        <v>100</v>
      </c>
      <c r="S33">
        <v>8.9319638792778999E-3</v>
      </c>
      <c r="T33">
        <v>1.5118653372935513E-2</v>
      </c>
      <c r="U33">
        <v>1.8089467154115257E-2</v>
      </c>
      <c r="V33">
        <v>1.5617241835872916E-2</v>
      </c>
      <c r="W33">
        <v>1.258604486927266E-2</v>
      </c>
      <c r="X33">
        <v>2.5467669262482569E-2</v>
      </c>
      <c r="Y33">
        <v>2.1852128938554649E-2</v>
      </c>
      <c r="Z33">
        <v>2.2895261986110065E-2</v>
      </c>
      <c r="AA33">
        <v>1.7960378607170077E-2</v>
      </c>
      <c r="AB33">
        <v>1.8822608434899225E-2</v>
      </c>
      <c r="AC33">
        <v>2.0915152509388385E-2</v>
      </c>
      <c r="AD33">
        <v>1.2162225648913035E-2</v>
      </c>
      <c r="AF33" t="s">
        <v>298</v>
      </c>
      <c r="AG33" t="s">
        <v>101</v>
      </c>
      <c r="AH33">
        <v>1.9367900685492847E-2</v>
      </c>
      <c r="AI33">
        <v>1.7325407231537845E-2</v>
      </c>
      <c r="AJ33">
        <v>1.020914297698185E-2</v>
      </c>
      <c r="AK33">
        <v>2.329191161797994E-2</v>
      </c>
      <c r="AL33">
        <v>1.6031081377936615E-2</v>
      </c>
      <c r="AM33">
        <v>1.2349590019653568E-2</v>
      </c>
      <c r="AN33">
        <v>3.2800842143430972E-2</v>
      </c>
      <c r="AO33">
        <v>2.0151016730468058E-2</v>
      </c>
      <c r="AP33">
        <v>2.3238351237610907E-2</v>
      </c>
      <c r="AQ33">
        <v>1.3526052504085517E-2</v>
      </c>
      <c r="AR33">
        <v>2.5166446181910277E-2</v>
      </c>
      <c r="AS33">
        <v>1.797115504287241E-2</v>
      </c>
      <c r="AU33" t="s">
        <v>298</v>
      </c>
      <c r="AV33" t="s">
        <v>102</v>
      </c>
      <c r="AW33">
        <v>0.10392637483475119</v>
      </c>
      <c r="AX33">
        <v>0.10137760242505207</v>
      </c>
      <c r="AY33">
        <v>9.2058258025980139E-2</v>
      </c>
      <c r="AZ33">
        <v>9.9963541297553943E-2</v>
      </c>
      <c r="BA33">
        <v>0.14626732429853703</v>
      </c>
      <c r="BB33">
        <v>0.10823315854087869</v>
      </c>
      <c r="BC33">
        <v>0.14980544729334108</v>
      </c>
      <c r="BD33">
        <v>0.17837535634964863</v>
      </c>
      <c r="BE33">
        <v>0.13008161967476281</v>
      </c>
      <c r="BF33">
        <v>0.14136019675077138</v>
      </c>
      <c r="BG33">
        <v>0.10740283378147894</v>
      </c>
      <c r="BH33">
        <v>0.10835704412046188</v>
      </c>
      <c r="BR33" t="s">
        <v>298</v>
      </c>
      <c r="BS33">
        <v>0.61165527610849724</v>
      </c>
      <c r="BT33">
        <v>0.60584862857097455</v>
      </c>
      <c r="BU33">
        <v>0.63251230398912128</v>
      </c>
      <c r="BV33">
        <v>0.56815393865083952</v>
      </c>
      <c r="BW33">
        <v>0.5084938648464582</v>
      </c>
      <c r="BX33">
        <v>0.57073323873491777</v>
      </c>
      <c r="BY33">
        <v>0.45142192419677302</v>
      </c>
      <c r="BZ33">
        <v>0.43513620710415607</v>
      </c>
      <c r="CA33">
        <v>0.52212106619555831</v>
      </c>
      <c r="CB33">
        <v>0.54255496037405959</v>
      </c>
      <c r="CC33">
        <v>0.56570507593344443</v>
      </c>
      <c r="CD33">
        <v>0.59186492957197367</v>
      </c>
      <c r="CF33" t="s">
        <v>299</v>
      </c>
      <c r="CG33" t="s">
        <v>108</v>
      </c>
      <c r="CH33" t="s">
        <v>109</v>
      </c>
      <c r="CI33">
        <v>0.56024035109446169</v>
      </c>
    </row>
    <row r="34" spans="2:87" x14ac:dyDescent="0.45">
      <c r="B34" t="s">
        <v>300</v>
      </c>
      <c r="C34" t="s">
        <v>99</v>
      </c>
      <c r="D34">
        <v>0.24516302096384046</v>
      </c>
      <c r="E34">
        <v>0.25916770414457274</v>
      </c>
      <c r="F34">
        <v>0.24096477728027818</v>
      </c>
      <c r="G34">
        <v>0.26297619568918462</v>
      </c>
      <c r="H34">
        <v>0.27062420856193703</v>
      </c>
      <c r="I34">
        <v>0.24196897495885911</v>
      </c>
      <c r="J34">
        <v>0.31432392496728151</v>
      </c>
      <c r="K34">
        <v>0.33063458619727454</v>
      </c>
      <c r="L34">
        <v>0.31067061748822572</v>
      </c>
      <c r="M34">
        <v>0.28425471806673053</v>
      </c>
      <c r="N34">
        <v>0.29857306898299008</v>
      </c>
      <c r="O34">
        <v>0.27027763065937344</v>
      </c>
      <c r="Q34" t="s">
        <v>300</v>
      </c>
      <c r="R34" t="s">
        <v>100</v>
      </c>
      <c r="S34">
        <v>7.7228961759055774E-3</v>
      </c>
      <c r="T34">
        <v>1.1128571040008809E-2</v>
      </c>
      <c r="U34">
        <v>1.7705440883636757E-2</v>
      </c>
      <c r="V34">
        <v>1.1298096765693997E-2</v>
      </c>
      <c r="W34">
        <v>1.1973213525532433E-2</v>
      </c>
      <c r="X34">
        <v>8.3847057208716984E-3</v>
      </c>
      <c r="Y34">
        <v>1.3704839650597635E-2</v>
      </c>
      <c r="Z34">
        <v>2.2795316436483058E-2</v>
      </c>
      <c r="AA34">
        <v>1.8543600088636591E-2</v>
      </c>
      <c r="AB34">
        <v>1.7187777713448069E-2</v>
      </c>
      <c r="AC34">
        <v>2.5871876720145209E-2</v>
      </c>
      <c r="AD34">
        <v>1.2195415889039007E-2</v>
      </c>
      <c r="AF34" t="s">
        <v>300</v>
      </c>
      <c r="AG34" t="s">
        <v>101</v>
      </c>
      <c r="AH34">
        <v>1.6550135109882007E-2</v>
      </c>
      <c r="AI34">
        <v>1.7563756758020785E-2</v>
      </c>
      <c r="AJ34">
        <v>8.5813630042233871E-3</v>
      </c>
      <c r="AK34">
        <v>1.4935188639551126E-2</v>
      </c>
      <c r="AL34">
        <v>1.9364983190325334E-2</v>
      </c>
      <c r="AM34">
        <v>1.8935486180078551E-2</v>
      </c>
      <c r="AN34">
        <v>3.1267085377665316E-2</v>
      </c>
      <c r="AO34">
        <v>2.9342955575838561E-2</v>
      </c>
      <c r="AP34">
        <v>2.4719234056403791E-2</v>
      </c>
      <c r="AQ34">
        <v>1.5897240301270037E-2</v>
      </c>
      <c r="AR34">
        <v>2.9486502740741449E-2</v>
      </c>
      <c r="AS34">
        <v>2.6672797695407591E-2</v>
      </c>
      <c r="AU34" t="s">
        <v>300</v>
      </c>
      <c r="AV34" t="s">
        <v>102</v>
      </c>
      <c r="AW34">
        <v>0.10498847037955543</v>
      </c>
      <c r="AX34">
        <v>0.1115232857927516</v>
      </c>
      <c r="AY34">
        <v>0.10374954497092304</v>
      </c>
      <c r="AZ34">
        <v>0.12605674703233272</v>
      </c>
      <c r="BA34">
        <v>0.12579752889835216</v>
      </c>
      <c r="BB34">
        <v>0.11722806035164644</v>
      </c>
      <c r="BC34">
        <v>0.14785205414653199</v>
      </c>
      <c r="BD34">
        <v>0.15649739840484966</v>
      </c>
      <c r="BE34">
        <v>0.14672291692476927</v>
      </c>
      <c r="BF34">
        <v>0.12321758300979556</v>
      </c>
      <c r="BG34">
        <v>0.10381268851517526</v>
      </c>
      <c r="BH34">
        <v>0.10697454667680613</v>
      </c>
      <c r="BR34" t="s">
        <v>300</v>
      </c>
      <c r="BS34">
        <v>0.58805951576498772</v>
      </c>
      <c r="BT34">
        <v>0.56954514278156487</v>
      </c>
      <c r="BU34">
        <v>0.59851463178456243</v>
      </c>
      <c r="BV34">
        <v>0.51737806443784795</v>
      </c>
      <c r="BW34">
        <v>0.51958539406591908</v>
      </c>
      <c r="BX34">
        <v>0.53628507651045498</v>
      </c>
      <c r="BY34">
        <v>0.37905745263120755</v>
      </c>
      <c r="BZ34">
        <v>0.36347952823591734</v>
      </c>
      <c r="CA34">
        <v>0.40863918655184445</v>
      </c>
      <c r="CB34">
        <v>0.52765491414408461</v>
      </c>
      <c r="CC34">
        <v>0.52643081088465549</v>
      </c>
      <c r="CD34">
        <v>0.55808937151061944</v>
      </c>
      <c r="CF34" t="s">
        <v>301</v>
      </c>
      <c r="CG34" t="s">
        <v>108</v>
      </c>
      <c r="CH34" t="s">
        <v>109</v>
      </c>
      <c r="CI34">
        <v>0.54541458574407109</v>
      </c>
    </row>
    <row r="35" spans="2:87" x14ac:dyDescent="0.45">
      <c r="B35" t="s">
        <v>302</v>
      </c>
      <c r="C35" t="s">
        <v>99</v>
      </c>
      <c r="D35">
        <v>0.21505516594710639</v>
      </c>
      <c r="E35">
        <v>0.20585520476772032</v>
      </c>
      <c r="F35">
        <v>0.22172049320286691</v>
      </c>
      <c r="G35">
        <v>0.20970191190727847</v>
      </c>
      <c r="H35">
        <v>0.2341099912594497</v>
      </c>
      <c r="I35">
        <v>0.20471897255560417</v>
      </c>
      <c r="J35">
        <v>0.31977601920802784</v>
      </c>
      <c r="K35">
        <v>0.3261351831463335</v>
      </c>
      <c r="L35">
        <v>0.2892285190762125</v>
      </c>
      <c r="M35">
        <v>0.29280257928689257</v>
      </c>
      <c r="N35">
        <v>0.30291578932513091</v>
      </c>
      <c r="O35">
        <v>0.26411410416914566</v>
      </c>
      <c r="Q35" t="s">
        <v>302</v>
      </c>
      <c r="R35" t="s">
        <v>100</v>
      </c>
      <c r="S35">
        <v>9.4121437534315407E-3</v>
      </c>
      <c r="T35">
        <v>1.252748801751627E-2</v>
      </c>
      <c r="U35">
        <v>1.0673847385414156E-2</v>
      </c>
      <c r="V35">
        <v>1.4283742592560369E-2</v>
      </c>
      <c r="W35">
        <v>6.2738428414675891E-3</v>
      </c>
      <c r="X35">
        <v>9.1317066749663084E-3</v>
      </c>
      <c r="Y35">
        <v>1.6177457898504017E-2</v>
      </c>
      <c r="Z35">
        <v>1.8593037946449373E-2</v>
      </c>
      <c r="AA35">
        <v>2.3346275641273177E-2</v>
      </c>
      <c r="AB35">
        <v>1.7380413380582924E-2</v>
      </c>
      <c r="AC35">
        <v>1.665627324022809E-2</v>
      </c>
      <c r="AD35">
        <v>1.1018168661881557E-2</v>
      </c>
      <c r="AF35" t="s">
        <v>302</v>
      </c>
      <c r="AG35" t="s">
        <v>101</v>
      </c>
      <c r="AH35">
        <v>1.306925497391084E-2</v>
      </c>
      <c r="AI35">
        <v>1.126317207401018E-2</v>
      </c>
      <c r="AJ35">
        <v>1.2765875779986002E-2</v>
      </c>
      <c r="AK35">
        <v>1.4584230826208534E-2</v>
      </c>
      <c r="AL35">
        <v>1.4429895105442063E-2</v>
      </c>
      <c r="AM35">
        <v>6.3136880233277863E-3</v>
      </c>
      <c r="AN35">
        <v>3.066244716188915E-2</v>
      </c>
      <c r="AO35">
        <v>2.9897907635436292E-2</v>
      </c>
      <c r="AP35">
        <v>2.9228743447709704E-2</v>
      </c>
      <c r="AQ35">
        <v>2.4643593754612947E-2</v>
      </c>
      <c r="AR35">
        <v>2.4926814473435564E-2</v>
      </c>
      <c r="AS35">
        <v>1.2224593254197644E-2</v>
      </c>
      <c r="AU35" t="s">
        <v>302</v>
      </c>
      <c r="AV35" t="s">
        <v>102</v>
      </c>
      <c r="AW35">
        <v>7.8179536481354034E-2</v>
      </c>
      <c r="AX35">
        <v>7.5125063500844927E-2</v>
      </c>
      <c r="AY35">
        <v>8.2403890110680902E-2</v>
      </c>
      <c r="AZ35">
        <v>7.6453135163348521E-2</v>
      </c>
      <c r="BA35">
        <v>9.6099531911968947E-2</v>
      </c>
      <c r="BB35">
        <v>8.6494259697459122E-2</v>
      </c>
      <c r="BC35">
        <v>0.141030938648152</v>
      </c>
      <c r="BD35">
        <v>0.14645540089789319</v>
      </c>
      <c r="BE35">
        <v>0.11954123655593279</v>
      </c>
      <c r="BF35">
        <v>0.12272280897251767</v>
      </c>
      <c r="BG35">
        <v>0.12835832825576374</v>
      </c>
      <c r="BH35">
        <v>0.12368449497553091</v>
      </c>
      <c r="BR35" t="s">
        <v>302</v>
      </c>
      <c r="BS35">
        <v>0.67039738424974016</v>
      </c>
      <c r="BT35">
        <v>0.67111808510335802</v>
      </c>
      <c r="BU35">
        <v>0.66799037226033975</v>
      </c>
      <c r="BV35">
        <v>0.64244398781842793</v>
      </c>
      <c r="BW35">
        <v>0.6268418157327228</v>
      </c>
      <c r="BX35">
        <v>0.65199646595708649</v>
      </c>
      <c r="BY35">
        <v>0.45170396226208476</v>
      </c>
      <c r="BZ35">
        <v>0.44289700995427</v>
      </c>
      <c r="CA35">
        <v>0.46958929275427286</v>
      </c>
      <c r="CB35">
        <v>0.54398248750708245</v>
      </c>
      <c r="CC35">
        <v>0.54300456392031804</v>
      </c>
      <c r="CD35">
        <v>0.56869849481977774</v>
      </c>
      <c r="CF35" t="s">
        <v>303</v>
      </c>
      <c r="CG35" t="s">
        <v>108</v>
      </c>
      <c r="CH35" t="s">
        <v>109</v>
      </c>
      <c r="CI35">
        <v>0.52338284514373623</v>
      </c>
    </row>
    <row r="36" spans="2:87" x14ac:dyDescent="0.45">
      <c r="B36" t="s">
        <v>304</v>
      </c>
      <c r="C36" t="s">
        <v>99</v>
      </c>
      <c r="D36">
        <v>0.20228407671141169</v>
      </c>
      <c r="E36">
        <v>0.19449750111299982</v>
      </c>
      <c r="F36">
        <v>0.20194792395912856</v>
      </c>
      <c r="G36">
        <v>0.19591033785134407</v>
      </c>
      <c r="H36">
        <v>0.21479466815856588</v>
      </c>
      <c r="I36">
        <v>0.19034411945087515</v>
      </c>
      <c r="J36">
        <v>0.29844283200312216</v>
      </c>
      <c r="K36">
        <v>0.31317432426432179</v>
      </c>
      <c r="L36">
        <v>0.28780041896754466</v>
      </c>
      <c r="M36">
        <v>0.2804765898681853</v>
      </c>
      <c r="N36">
        <v>0.28123486582206753</v>
      </c>
      <c r="O36">
        <v>0.27925020488132168</v>
      </c>
      <c r="Q36" t="s">
        <v>304</v>
      </c>
      <c r="R36" t="s">
        <v>100</v>
      </c>
      <c r="S36">
        <v>7.9606334925144302E-3</v>
      </c>
      <c r="T36">
        <v>1.5260400225874568E-2</v>
      </c>
      <c r="U36">
        <v>5.2114147206161658E-3</v>
      </c>
      <c r="V36">
        <v>1.0714070864057052E-2</v>
      </c>
      <c r="W36">
        <v>5.1884106924942322E-3</v>
      </c>
      <c r="X36">
        <v>7.6892743740389052E-3</v>
      </c>
      <c r="Y36">
        <v>2.1416312418814351E-2</v>
      </c>
      <c r="Z36">
        <v>1.4375546788470722E-2</v>
      </c>
      <c r="AA36">
        <v>1.2275959510001842E-2</v>
      </c>
      <c r="AB36">
        <v>1.8398600303853749E-2</v>
      </c>
      <c r="AC36">
        <v>2.0306663228813915E-2</v>
      </c>
      <c r="AD36">
        <v>1.4569448787522064E-2</v>
      </c>
      <c r="AF36" t="s">
        <v>304</v>
      </c>
      <c r="AG36" t="s">
        <v>101</v>
      </c>
      <c r="AH36">
        <v>7.9054998442440703E-3</v>
      </c>
      <c r="AI36">
        <v>1.255161010533966E-2</v>
      </c>
      <c r="AJ36">
        <v>1.4026336738329604E-2</v>
      </c>
      <c r="AK36">
        <v>1.4779885893805609E-2</v>
      </c>
      <c r="AL36">
        <v>9.4818157466533357E-3</v>
      </c>
      <c r="AM36">
        <v>5.1377859015321473E-3</v>
      </c>
      <c r="AN36">
        <v>2.6463787769926236E-2</v>
      </c>
      <c r="AO36">
        <v>3.0523517483735076E-2</v>
      </c>
      <c r="AP36">
        <v>2.7686086447887889E-2</v>
      </c>
      <c r="AQ36">
        <v>1.6471085063381068E-2</v>
      </c>
      <c r="AR36">
        <v>2.2101115185805327E-2</v>
      </c>
      <c r="AS36">
        <v>3.1255242141828211E-2</v>
      </c>
      <c r="AU36" t="s">
        <v>304</v>
      </c>
      <c r="AV36" t="s">
        <v>102</v>
      </c>
      <c r="AW36">
        <v>8.1132589341826808E-2</v>
      </c>
      <c r="AX36">
        <v>6.0011299952852648E-2</v>
      </c>
      <c r="AY36">
        <v>7.114656405754792E-2</v>
      </c>
      <c r="AZ36">
        <v>6.7729174804374279E-2</v>
      </c>
      <c r="BA36">
        <v>9.1849388261409204E-2</v>
      </c>
      <c r="BB36">
        <v>8.2762006311239325E-2</v>
      </c>
      <c r="BC36">
        <v>0.12795579262668522</v>
      </c>
      <c r="BD36">
        <v>0.15593208537167569</v>
      </c>
      <c r="BE36">
        <v>0.1355014562476542</v>
      </c>
      <c r="BF36">
        <v>0.12616966879991481</v>
      </c>
      <c r="BG36">
        <v>0.11471282573549639</v>
      </c>
      <c r="BH36">
        <v>0.10849301162851768</v>
      </c>
      <c r="BR36" t="s">
        <v>304</v>
      </c>
      <c r="BS36">
        <v>0.68705737598720196</v>
      </c>
      <c r="BT36">
        <v>0.70236950306297696</v>
      </c>
      <c r="BU36">
        <v>0.7013009934427108</v>
      </c>
      <c r="BV36">
        <v>0.6780825520553172</v>
      </c>
      <c r="BW36">
        <v>0.64736799374998</v>
      </c>
      <c r="BX36">
        <v>0.6648728865036454</v>
      </c>
      <c r="BY36">
        <v>0.44762593859445404</v>
      </c>
      <c r="BZ36">
        <v>0.42332106136414904</v>
      </c>
      <c r="CA36">
        <v>0.45018843457440039</v>
      </c>
      <c r="CB36">
        <v>0.54204000786286255</v>
      </c>
      <c r="CC36">
        <v>0.55583338207327126</v>
      </c>
      <c r="CD36">
        <v>0.54707682636327448</v>
      </c>
      <c r="CF36" t="s">
        <v>305</v>
      </c>
      <c r="CG36" t="s">
        <v>108</v>
      </c>
      <c r="CH36" t="s">
        <v>109</v>
      </c>
      <c r="CI36">
        <v>0.45486060108013476</v>
      </c>
    </row>
    <row r="37" spans="2:87" x14ac:dyDescent="0.45">
      <c r="B37" t="s">
        <v>306</v>
      </c>
      <c r="C37" t="s">
        <v>99</v>
      </c>
      <c r="D37">
        <v>0.21658605424875901</v>
      </c>
      <c r="E37">
        <v>0.24139617195486432</v>
      </c>
      <c r="F37">
        <v>0.23423774430352137</v>
      </c>
      <c r="G37">
        <v>0.26338824760580826</v>
      </c>
      <c r="H37">
        <v>0.25252385345269701</v>
      </c>
      <c r="I37">
        <v>0.25713614827883113</v>
      </c>
      <c r="J37">
        <v>0.33222590038620647</v>
      </c>
      <c r="K37">
        <v>0.33386587889545788</v>
      </c>
      <c r="L37">
        <v>0.31322682162994148</v>
      </c>
      <c r="M37">
        <v>0.28933199095704487</v>
      </c>
      <c r="N37">
        <v>0.29618953363597006</v>
      </c>
      <c r="O37">
        <v>0.28006487736259922</v>
      </c>
      <c r="Q37" t="s">
        <v>306</v>
      </c>
      <c r="R37" t="s">
        <v>100</v>
      </c>
      <c r="S37">
        <v>8.4854750978695659E-3</v>
      </c>
      <c r="T37">
        <v>1.982428079078126E-2</v>
      </c>
      <c r="U37">
        <v>7.8149151473636842E-3</v>
      </c>
      <c r="V37">
        <v>1.6696649499992472E-2</v>
      </c>
      <c r="W37">
        <v>1.054413482260185E-2</v>
      </c>
      <c r="X37">
        <v>1.0935060383391626E-2</v>
      </c>
      <c r="Y37">
        <v>1.9108693785731542E-2</v>
      </c>
      <c r="Z37">
        <v>2.892868135887142E-2</v>
      </c>
      <c r="AA37">
        <v>1.9804573845857688E-2</v>
      </c>
      <c r="AB37">
        <v>2.2737544990414967E-2</v>
      </c>
      <c r="AC37">
        <v>1.8647493552268146E-2</v>
      </c>
      <c r="AD37">
        <v>1.0693154247421373E-2</v>
      </c>
      <c r="AF37" t="s">
        <v>306</v>
      </c>
      <c r="AG37" t="s">
        <v>101</v>
      </c>
      <c r="AH37">
        <v>9.2959825559504241E-3</v>
      </c>
      <c r="AI37">
        <v>1.5381591385257264E-2</v>
      </c>
      <c r="AJ37">
        <v>1.5426910526006079E-2</v>
      </c>
      <c r="AK37">
        <v>1.9992428430800152E-2</v>
      </c>
      <c r="AL37">
        <v>1.7147294212207932E-2</v>
      </c>
      <c r="AM37">
        <v>1.4479639301518831E-2</v>
      </c>
      <c r="AN37">
        <v>2.6877564953618146E-2</v>
      </c>
      <c r="AO37">
        <v>3.3735712362767324E-2</v>
      </c>
      <c r="AP37">
        <v>3.2313487336753696E-2</v>
      </c>
      <c r="AQ37">
        <v>1.2185828530192068E-2</v>
      </c>
      <c r="AR37">
        <v>3.1894476938219812E-2</v>
      </c>
      <c r="AS37">
        <v>1.9951229450677635E-2</v>
      </c>
      <c r="AU37" t="s">
        <v>306</v>
      </c>
      <c r="AV37" t="s">
        <v>102</v>
      </c>
      <c r="AW37">
        <v>9.6994944009659245E-2</v>
      </c>
      <c r="AX37">
        <v>8.7741891831412303E-2</v>
      </c>
      <c r="AY37">
        <v>9.9970224998249577E-2</v>
      </c>
      <c r="AZ37">
        <v>9.8608197906105463E-2</v>
      </c>
      <c r="BA37">
        <v>0.10200210953295998</v>
      </c>
      <c r="BB37">
        <v>0.10910063858547731</v>
      </c>
      <c r="BC37">
        <v>0.16543467981669224</v>
      </c>
      <c r="BD37">
        <v>0.15273316258712707</v>
      </c>
      <c r="BE37">
        <v>0.14553534710051019</v>
      </c>
      <c r="BF37">
        <v>0.1303506866569652</v>
      </c>
      <c r="BG37">
        <v>0.1144217489841535</v>
      </c>
      <c r="BH37">
        <v>0.13042602860490018</v>
      </c>
      <c r="BR37" t="s">
        <v>306</v>
      </c>
      <c r="BS37">
        <v>0.63527522113836843</v>
      </c>
      <c r="BT37">
        <v>0.62016477889768629</v>
      </c>
      <c r="BU37">
        <v>0.63366814810576066</v>
      </c>
      <c r="BV37">
        <v>0.5786912092698171</v>
      </c>
      <c r="BW37">
        <v>0.58316584723653053</v>
      </c>
      <c r="BX37">
        <v>0.56764293528265919</v>
      </c>
      <c r="BY37">
        <v>0.3882103310610972</v>
      </c>
      <c r="BZ37">
        <v>0.37283634585354558</v>
      </c>
      <c r="CA37">
        <v>0.41478031706738128</v>
      </c>
      <c r="CB37">
        <v>0.51266702181621115</v>
      </c>
      <c r="CC37">
        <v>0.53324249761602183</v>
      </c>
      <c r="CD37">
        <v>0.5363950382246323</v>
      </c>
      <c r="CF37" t="s">
        <v>307</v>
      </c>
      <c r="CG37" t="s">
        <v>108</v>
      </c>
      <c r="CH37" t="s">
        <v>109</v>
      </c>
      <c r="CI37">
        <v>0.55468004713938024</v>
      </c>
    </row>
    <row r="38" spans="2:87" x14ac:dyDescent="0.45">
      <c r="B38" t="s">
        <v>308</v>
      </c>
      <c r="C38" t="s">
        <v>99</v>
      </c>
      <c r="D38">
        <v>0.22320590897658255</v>
      </c>
      <c r="E38">
        <v>0.22929832873915182</v>
      </c>
      <c r="F38">
        <v>0.21274515663308305</v>
      </c>
      <c r="G38">
        <v>0.26879184377908805</v>
      </c>
      <c r="H38">
        <v>0.27818597086170016</v>
      </c>
      <c r="I38">
        <v>0.26881993570456048</v>
      </c>
      <c r="J38">
        <v>0.34532006731727105</v>
      </c>
      <c r="K38">
        <v>0.35847415687298739</v>
      </c>
      <c r="L38">
        <v>0.3019953518790422</v>
      </c>
      <c r="M38">
        <v>0.25934848216998452</v>
      </c>
      <c r="N38">
        <v>0.27352429549579299</v>
      </c>
      <c r="O38">
        <v>0.25458320890090824</v>
      </c>
      <c r="Q38" t="s">
        <v>308</v>
      </c>
      <c r="R38" t="s">
        <v>100</v>
      </c>
      <c r="S38">
        <v>9.2896237453980873E-3</v>
      </c>
      <c r="T38">
        <v>1.4288807415538949E-2</v>
      </c>
      <c r="U38">
        <v>1.2942479491906368E-2</v>
      </c>
      <c r="V38">
        <v>1.6133082846680403E-2</v>
      </c>
      <c r="W38">
        <v>1.2442093448626308E-2</v>
      </c>
      <c r="X38">
        <v>1.7247971951099259E-2</v>
      </c>
      <c r="Y38">
        <v>1.6066592342653816E-2</v>
      </c>
      <c r="Z38">
        <v>4.9263667380671755E-2</v>
      </c>
      <c r="AA38">
        <v>1.7682716589527126E-2</v>
      </c>
      <c r="AB38">
        <v>2.4059554018092857E-2</v>
      </c>
      <c r="AC38">
        <v>2.0410409798891142E-2</v>
      </c>
      <c r="AD38">
        <v>1.354204452787419E-2</v>
      </c>
      <c r="AF38" t="s">
        <v>308</v>
      </c>
      <c r="AG38" t="s">
        <v>101</v>
      </c>
      <c r="AH38">
        <v>1.8366253660979621E-2</v>
      </c>
      <c r="AI38">
        <v>1.0147968712123256E-2</v>
      </c>
      <c r="AJ38">
        <v>1.6733444133065069E-2</v>
      </c>
      <c r="AK38">
        <v>2.5888135929971686E-2</v>
      </c>
      <c r="AL38">
        <v>1.6365326972877552E-2</v>
      </c>
      <c r="AM38">
        <v>8.9329139722911267E-3</v>
      </c>
      <c r="AN38">
        <v>2.7918948645666398E-2</v>
      </c>
      <c r="AO38">
        <v>1.9213360656898867E-2</v>
      </c>
      <c r="AP38">
        <v>4.9735030798737798E-2</v>
      </c>
      <c r="AQ38">
        <v>2.087598760753287E-2</v>
      </c>
      <c r="AR38">
        <v>3.1318630866411346E-2</v>
      </c>
      <c r="AS38">
        <v>1.2829792013560052E-2</v>
      </c>
      <c r="AU38" t="s">
        <v>308</v>
      </c>
      <c r="AV38" t="s">
        <v>102</v>
      </c>
      <c r="AW38">
        <v>7.4514792204220623E-2</v>
      </c>
      <c r="AX38">
        <v>8.9012504609988954E-2</v>
      </c>
      <c r="AY38">
        <v>6.9008689881900231E-2</v>
      </c>
      <c r="AZ38">
        <v>9.5011218435880854E-2</v>
      </c>
      <c r="BA38">
        <v>0.11920927940283074</v>
      </c>
      <c r="BB38">
        <v>0.11163381536774919</v>
      </c>
      <c r="BC38">
        <v>0.18235149834301237</v>
      </c>
      <c r="BD38">
        <v>0.16665665455835996</v>
      </c>
      <c r="BE38">
        <v>0.11703433704351761</v>
      </c>
      <c r="BF38">
        <v>0.10459558011833502</v>
      </c>
      <c r="BG38">
        <v>0.10030983882409733</v>
      </c>
      <c r="BH38">
        <v>0.11709283916741439</v>
      </c>
      <c r="BR38" t="s">
        <v>308</v>
      </c>
      <c r="BS38">
        <v>0.66278648415584285</v>
      </c>
      <c r="BT38">
        <v>0.64395796369981284</v>
      </c>
      <c r="BU38">
        <v>0.67620190130702673</v>
      </c>
      <c r="BV38">
        <v>0.58182488437974778</v>
      </c>
      <c r="BW38">
        <v>0.56226700212444247</v>
      </c>
      <c r="BX38">
        <v>0.56184548022580083</v>
      </c>
      <c r="BY38">
        <v>0.35275705892401843</v>
      </c>
      <c r="BZ38">
        <v>0.3649962687391804</v>
      </c>
      <c r="CA38">
        <v>0.42965269320213212</v>
      </c>
      <c r="CB38">
        <v>0.54760570234792993</v>
      </c>
      <c r="CC38">
        <v>0.55868005489604156</v>
      </c>
      <c r="CD38">
        <v>0.55694110235201344</v>
      </c>
      <c r="CF38" t="s">
        <v>309</v>
      </c>
      <c r="CG38" t="s">
        <v>108</v>
      </c>
      <c r="CH38" t="s">
        <v>109</v>
      </c>
      <c r="CI38">
        <v>0.48795087699845263</v>
      </c>
    </row>
    <row r="39" spans="2:87" x14ac:dyDescent="0.45">
      <c r="B39" t="s">
        <v>310</v>
      </c>
      <c r="C39" t="s">
        <v>99</v>
      </c>
      <c r="D39">
        <v>0.21195096273261696</v>
      </c>
      <c r="E39">
        <v>0.21581333988109372</v>
      </c>
      <c r="F39">
        <v>0.21830509105130205</v>
      </c>
      <c r="G39">
        <v>0.22982724193539705</v>
      </c>
      <c r="H39">
        <v>0.2403556981897893</v>
      </c>
      <c r="I39">
        <v>0.23706116665109472</v>
      </c>
      <c r="J39">
        <v>0.30390655203197087</v>
      </c>
      <c r="K39">
        <v>0.32194500740461668</v>
      </c>
      <c r="L39">
        <v>0.28794334364710805</v>
      </c>
      <c r="M39">
        <v>0.2678899242547052</v>
      </c>
      <c r="N39">
        <v>0.27217365090335127</v>
      </c>
      <c r="O39">
        <v>0.26521645966212615</v>
      </c>
      <c r="Q39" t="s">
        <v>310</v>
      </c>
      <c r="R39" t="s">
        <v>100</v>
      </c>
      <c r="S39">
        <v>8.6007826047208736E-3</v>
      </c>
      <c r="T39">
        <v>1.6683147541920865E-2</v>
      </c>
      <c r="U39">
        <v>6.6769083859586345E-3</v>
      </c>
      <c r="V39">
        <v>1.277815565060522E-2</v>
      </c>
      <c r="W39">
        <v>6.4678224444488178E-3</v>
      </c>
      <c r="X39">
        <v>1.2342457734655365E-2</v>
      </c>
      <c r="Y39">
        <v>1.7659641552687566E-2</v>
      </c>
      <c r="Z39">
        <v>2.4244000219204195E-2</v>
      </c>
      <c r="AA39">
        <v>9.7160397880427622E-3</v>
      </c>
      <c r="AB39">
        <v>2.1897185269894755E-2</v>
      </c>
      <c r="AC39">
        <v>1.6922353538188696E-2</v>
      </c>
      <c r="AD39">
        <v>1.3041736026388967E-2</v>
      </c>
      <c r="AF39" t="s">
        <v>310</v>
      </c>
      <c r="AG39" t="s">
        <v>101</v>
      </c>
      <c r="AH39">
        <v>9.0609134301460111E-3</v>
      </c>
      <c r="AI39">
        <v>1.5625443634802495E-2</v>
      </c>
      <c r="AJ39">
        <v>1.4034885755329365E-2</v>
      </c>
      <c r="AK39">
        <v>1.9167791957710231E-2</v>
      </c>
      <c r="AL39">
        <v>1.3312943134667804E-2</v>
      </c>
      <c r="AM39">
        <v>4.3634152085827733E-3</v>
      </c>
      <c r="AN39">
        <v>1.7659402291091756E-2</v>
      </c>
      <c r="AO39">
        <v>3.1533344881725427E-2</v>
      </c>
      <c r="AP39">
        <v>1.776134295916567E-2</v>
      </c>
      <c r="AQ39">
        <v>1.8023933164855368E-2</v>
      </c>
      <c r="AR39">
        <v>2.4537705880857203E-2</v>
      </c>
      <c r="AS39">
        <v>1.8020834863799896E-2</v>
      </c>
      <c r="AU39" t="s">
        <v>310</v>
      </c>
      <c r="AV39" t="s">
        <v>102</v>
      </c>
      <c r="AW39">
        <v>8.6514088618018722E-2</v>
      </c>
      <c r="AX39">
        <v>7.1321331207701566E-2</v>
      </c>
      <c r="AY39">
        <v>8.1243148933579437E-2</v>
      </c>
      <c r="AZ39">
        <v>8.0654883625089879E-2</v>
      </c>
      <c r="BA39">
        <v>0.10356846565924081</v>
      </c>
      <c r="BB39">
        <v>0.1071139100759462</v>
      </c>
      <c r="BC39">
        <v>0.15130221869979404</v>
      </c>
      <c r="BD39">
        <v>0.14320617405252184</v>
      </c>
      <c r="BE39">
        <v>0.14787741417984332</v>
      </c>
      <c r="BF39">
        <v>0.11298278877112755</v>
      </c>
      <c r="BG39">
        <v>0.10660901301800112</v>
      </c>
      <c r="BH39">
        <v>0.11262728619342462</v>
      </c>
      <c r="BR39" t="s">
        <v>310</v>
      </c>
      <c r="BS39">
        <v>0.66693957452083075</v>
      </c>
      <c r="BT39">
        <v>0.66998015766388608</v>
      </c>
      <c r="BU39">
        <v>0.68088762376617529</v>
      </c>
      <c r="BV39">
        <v>0.6414032017871768</v>
      </c>
      <c r="BW39">
        <v>0.61046225328043779</v>
      </c>
      <c r="BX39">
        <v>0.60245486991070574</v>
      </c>
      <c r="BY39">
        <v>0.41691775060373931</v>
      </c>
      <c r="BZ39">
        <v>0.41270795681705175</v>
      </c>
      <c r="CA39">
        <v>0.47110177031356115</v>
      </c>
      <c r="CB39">
        <v>0.54278743097882531</v>
      </c>
      <c r="CC39">
        <v>0.56883058879632864</v>
      </c>
      <c r="CD39">
        <v>0.56218118840141851</v>
      </c>
      <c r="CF39" t="s">
        <v>311</v>
      </c>
      <c r="CG39" t="s">
        <v>108</v>
      </c>
      <c r="CH39" t="s">
        <v>109</v>
      </c>
      <c r="CI39">
        <v>0.55846799962303029</v>
      </c>
    </row>
    <row r="40" spans="2:87" x14ac:dyDescent="0.45">
      <c r="B40" t="s">
        <v>312</v>
      </c>
      <c r="C40" t="s">
        <v>99</v>
      </c>
      <c r="D40">
        <v>0.23473100718949425</v>
      </c>
      <c r="E40">
        <v>0.2663871808618189</v>
      </c>
      <c r="F40">
        <v>0.23975863346898127</v>
      </c>
      <c r="G40">
        <v>0.35883884280781131</v>
      </c>
      <c r="H40">
        <v>0.34633418326702453</v>
      </c>
      <c r="I40">
        <v>0.33615825450697384</v>
      </c>
      <c r="J40">
        <v>0.39353697924856124</v>
      </c>
      <c r="K40">
        <v>0.40138262630533916</v>
      </c>
      <c r="L40">
        <v>0.38897462574701419</v>
      </c>
      <c r="M40">
        <v>0.33618272968054169</v>
      </c>
      <c r="N40">
        <v>0.31122410487246288</v>
      </c>
      <c r="O40">
        <v>0.32704427180707718</v>
      </c>
      <c r="Q40" t="s">
        <v>312</v>
      </c>
      <c r="R40" t="s">
        <v>100</v>
      </c>
      <c r="S40">
        <v>1.3048427375154145E-2</v>
      </c>
      <c r="T40">
        <v>1.5920945530166573E-2</v>
      </c>
      <c r="U40">
        <v>1.0756692669208721E-2</v>
      </c>
      <c r="V40">
        <v>9.2340571514850939E-3</v>
      </c>
      <c r="W40">
        <v>1.9288916906146428E-2</v>
      </c>
      <c r="X40">
        <v>2.2299950563822189E-2</v>
      </c>
      <c r="Y40">
        <v>2.4538327015211345E-2</v>
      </c>
      <c r="Z40">
        <v>1.3553135124639145E-2</v>
      </c>
      <c r="AA40">
        <v>1.7539769832295774E-2</v>
      </c>
      <c r="AB40">
        <v>1.4640206355102764E-2</v>
      </c>
      <c r="AC40">
        <v>1.7983632001485873E-2</v>
      </c>
      <c r="AD40">
        <v>2.588518803261796E-2</v>
      </c>
      <c r="AF40" t="s">
        <v>312</v>
      </c>
      <c r="AG40" t="s">
        <v>101</v>
      </c>
      <c r="AH40">
        <v>1.6022390494288725E-2</v>
      </c>
      <c r="AI40">
        <v>1.8848784519047385E-2</v>
      </c>
      <c r="AJ40">
        <v>1.6525142542652072E-2</v>
      </c>
      <c r="AK40">
        <v>2.2554409017859184E-2</v>
      </c>
      <c r="AL40">
        <v>1.4751242119931217E-2</v>
      </c>
      <c r="AM40">
        <v>3.5438459083345294E-2</v>
      </c>
      <c r="AN40">
        <v>4.6057454607751847E-2</v>
      </c>
      <c r="AO40">
        <v>2.3887598427724661E-2</v>
      </c>
      <c r="AP40">
        <v>2.582658155172635E-2</v>
      </c>
      <c r="AQ40">
        <v>2.8455711776721685E-2</v>
      </c>
      <c r="AR40">
        <v>2.2350102649520295E-2</v>
      </c>
      <c r="AS40">
        <v>2.6821506841980813E-2</v>
      </c>
      <c r="AU40" t="s">
        <v>312</v>
      </c>
      <c r="AV40" t="s">
        <v>102</v>
      </c>
      <c r="AW40">
        <v>9.138249741986007E-2</v>
      </c>
      <c r="AX40">
        <v>0.10102881558335339</v>
      </c>
      <c r="AY40">
        <v>9.2112078818221171E-2</v>
      </c>
      <c r="AZ40">
        <v>0.18964674878860477</v>
      </c>
      <c r="BA40">
        <v>0.17574741347920736</v>
      </c>
      <c r="BB40">
        <v>0.14031592872307211</v>
      </c>
      <c r="BC40">
        <v>0.19545395797612256</v>
      </c>
      <c r="BD40">
        <v>0.22676692373924329</v>
      </c>
      <c r="BE40">
        <v>0.21189591516113204</v>
      </c>
      <c r="BF40">
        <v>0.15570113590354268</v>
      </c>
      <c r="BG40">
        <v>0.13153552265293081</v>
      </c>
      <c r="BH40">
        <v>0.12778335147607356</v>
      </c>
      <c r="BR40" t="s">
        <v>312</v>
      </c>
      <c r="BS40">
        <v>0.6008033736805094</v>
      </c>
      <c r="BT40">
        <v>0.57742988265257622</v>
      </c>
      <c r="BU40">
        <v>0.61099637913088478</v>
      </c>
      <c r="BV40">
        <v>0.4011489167296981</v>
      </c>
      <c r="BW40">
        <v>0.43043823365028561</v>
      </c>
      <c r="BX40">
        <v>0.44181824335499598</v>
      </c>
      <c r="BY40">
        <v>0.3041868027142966</v>
      </c>
      <c r="BZ40">
        <v>0.34098791750280716</v>
      </c>
      <c r="CA40">
        <v>0.30482734474397793</v>
      </c>
      <c r="CB40">
        <v>0.45573182801827988</v>
      </c>
      <c r="CC40">
        <v>0.49865488028828714</v>
      </c>
      <c r="CD40">
        <v>0.47011845716335071</v>
      </c>
      <c r="CF40" t="s">
        <v>313</v>
      </c>
      <c r="CG40" t="s">
        <v>108</v>
      </c>
      <c r="CH40" t="s">
        <v>109</v>
      </c>
      <c r="CI40">
        <v>0.46659329938320543</v>
      </c>
    </row>
    <row r="41" spans="2:87" x14ac:dyDescent="0.45">
      <c r="B41" t="s">
        <v>314</v>
      </c>
      <c r="C41" t="s">
        <v>99</v>
      </c>
      <c r="D41">
        <v>0.29624008475823349</v>
      </c>
      <c r="E41">
        <v>0.30755217204870644</v>
      </c>
      <c r="F41">
        <v>0.3058910099727537</v>
      </c>
      <c r="G41">
        <v>0.37910554252190232</v>
      </c>
      <c r="H41">
        <v>0.37153948733671682</v>
      </c>
      <c r="I41">
        <v>0.34369134043227184</v>
      </c>
      <c r="J41">
        <v>0.38240241949573406</v>
      </c>
      <c r="K41">
        <v>0.40205211224290455</v>
      </c>
      <c r="L41">
        <v>0.38033484982722571</v>
      </c>
      <c r="M41">
        <v>0.32581957333826217</v>
      </c>
      <c r="N41">
        <v>0.31479443263580748</v>
      </c>
      <c r="O41">
        <v>0.30060882224779201</v>
      </c>
      <c r="Q41" t="s">
        <v>314</v>
      </c>
      <c r="R41" t="s">
        <v>100</v>
      </c>
      <c r="S41">
        <v>9.6945128781567459E-3</v>
      </c>
      <c r="T41">
        <v>1.9265642567695786E-2</v>
      </c>
      <c r="U41">
        <v>1.7129944620103848E-2</v>
      </c>
      <c r="V41">
        <v>1.4151584057603198E-2</v>
      </c>
      <c r="W41">
        <v>2.2808110909490989E-2</v>
      </c>
      <c r="X41">
        <v>1.6409750896116657E-2</v>
      </c>
      <c r="Y41">
        <v>2.2634829808870514E-2</v>
      </c>
      <c r="Z41">
        <v>1.2319863565131411E-2</v>
      </c>
      <c r="AA41">
        <v>6.8383562091635479E-3</v>
      </c>
      <c r="AB41">
        <v>2.0965926508125867E-2</v>
      </c>
      <c r="AC41">
        <v>1.7196250350687958E-2</v>
      </c>
      <c r="AD41">
        <v>2.9441924137957074E-2</v>
      </c>
      <c r="AF41" t="s">
        <v>314</v>
      </c>
      <c r="AG41" t="s">
        <v>101</v>
      </c>
      <c r="AH41">
        <v>1.6859939746063788E-2</v>
      </c>
      <c r="AI41">
        <v>1.6278305752995867E-2</v>
      </c>
      <c r="AJ41">
        <v>2.1081227225875618E-2</v>
      </c>
      <c r="AK41">
        <v>2.3072396165938487E-2</v>
      </c>
      <c r="AL41">
        <v>2.6243624230278689E-2</v>
      </c>
      <c r="AM41">
        <v>3.8114392212652309E-2</v>
      </c>
      <c r="AN41">
        <v>1.636424526666537E-2</v>
      </c>
      <c r="AO41">
        <v>2.4148171349566375E-2</v>
      </c>
      <c r="AP41">
        <v>1.0002140358555889E-2</v>
      </c>
      <c r="AQ41">
        <v>4.5524576303929538E-2</v>
      </c>
      <c r="AR41">
        <v>1.5744163479295151E-2</v>
      </c>
      <c r="AS41">
        <v>2.7795604167981599E-2</v>
      </c>
      <c r="AU41" t="s">
        <v>314</v>
      </c>
      <c r="AV41" t="s">
        <v>102</v>
      </c>
      <c r="AW41">
        <v>0.13606626521917364</v>
      </c>
      <c r="AX41">
        <v>0.13740832972275735</v>
      </c>
      <c r="AY41">
        <v>0.12586866298897115</v>
      </c>
      <c r="AZ41">
        <v>0.21024372996408242</v>
      </c>
      <c r="BA41">
        <v>0.18645070968098773</v>
      </c>
      <c r="BB41">
        <v>0.1683503639379452</v>
      </c>
      <c r="BC41">
        <v>0.22663640153819148</v>
      </c>
      <c r="BD41">
        <v>0.24441799570285822</v>
      </c>
      <c r="BE41">
        <v>0.26045673822731863</v>
      </c>
      <c r="BF41">
        <v>0.13550119156958002</v>
      </c>
      <c r="BG41">
        <v>0.15572949567840241</v>
      </c>
      <c r="BH41">
        <v>0.11942704587441189</v>
      </c>
      <c r="BR41" t="s">
        <v>314</v>
      </c>
      <c r="BS41">
        <v>0.4925701321372114</v>
      </c>
      <c r="BT41">
        <v>0.45943077764020018</v>
      </c>
      <c r="BU41">
        <v>0.49181802636684113</v>
      </c>
      <c r="BV41">
        <v>0.31741479858329241</v>
      </c>
      <c r="BW41">
        <v>0.36052117949958579</v>
      </c>
      <c r="BX41">
        <v>0.35265391692772319</v>
      </c>
      <c r="BY41">
        <v>0.21719737878310272</v>
      </c>
      <c r="BZ41">
        <v>0.26631647540318915</v>
      </c>
      <c r="CA41">
        <v>0.22716212894927573</v>
      </c>
      <c r="CB41">
        <v>0.38817761606007917</v>
      </c>
      <c r="CC41">
        <v>0.4122516161464933</v>
      </c>
      <c r="CD41">
        <v>0.40110056166160329</v>
      </c>
      <c r="CF41" t="s">
        <v>315</v>
      </c>
      <c r="CG41" t="s">
        <v>108</v>
      </c>
      <c r="CH41" t="s">
        <v>109</v>
      </c>
      <c r="CI41">
        <v>0.5517624738259822</v>
      </c>
    </row>
    <row r="42" spans="2:87" x14ac:dyDescent="0.45">
      <c r="B42" t="s">
        <v>316</v>
      </c>
      <c r="C42" t="s">
        <v>99</v>
      </c>
      <c r="D42">
        <v>0.18594511640839687</v>
      </c>
      <c r="E42">
        <v>0.20755782856668709</v>
      </c>
      <c r="F42">
        <v>0.19287234489205152</v>
      </c>
      <c r="G42">
        <v>0.25346992365539373</v>
      </c>
      <c r="H42">
        <v>0.25256828381820451</v>
      </c>
      <c r="I42">
        <v>0.24323164509067355</v>
      </c>
      <c r="J42">
        <v>0.35277141679757806</v>
      </c>
      <c r="K42">
        <v>0.37949289988804769</v>
      </c>
      <c r="L42">
        <v>0.32215853057842753</v>
      </c>
      <c r="M42">
        <v>0.23803929908903351</v>
      </c>
      <c r="N42">
        <v>0.24893075640340104</v>
      </c>
      <c r="O42">
        <v>0.22007273917663669</v>
      </c>
      <c r="Q42" t="s">
        <v>316</v>
      </c>
      <c r="R42" t="s">
        <v>100</v>
      </c>
      <c r="S42">
        <v>6.5002918161751692E-3</v>
      </c>
      <c r="T42">
        <v>1.2515633838636877E-2</v>
      </c>
      <c r="U42">
        <v>1.0011865034856038E-2</v>
      </c>
      <c r="V42">
        <v>1.176082096043572E-2</v>
      </c>
      <c r="W42">
        <v>1.1996796395415777E-2</v>
      </c>
      <c r="X42">
        <v>6.364820741168958E-3</v>
      </c>
      <c r="Y42">
        <v>2.725176039089014E-2</v>
      </c>
      <c r="Z42">
        <v>2.7546120420194307E-2</v>
      </c>
      <c r="AA42">
        <v>2.9124210298518315E-2</v>
      </c>
      <c r="AB42">
        <v>1.1832639295865695E-2</v>
      </c>
      <c r="AC42">
        <v>2.0204673739618959E-2</v>
      </c>
      <c r="AD42">
        <v>1.3313266932074278E-2</v>
      </c>
      <c r="AF42" t="s">
        <v>316</v>
      </c>
      <c r="AG42" t="s">
        <v>101</v>
      </c>
      <c r="AH42">
        <v>1.0473791283486057E-2</v>
      </c>
      <c r="AI42">
        <v>1.0297962118911647E-2</v>
      </c>
      <c r="AJ42">
        <v>1.6138011140065075E-2</v>
      </c>
      <c r="AK42">
        <v>1.4860951666862075E-2</v>
      </c>
      <c r="AL42">
        <v>1.5395661327227942E-2</v>
      </c>
      <c r="AM42">
        <v>1.9067193466239685E-2</v>
      </c>
      <c r="AN42">
        <v>3.9843592239624318E-2</v>
      </c>
      <c r="AO42">
        <v>3.7293206637964059E-2</v>
      </c>
      <c r="AP42">
        <v>3.2066160750774404E-2</v>
      </c>
      <c r="AQ42">
        <v>2.0608194792610123E-2</v>
      </c>
      <c r="AR42">
        <v>2.7052721568280452E-2</v>
      </c>
      <c r="AS42">
        <v>1.1811958278305695E-2</v>
      </c>
      <c r="AU42" t="s">
        <v>316</v>
      </c>
      <c r="AV42" t="s">
        <v>102</v>
      </c>
      <c r="AW42">
        <v>7.0372462911348785E-2</v>
      </c>
      <c r="AX42">
        <v>7.3509734730009879E-2</v>
      </c>
      <c r="AY42">
        <v>6.0870927057529521E-2</v>
      </c>
      <c r="AZ42">
        <v>0.10077279881711708</v>
      </c>
      <c r="BA42">
        <v>0.10270626679825999</v>
      </c>
      <c r="BB42">
        <v>0.10170527403154055</v>
      </c>
      <c r="BC42">
        <v>0.16247599132715776</v>
      </c>
      <c r="BD42">
        <v>0.18956011248399196</v>
      </c>
      <c r="BE42">
        <v>0.14479199018639546</v>
      </c>
      <c r="BF42">
        <v>9.6480271438991017E-2</v>
      </c>
      <c r="BG42">
        <v>8.6709959856414096E-2</v>
      </c>
      <c r="BH42">
        <v>9.3645476185713422E-2</v>
      </c>
      <c r="BR42" t="s">
        <v>316</v>
      </c>
      <c r="BS42">
        <v>0.69291801929621144</v>
      </c>
      <c r="BT42">
        <v>0.66719143829736316</v>
      </c>
      <c r="BU42">
        <v>0.69697103232189539</v>
      </c>
      <c r="BV42">
        <v>0.59288575392729659</v>
      </c>
      <c r="BW42">
        <v>0.57809318347243288</v>
      </c>
      <c r="BX42">
        <v>0.58566738196676249</v>
      </c>
      <c r="BY42">
        <v>0.3267733118624751</v>
      </c>
      <c r="BZ42">
        <v>0.32262834636834492</v>
      </c>
      <c r="CA42">
        <v>0.35091418882806186</v>
      </c>
      <c r="CB42">
        <v>0.56843546196571026</v>
      </c>
      <c r="CC42">
        <v>0.56976615945280495</v>
      </c>
      <c r="CD42">
        <v>0.58551857057235557</v>
      </c>
      <c r="CF42" t="s">
        <v>317</v>
      </c>
      <c r="CG42" t="s">
        <v>108</v>
      </c>
      <c r="CH42" t="s">
        <v>109</v>
      </c>
      <c r="CI42">
        <v>0.70123042435555305</v>
      </c>
    </row>
    <row r="43" spans="2:87" x14ac:dyDescent="0.45">
      <c r="B43" t="s">
        <v>318</v>
      </c>
      <c r="C43" t="s">
        <v>99</v>
      </c>
      <c r="D43">
        <v>0.1805019023521065</v>
      </c>
      <c r="E43">
        <v>0.20438479431625137</v>
      </c>
      <c r="F43">
        <v>0.18686592444555544</v>
      </c>
      <c r="G43">
        <v>0.26023750118933542</v>
      </c>
      <c r="H43">
        <v>0.26117135629670452</v>
      </c>
      <c r="I43">
        <v>0.24115010892056998</v>
      </c>
      <c r="J43">
        <v>0.3900201099958302</v>
      </c>
      <c r="K43">
        <v>0.3958569800326775</v>
      </c>
      <c r="L43">
        <v>0.3874147737667753</v>
      </c>
      <c r="M43">
        <v>0.25233437909801215</v>
      </c>
      <c r="N43">
        <v>0.25405331309834911</v>
      </c>
      <c r="O43">
        <v>0.23992293675103671</v>
      </c>
      <c r="Q43" t="s">
        <v>318</v>
      </c>
      <c r="R43" t="s">
        <v>100</v>
      </c>
      <c r="S43">
        <v>1.1617645761128864E-2</v>
      </c>
      <c r="T43">
        <v>1.2416203514859657E-2</v>
      </c>
      <c r="U43">
        <v>6.510306721284981E-3</v>
      </c>
      <c r="V43">
        <v>1.3015560487738878E-2</v>
      </c>
      <c r="W43">
        <v>1.3493707309320393E-2</v>
      </c>
      <c r="X43">
        <v>8.7354949968436717E-3</v>
      </c>
      <c r="Y43">
        <v>2.5915054411865295E-2</v>
      </c>
      <c r="Z43">
        <v>1.4461349926025761E-2</v>
      </c>
      <c r="AA43">
        <v>4.3875790500901089E-2</v>
      </c>
      <c r="AB43">
        <v>1.0892163258453299E-2</v>
      </c>
      <c r="AC43">
        <v>1.3662801686639319E-2</v>
      </c>
      <c r="AD43">
        <v>1.4989869885953438E-2</v>
      </c>
      <c r="AF43" t="s">
        <v>318</v>
      </c>
      <c r="AG43" t="s">
        <v>101</v>
      </c>
      <c r="AH43">
        <v>1.1022831379784524E-2</v>
      </c>
      <c r="AI43">
        <v>1.3162342596852226E-2</v>
      </c>
      <c r="AJ43">
        <v>8.548895608148652E-3</v>
      </c>
      <c r="AK43">
        <v>2.0670421691401913E-2</v>
      </c>
      <c r="AL43">
        <v>1.5503879728847201E-2</v>
      </c>
      <c r="AM43">
        <v>1.1196436578261231E-2</v>
      </c>
      <c r="AN43">
        <v>5.8886445074090514E-2</v>
      </c>
      <c r="AO43">
        <v>2.3882422532630104E-2</v>
      </c>
      <c r="AP43">
        <v>2.5065690820765794E-2</v>
      </c>
      <c r="AQ43">
        <v>2.2067933276701503E-2</v>
      </c>
      <c r="AR43">
        <v>1.5130328464280031E-2</v>
      </c>
      <c r="AS43">
        <v>1.5520548969717279E-2</v>
      </c>
      <c r="AU43" t="s">
        <v>318</v>
      </c>
      <c r="AV43" t="s">
        <v>102</v>
      </c>
      <c r="AW43">
        <v>5.6422446031170283E-2</v>
      </c>
      <c r="AX43">
        <v>6.338247949391701E-2</v>
      </c>
      <c r="AY43">
        <v>6.6299669369684275E-2</v>
      </c>
      <c r="AZ43">
        <v>0.10043446926343384</v>
      </c>
      <c r="BA43">
        <v>0.10976574727898263</v>
      </c>
      <c r="BB43">
        <v>0.10768792419174832</v>
      </c>
      <c r="BC43">
        <v>0.16790539419126183</v>
      </c>
      <c r="BD43">
        <v>0.22398805703870917</v>
      </c>
      <c r="BE43">
        <v>0.1836885859193543</v>
      </c>
      <c r="BF43">
        <v>9.7267497797445424E-2</v>
      </c>
      <c r="BG43">
        <v>0.10039086143748448</v>
      </c>
      <c r="BH43">
        <v>9.1165930164494244E-2</v>
      </c>
      <c r="BR43" t="s">
        <v>318</v>
      </c>
      <c r="BS43">
        <v>0.70794854920817041</v>
      </c>
      <c r="BT43">
        <v>0.68615291160102376</v>
      </c>
      <c r="BU43">
        <v>0.70745573376421145</v>
      </c>
      <c r="BV43">
        <v>0.56327545642979338</v>
      </c>
      <c r="BW43">
        <v>0.56823979220447851</v>
      </c>
      <c r="BX43">
        <v>0.5846283230015703</v>
      </c>
      <c r="BY43">
        <v>0.32463472085082928</v>
      </c>
      <c r="BZ43">
        <v>0.32537194163300942</v>
      </c>
      <c r="CA43">
        <v>0.32412828778063696</v>
      </c>
      <c r="CB43">
        <v>0.5726302722722918</v>
      </c>
      <c r="CC43">
        <v>0.58260713386870588</v>
      </c>
      <c r="CD43">
        <v>0.58280687834381684</v>
      </c>
      <c r="CF43" t="s">
        <v>319</v>
      </c>
      <c r="CG43" t="s">
        <v>108</v>
      </c>
      <c r="CH43" t="s">
        <v>109</v>
      </c>
      <c r="CI43">
        <v>0.58091590004496341</v>
      </c>
    </row>
    <row r="44" spans="2:87" x14ac:dyDescent="0.45">
      <c r="B44" t="s">
        <v>320</v>
      </c>
      <c r="C44" t="s">
        <v>99</v>
      </c>
      <c r="D44">
        <v>0.15182061929263901</v>
      </c>
      <c r="E44">
        <v>0.17078126684497591</v>
      </c>
      <c r="F44">
        <v>0.1542412535449767</v>
      </c>
      <c r="G44">
        <v>0.25370295529677284</v>
      </c>
      <c r="H44">
        <v>0.24395228233370553</v>
      </c>
      <c r="I44">
        <v>0.24539496667573785</v>
      </c>
      <c r="J44">
        <v>0.3198027884968655</v>
      </c>
      <c r="K44">
        <v>0.33415488645056202</v>
      </c>
      <c r="L44">
        <v>0.33315123371184258</v>
      </c>
      <c r="M44">
        <v>0.25832612230713647</v>
      </c>
      <c r="N44">
        <v>0.24706429710389577</v>
      </c>
      <c r="O44">
        <v>0.24325743662472857</v>
      </c>
      <c r="Q44" t="s">
        <v>320</v>
      </c>
      <c r="R44" t="s">
        <v>100</v>
      </c>
      <c r="S44">
        <v>8.9911184189789811E-3</v>
      </c>
      <c r="T44">
        <v>1.0168945553486262E-2</v>
      </c>
      <c r="U44">
        <v>7.42241073375786E-3</v>
      </c>
      <c r="V44">
        <v>6.8271249672184004E-3</v>
      </c>
      <c r="W44">
        <v>9.103202097951563E-3</v>
      </c>
      <c r="X44">
        <v>1.2155736507799638E-2</v>
      </c>
      <c r="Y44">
        <v>1.538016266936849E-2</v>
      </c>
      <c r="Z44">
        <v>1.5932515223983437E-2</v>
      </c>
      <c r="AA44">
        <v>3.5757672450860624E-2</v>
      </c>
      <c r="AB44">
        <v>1.1966662715662654E-2</v>
      </c>
      <c r="AC44">
        <v>1.0218245135270157E-2</v>
      </c>
      <c r="AD44">
        <v>9.0061155361444954E-3</v>
      </c>
      <c r="AF44" t="s">
        <v>320</v>
      </c>
      <c r="AG44" t="s">
        <v>101</v>
      </c>
      <c r="AH44">
        <v>8.583991315006664E-3</v>
      </c>
      <c r="AI44">
        <v>1.1035614483270688E-2</v>
      </c>
      <c r="AJ44">
        <v>8.9702371474575434E-3</v>
      </c>
      <c r="AK44">
        <v>1.4611674538289357E-2</v>
      </c>
      <c r="AL44">
        <v>1.1724710755614353E-2</v>
      </c>
      <c r="AM44">
        <v>1.312231606454395E-2</v>
      </c>
      <c r="AN44">
        <v>4.820101913597976E-2</v>
      </c>
      <c r="AO44">
        <v>1.7083954339255157E-2</v>
      </c>
      <c r="AP44">
        <v>2.5434172237340583E-2</v>
      </c>
      <c r="AQ44">
        <v>1.0375562533792675E-2</v>
      </c>
      <c r="AR44">
        <v>1.4985904148579757E-2</v>
      </c>
      <c r="AS44">
        <v>1.8401896545668234E-2</v>
      </c>
      <c r="AU44" t="s">
        <v>320</v>
      </c>
      <c r="AV44" t="s">
        <v>102</v>
      </c>
      <c r="AW44">
        <v>4.5097930477243309E-2</v>
      </c>
      <c r="AX44">
        <v>4.490731371264764E-2</v>
      </c>
      <c r="AY44">
        <v>4.2673526885859452E-2</v>
      </c>
      <c r="AZ44">
        <v>0.10306969915227647</v>
      </c>
      <c r="BA44">
        <v>9.971852278360549E-2</v>
      </c>
      <c r="BB44">
        <v>9.0420746027787907E-2</v>
      </c>
      <c r="BC44">
        <v>0.12828730580065709</v>
      </c>
      <c r="BD44">
        <v>0.16904317300112473</v>
      </c>
      <c r="BE44">
        <v>0.14574173872670831</v>
      </c>
      <c r="BF44">
        <v>0.10414309934119784</v>
      </c>
      <c r="BG44">
        <v>8.8701195972635274E-2</v>
      </c>
      <c r="BH44">
        <v>9.7512910133242425E-2</v>
      </c>
      <c r="BR44" t="s">
        <v>320</v>
      </c>
      <c r="BS44">
        <v>0.76646678638131693</v>
      </c>
      <c r="BT44">
        <v>0.75333752439483559</v>
      </c>
      <c r="BU44">
        <v>0.77633337377912459</v>
      </c>
      <c r="BV44">
        <v>0.60326889378548887</v>
      </c>
      <c r="BW44">
        <v>0.62209667478525621</v>
      </c>
      <c r="BX44">
        <v>0.62499769143139683</v>
      </c>
      <c r="BY44">
        <v>0.44909765137252089</v>
      </c>
      <c r="BZ44">
        <v>0.43399869606570479</v>
      </c>
      <c r="CA44">
        <v>0.43648813356053362</v>
      </c>
      <c r="CB44">
        <v>0.63108856937403046</v>
      </c>
      <c r="CC44">
        <v>0.64908586389584522</v>
      </c>
      <c r="CD44">
        <v>0.63424493779285485</v>
      </c>
      <c r="CF44" t="s">
        <v>321</v>
      </c>
      <c r="CG44" t="s">
        <v>108</v>
      </c>
      <c r="CH44" t="s">
        <v>109</v>
      </c>
      <c r="CI44">
        <v>0.53187155434998967</v>
      </c>
    </row>
    <row r="45" spans="2:87" x14ac:dyDescent="0.45">
      <c r="B45" t="s">
        <v>322</v>
      </c>
      <c r="C45" t="s">
        <v>99</v>
      </c>
      <c r="D45">
        <v>0.17248218950118105</v>
      </c>
      <c r="E45">
        <v>0.14143658063120146</v>
      </c>
      <c r="F45">
        <v>0.14275911566638863</v>
      </c>
      <c r="G45">
        <v>0.22546433839033064</v>
      </c>
      <c r="H45">
        <v>0.21795084018920721</v>
      </c>
      <c r="I45">
        <v>0.2270441582195864</v>
      </c>
      <c r="J45">
        <v>0.26228358504719212</v>
      </c>
      <c r="K45">
        <v>0.25678620719814094</v>
      </c>
      <c r="L45">
        <v>0.25139071789871759</v>
      </c>
      <c r="M45">
        <v>0.24434537012429902</v>
      </c>
      <c r="N45">
        <v>0.25224804347429719</v>
      </c>
      <c r="O45">
        <v>0.25278293141861247</v>
      </c>
      <c r="Q45" t="s">
        <v>322</v>
      </c>
      <c r="R45" t="s">
        <v>100</v>
      </c>
      <c r="S45">
        <v>1.1792990571320374E-2</v>
      </c>
      <c r="T45">
        <v>8.996291875941859E-3</v>
      </c>
      <c r="U45">
        <v>9.4199797665166785E-3</v>
      </c>
      <c r="V45">
        <v>9.9604037848354723E-3</v>
      </c>
      <c r="W45">
        <v>9.6845817439658016E-3</v>
      </c>
      <c r="X45">
        <v>4.8938477891158801E-3</v>
      </c>
      <c r="Y45">
        <v>1.2940070942449254E-2</v>
      </c>
      <c r="Z45">
        <v>1.6129176901984399E-2</v>
      </c>
      <c r="AA45">
        <v>9.6676219667659706E-3</v>
      </c>
      <c r="AB45">
        <v>9.9859232187972866E-3</v>
      </c>
      <c r="AC45">
        <v>1.3830466851128796E-2</v>
      </c>
      <c r="AD45">
        <v>1.1826101337605983E-2</v>
      </c>
      <c r="AF45" t="s">
        <v>322</v>
      </c>
      <c r="AG45" t="s">
        <v>101</v>
      </c>
      <c r="AH45">
        <v>1.3582656198375773E-2</v>
      </c>
      <c r="AI45">
        <v>8.9930417064638009E-3</v>
      </c>
      <c r="AJ45">
        <v>1.0731008294068593E-2</v>
      </c>
      <c r="AK45">
        <v>1.1437153124897376E-2</v>
      </c>
      <c r="AL45">
        <v>1.1831668523780354E-2</v>
      </c>
      <c r="AM45">
        <v>8.1395195935537734E-3</v>
      </c>
      <c r="AN45">
        <v>1.6414662551228271E-2</v>
      </c>
      <c r="AO45">
        <v>1.5423814538834034E-2</v>
      </c>
      <c r="AP45">
        <v>1.9953501649807005E-2</v>
      </c>
      <c r="AQ45">
        <v>1.3916290112817491E-2</v>
      </c>
      <c r="AR45">
        <v>1.6685417490224463E-2</v>
      </c>
      <c r="AS45">
        <v>1.5816757289157064E-2</v>
      </c>
      <c r="AU45" t="s">
        <v>322</v>
      </c>
      <c r="AV45" t="s">
        <v>102</v>
      </c>
      <c r="AW45">
        <v>4.4582555243249222E-2</v>
      </c>
      <c r="AX45">
        <v>3.7865189762249951E-2</v>
      </c>
      <c r="AY45">
        <v>3.8565417585684825E-2</v>
      </c>
      <c r="AZ45">
        <v>8.789945473904319E-2</v>
      </c>
      <c r="BA45">
        <v>8.3333666532754799E-2</v>
      </c>
      <c r="BB45">
        <v>9.793166029187958E-2</v>
      </c>
      <c r="BC45">
        <v>0.11552472842870166</v>
      </c>
      <c r="BD45">
        <v>0.1089091892214952</v>
      </c>
      <c r="BE45">
        <v>0.10878902291131563</v>
      </c>
      <c r="BF45">
        <v>9.9786486027039073E-2</v>
      </c>
      <c r="BG45">
        <v>9.6191400612334471E-2</v>
      </c>
      <c r="BH45">
        <v>9.5641842374585825E-2</v>
      </c>
      <c r="BR45" t="s">
        <v>322</v>
      </c>
      <c r="BS45">
        <v>0.75289608143003617</v>
      </c>
      <c r="BT45">
        <v>0.78976936569888401</v>
      </c>
      <c r="BU45">
        <v>0.78236676336279332</v>
      </c>
      <c r="BV45">
        <v>0.6570288085415501</v>
      </c>
      <c r="BW45">
        <v>0.67121576149509754</v>
      </c>
      <c r="BX45">
        <v>0.64980640261799316</v>
      </c>
      <c r="BY45">
        <v>0.56682017722337641</v>
      </c>
      <c r="BZ45">
        <v>0.58108789838614761</v>
      </c>
      <c r="CA45">
        <v>0.58402468752323078</v>
      </c>
      <c r="CB45">
        <v>0.61553421383707596</v>
      </c>
      <c r="CC45">
        <v>0.62775417229182173</v>
      </c>
      <c r="CD45">
        <v>0.62683046935662845</v>
      </c>
      <c r="CF45" t="s">
        <v>323</v>
      </c>
      <c r="CG45" t="s">
        <v>108</v>
      </c>
      <c r="CH45" t="s">
        <v>109</v>
      </c>
      <c r="CI45">
        <v>0.55297422256116946</v>
      </c>
    </row>
    <row r="46" spans="2:87" x14ac:dyDescent="0.45">
      <c r="B46" t="s">
        <v>324</v>
      </c>
      <c r="C46" t="s">
        <v>99</v>
      </c>
      <c r="D46">
        <v>0.15562074855805411</v>
      </c>
      <c r="E46">
        <v>0.15478010149718671</v>
      </c>
      <c r="F46">
        <v>0.14454079852025267</v>
      </c>
      <c r="G46">
        <v>0.25098664184764996</v>
      </c>
      <c r="H46">
        <v>0.25070390068305437</v>
      </c>
      <c r="I46">
        <v>0.25405433652260578</v>
      </c>
      <c r="J46">
        <v>0.28161484491542227</v>
      </c>
      <c r="K46">
        <v>0.28799766835761254</v>
      </c>
      <c r="L46">
        <v>0.28124067680437098</v>
      </c>
      <c r="M46">
        <v>0.24321606258522685</v>
      </c>
      <c r="N46">
        <v>0.24422508228368245</v>
      </c>
      <c r="O46">
        <v>0.23963953787279602</v>
      </c>
      <c r="Q46" t="s">
        <v>324</v>
      </c>
      <c r="R46" t="s">
        <v>100</v>
      </c>
      <c r="S46">
        <v>9.5400019960992111E-3</v>
      </c>
      <c r="T46">
        <v>1.1116082006280802E-2</v>
      </c>
      <c r="U46">
        <v>9.9675615254207657E-3</v>
      </c>
      <c r="V46">
        <v>1.2135575027104014E-2</v>
      </c>
      <c r="W46">
        <v>1.313608760181968E-2</v>
      </c>
      <c r="X46">
        <v>5.0762818615882489E-3</v>
      </c>
      <c r="Y46">
        <v>1.9202372930841559E-2</v>
      </c>
      <c r="Z46">
        <v>1.6914104822603537E-2</v>
      </c>
      <c r="AA46">
        <v>2.353931777410084E-2</v>
      </c>
      <c r="AB46">
        <v>1.260219929183219E-2</v>
      </c>
      <c r="AC46">
        <v>1.2980632295658571E-2</v>
      </c>
      <c r="AD46">
        <v>7.9696908303372727E-3</v>
      </c>
      <c r="AF46" t="s">
        <v>324</v>
      </c>
      <c r="AG46" t="s">
        <v>101</v>
      </c>
      <c r="AH46">
        <v>1.0019775551279373E-2</v>
      </c>
      <c r="AI46">
        <v>1.0920643984953292E-2</v>
      </c>
      <c r="AJ46">
        <v>9.3597901597617678E-3</v>
      </c>
      <c r="AK46">
        <v>1.0067969436830476E-2</v>
      </c>
      <c r="AL46">
        <v>1.2894350766681446E-2</v>
      </c>
      <c r="AM46">
        <v>1.8492982119493653E-2</v>
      </c>
      <c r="AN46">
        <v>2.4676319428892469E-2</v>
      </c>
      <c r="AO46">
        <v>2.0569433529408349E-2</v>
      </c>
      <c r="AP46">
        <v>2.6008345895836178E-2</v>
      </c>
      <c r="AQ46">
        <v>1.0052639632371154E-2</v>
      </c>
      <c r="AR46">
        <v>1.6993742401068337E-2</v>
      </c>
      <c r="AS46">
        <v>1.8330760242874878E-2</v>
      </c>
      <c r="AU46" t="s">
        <v>324</v>
      </c>
      <c r="AV46" t="s">
        <v>102</v>
      </c>
      <c r="AW46">
        <v>4.2246780393012419E-2</v>
      </c>
      <c r="AX46">
        <v>4.0551285336829744E-2</v>
      </c>
      <c r="AY46">
        <v>3.7165336489420733E-2</v>
      </c>
      <c r="AZ46">
        <v>0.10388686709603495</v>
      </c>
      <c r="BA46">
        <v>9.4235229774332782E-2</v>
      </c>
      <c r="BB46">
        <v>0.10061607297454717</v>
      </c>
      <c r="BC46">
        <v>0.12088239441990399</v>
      </c>
      <c r="BD46">
        <v>0.13241945015387122</v>
      </c>
      <c r="BE46">
        <v>0.12157954422115237</v>
      </c>
      <c r="BF46">
        <v>9.4624687067704993E-2</v>
      </c>
      <c r="BG46">
        <v>8.4071285691277392E-2</v>
      </c>
      <c r="BH46">
        <v>9.3942662422336468E-2</v>
      </c>
      <c r="BR46" t="s">
        <v>324</v>
      </c>
      <c r="BS46">
        <v>0.7654350885321447</v>
      </c>
      <c r="BT46">
        <v>0.77210666185902377</v>
      </c>
      <c r="BU46">
        <v>0.78743985695586105</v>
      </c>
      <c r="BV46">
        <v>0.6182346244703486</v>
      </c>
      <c r="BW46">
        <v>0.63593945664200635</v>
      </c>
      <c r="BX46">
        <v>0.6218696185143584</v>
      </c>
      <c r="BY46">
        <v>0.51396895821334287</v>
      </c>
      <c r="BZ46">
        <v>0.5025090459668663</v>
      </c>
      <c r="CA46">
        <v>0.50872597902331118</v>
      </c>
      <c r="CB46">
        <v>0.639235960930706</v>
      </c>
      <c r="CC46">
        <v>0.65028679842739934</v>
      </c>
      <c r="CD46">
        <v>0.63826232270834815</v>
      </c>
      <c r="CF46" t="s">
        <v>325</v>
      </c>
      <c r="CG46" t="s">
        <v>108</v>
      </c>
      <c r="CH46" t="s">
        <v>109</v>
      </c>
      <c r="CI46">
        <v>0.5131349901095954</v>
      </c>
    </row>
    <row r="47" spans="2:87" x14ac:dyDescent="0.45">
      <c r="B47" t="s">
        <v>326</v>
      </c>
      <c r="C47" t="s">
        <v>99</v>
      </c>
      <c r="D47">
        <v>0.1705726321605035</v>
      </c>
      <c r="E47">
        <v>0.17659077276116278</v>
      </c>
      <c r="F47">
        <v>0.18906397374120662</v>
      </c>
      <c r="G47">
        <v>0.30788989580259191</v>
      </c>
      <c r="H47">
        <v>0.28536295304790088</v>
      </c>
      <c r="I47">
        <v>0.30313351483927514</v>
      </c>
      <c r="J47">
        <v>0.30513267974624086</v>
      </c>
      <c r="K47">
        <v>0.31147256292459979</v>
      </c>
      <c r="L47">
        <v>0.32320542508392458</v>
      </c>
      <c r="M47">
        <v>0.24550769342596884</v>
      </c>
      <c r="N47">
        <v>0.26142848355271614</v>
      </c>
      <c r="O47">
        <v>0.25742502435471865</v>
      </c>
      <c r="Q47" t="s">
        <v>326</v>
      </c>
      <c r="R47" t="s">
        <v>100</v>
      </c>
      <c r="S47">
        <v>1.0462268240537986E-2</v>
      </c>
      <c r="T47">
        <v>9.7057762798970736E-3</v>
      </c>
      <c r="U47">
        <v>1.363313521544514E-2</v>
      </c>
      <c r="V47">
        <v>9.236272697776075E-3</v>
      </c>
      <c r="W47">
        <v>1.8400380762129267E-2</v>
      </c>
      <c r="X47">
        <v>1.3225434294641354E-2</v>
      </c>
      <c r="Y47">
        <v>1.9146680869773731E-2</v>
      </c>
      <c r="Z47">
        <v>8.3189525163280924E-3</v>
      </c>
      <c r="AA47">
        <v>1.9102833808006266E-2</v>
      </c>
      <c r="AB47">
        <v>7.4074699561336235E-3</v>
      </c>
      <c r="AC47">
        <v>2.7888559819540405E-2</v>
      </c>
      <c r="AD47">
        <v>2.0679109257352838E-2</v>
      </c>
      <c r="AF47" t="s">
        <v>326</v>
      </c>
      <c r="AG47" t="s">
        <v>101</v>
      </c>
      <c r="AH47">
        <v>9.3487193009083418E-3</v>
      </c>
      <c r="AI47">
        <v>1.2221287323050565E-2</v>
      </c>
      <c r="AJ47">
        <v>1.109225114611866E-2</v>
      </c>
      <c r="AK47">
        <v>1.2652870442662325E-2</v>
      </c>
      <c r="AL47">
        <v>1.3607772655058428E-2</v>
      </c>
      <c r="AM47">
        <v>3.2161114348925428E-2</v>
      </c>
      <c r="AN47">
        <v>2.2937888109131277E-2</v>
      </c>
      <c r="AO47">
        <v>1.911383234214754E-2</v>
      </c>
      <c r="AP47">
        <v>1.6669024337099683E-2</v>
      </c>
      <c r="AQ47">
        <v>8.9730504610164574E-3</v>
      </c>
      <c r="AR47">
        <v>1.3651687638672859E-2</v>
      </c>
      <c r="AS47">
        <v>2.6258484769114715E-2</v>
      </c>
      <c r="AU47" t="s">
        <v>326</v>
      </c>
      <c r="AV47" t="s">
        <v>102</v>
      </c>
      <c r="AW47">
        <v>4.7307724239624871E-2</v>
      </c>
      <c r="AX47">
        <v>4.807685570223813E-2</v>
      </c>
      <c r="AY47">
        <v>4.8425418095852261E-2</v>
      </c>
      <c r="AZ47">
        <v>0.14930810859555457</v>
      </c>
      <c r="BA47">
        <v>0.12684199226049467</v>
      </c>
      <c r="BB47">
        <v>0.11233150398533447</v>
      </c>
      <c r="BC47">
        <v>0.13151182666245695</v>
      </c>
      <c r="BD47">
        <v>0.15109596312528659</v>
      </c>
      <c r="BE47">
        <v>0.14468819386370546</v>
      </c>
      <c r="BF47">
        <v>0.10653824920038873</v>
      </c>
      <c r="BG47">
        <v>9.332289370270716E-2</v>
      </c>
      <c r="BH47">
        <v>7.7640781260475231E-2</v>
      </c>
      <c r="BR47" t="s">
        <v>326</v>
      </c>
      <c r="BS47">
        <v>0.75765423486362615</v>
      </c>
      <c r="BT47">
        <v>0.74787756435590724</v>
      </c>
      <c r="BU47">
        <v>0.74289968192359135</v>
      </c>
      <c r="BV47">
        <v>0.54655926684880352</v>
      </c>
      <c r="BW47">
        <v>0.57386268163050957</v>
      </c>
      <c r="BX47">
        <v>0.58048943071435422</v>
      </c>
      <c r="BY47">
        <v>0.51550595516603681</v>
      </c>
      <c r="BZ47">
        <v>0.51632859813328036</v>
      </c>
      <c r="CA47">
        <v>0.51087323484479252</v>
      </c>
      <c r="CB47">
        <v>0.61762626791954822</v>
      </c>
      <c r="CC47">
        <v>0.59845030475267946</v>
      </c>
      <c r="CD47">
        <v>0.62777490314498452</v>
      </c>
      <c r="CF47" t="s">
        <v>327</v>
      </c>
      <c r="CG47" t="s">
        <v>108</v>
      </c>
      <c r="CH47" t="s">
        <v>109</v>
      </c>
      <c r="CI47">
        <v>0.41286851083809506</v>
      </c>
    </row>
    <row r="48" spans="2:87" x14ac:dyDescent="0.45">
      <c r="B48" t="s">
        <v>328</v>
      </c>
      <c r="C48" t="s">
        <v>99</v>
      </c>
      <c r="D48">
        <v>0.15426194678394786</v>
      </c>
      <c r="E48">
        <v>0.16571183537293807</v>
      </c>
      <c r="F48">
        <v>0.1661064900793244</v>
      </c>
      <c r="G48">
        <v>0.2888210917918746</v>
      </c>
      <c r="H48">
        <v>0.26429343855538234</v>
      </c>
      <c r="I48">
        <v>0.273743582601506</v>
      </c>
      <c r="J48">
        <v>0.29078099747792341</v>
      </c>
      <c r="K48">
        <v>0.29827345280511741</v>
      </c>
      <c r="L48">
        <v>0.29614119250828119</v>
      </c>
      <c r="M48">
        <v>0.25069413070606172</v>
      </c>
      <c r="N48">
        <v>0.25586585091869463</v>
      </c>
      <c r="O48">
        <v>0.25213388751759547</v>
      </c>
      <c r="Q48" t="s">
        <v>328</v>
      </c>
      <c r="R48" t="s">
        <v>100</v>
      </c>
      <c r="S48">
        <v>1.1551766449120258E-2</v>
      </c>
      <c r="T48">
        <v>1.3426751675218425E-2</v>
      </c>
      <c r="U48">
        <v>1.124512586737802E-2</v>
      </c>
      <c r="V48">
        <v>1.0226922960191159E-2</v>
      </c>
      <c r="W48">
        <v>1.3004657811478791E-2</v>
      </c>
      <c r="X48">
        <v>9.8453531495555045E-3</v>
      </c>
      <c r="Y48">
        <v>1.3878361904263893E-2</v>
      </c>
      <c r="Z48">
        <v>1.5388790178089381E-2</v>
      </c>
      <c r="AA48">
        <v>1.0089555353451215E-2</v>
      </c>
      <c r="AB48">
        <v>9.0922491974284488E-3</v>
      </c>
      <c r="AC48">
        <v>2.0892326094655047E-2</v>
      </c>
      <c r="AD48">
        <v>5.8954111971628387E-3</v>
      </c>
      <c r="AF48" t="s">
        <v>328</v>
      </c>
      <c r="AG48" t="s">
        <v>101</v>
      </c>
      <c r="AH48">
        <v>9.8800264820354533E-3</v>
      </c>
      <c r="AI48">
        <v>1.051474296249205E-2</v>
      </c>
      <c r="AJ48">
        <v>1.4449366215751365E-2</v>
      </c>
      <c r="AK48">
        <v>1.3127954514534468E-2</v>
      </c>
      <c r="AL48">
        <v>1.4882116898566611E-2</v>
      </c>
      <c r="AM48">
        <v>1.7543570678211558E-2</v>
      </c>
      <c r="AN48">
        <v>1.7785954658918936E-2</v>
      </c>
      <c r="AO48">
        <v>1.6426938353150861E-2</v>
      </c>
      <c r="AP48">
        <v>2.6205893736754228E-2</v>
      </c>
      <c r="AQ48">
        <v>3.7668852080265337E-3</v>
      </c>
      <c r="AR48">
        <v>1.5708563339650632E-2</v>
      </c>
      <c r="AS48">
        <v>2.6956533106120641E-2</v>
      </c>
      <c r="AU48" t="s">
        <v>328</v>
      </c>
      <c r="AV48" t="s">
        <v>102</v>
      </c>
      <c r="AW48">
        <v>3.9347966431452483E-2</v>
      </c>
      <c r="AX48">
        <v>4.6258940257306362E-2</v>
      </c>
      <c r="AY48">
        <v>4.0068763373435727E-2</v>
      </c>
      <c r="AZ48">
        <v>0.13204899695919634</v>
      </c>
      <c r="BA48">
        <v>0.11253704199872797</v>
      </c>
      <c r="BB48">
        <v>0.11859743335322354</v>
      </c>
      <c r="BC48">
        <v>0.13645875682067127</v>
      </c>
      <c r="BD48">
        <v>0.13229977365333465</v>
      </c>
      <c r="BE48">
        <v>0.13947828294702777</v>
      </c>
      <c r="BF48">
        <v>0.11408223692319996</v>
      </c>
      <c r="BG48">
        <v>9.4383561241798461E-2</v>
      </c>
      <c r="BH48">
        <v>9.9982198455720706E-2</v>
      </c>
      <c r="BR48" t="s">
        <v>328</v>
      </c>
      <c r="BS48">
        <v>0.77409228465203195</v>
      </c>
      <c r="BT48">
        <v>0.74778402313703685</v>
      </c>
      <c r="BU48">
        <v>0.76224877310142491</v>
      </c>
      <c r="BV48">
        <v>0.57505023015816303</v>
      </c>
      <c r="BW48">
        <v>0.59488494376664292</v>
      </c>
      <c r="BX48">
        <v>0.59103671245480471</v>
      </c>
      <c r="BY48">
        <v>0.52536322385256118</v>
      </c>
      <c r="BZ48">
        <v>0.52636179019948404</v>
      </c>
      <c r="CA48">
        <v>0.52226585844227102</v>
      </c>
      <c r="CB48">
        <v>0.60898467302010539</v>
      </c>
      <c r="CC48">
        <v>0.61076262460978326</v>
      </c>
      <c r="CD48">
        <v>0.61722421891176316</v>
      </c>
      <c r="CF48" t="s">
        <v>329</v>
      </c>
      <c r="CG48" t="s">
        <v>108</v>
      </c>
      <c r="CH48" t="s">
        <v>109</v>
      </c>
      <c r="CI48">
        <v>0.46601099992756151</v>
      </c>
    </row>
    <row r="49" spans="2:87" x14ac:dyDescent="0.45">
      <c r="B49" t="s">
        <v>330</v>
      </c>
      <c r="C49" t="s">
        <v>99</v>
      </c>
      <c r="D49">
        <v>0.15759314004460639</v>
      </c>
      <c r="E49">
        <v>0.17799410273784066</v>
      </c>
      <c r="F49">
        <v>0.14224589646159042</v>
      </c>
      <c r="G49">
        <v>0.29764774097336771</v>
      </c>
      <c r="H49">
        <v>0.28866262607377235</v>
      </c>
      <c r="I49">
        <v>0.2972934455378497</v>
      </c>
      <c r="J49">
        <v>0.30597830184447833</v>
      </c>
      <c r="K49">
        <v>0.31611332094875044</v>
      </c>
      <c r="L49">
        <v>0.3007612702009777</v>
      </c>
      <c r="M49">
        <v>0.25183222414904072</v>
      </c>
      <c r="N49">
        <v>0.25600644648234289</v>
      </c>
      <c r="O49">
        <v>0.2515199562262882</v>
      </c>
      <c r="Q49" t="s">
        <v>330</v>
      </c>
      <c r="R49" t="s">
        <v>100</v>
      </c>
      <c r="S49">
        <v>9.9646464413567989E-3</v>
      </c>
      <c r="T49">
        <v>1.0645657002885663E-2</v>
      </c>
      <c r="U49">
        <v>1.0048527048795152E-2</v>
      </c>
      <c r="V49">
        <v>8.2856351574306184E-3</v>
      </c>
      <c r="W49">
        <v>1.3864434124171959E-2</v>
      </c>
      <c r="X49">
        <v>1.2419027263386926E-2</v>
      </c>
      <c r="Y49">
        <v>1.7921194948656852E-2</v>
      </c>
      <c r="Z49">
        <v>9.2888378549609192E-3</v>
      </c>
      <c r="AA49">
        <v>1.5025040533861963E-2</v>
      </c>
      <c r="AB49">
        <v>8.458265430097988E-3</v>
      </c>
      <c r="AC49">
        <v>1.4531993181411353E-2</v>
      </c>
      <c r="AD49">
        <v>1.2988790668519861E-2</v>
      </c>
      <c r="AF49" t="s">
        <v>330</v>
      </c>
      <c r="AG49" t="s">
        <v>101</v>
      </c>
      <c r="AH49">
        <v>1.1542874281192014E-2</v>
      </c>
      <c r="AI49">
        <v>1.4416157918239601E-2</v>
      </c>
      <c r="AJ49">
        <v>5.6545073816779952E-3</v>
      </c>
      <c r="AK49">
        <v>1.3221679293783936E-2</v>
      </c>
      <c r="AL49">
        <v>1.0991813154444689E-2</v>
      </c>
      <c r="AM49">
        <v>2.3639086259228427E-2</v>
      </c>
      <c r="AN49">
        <v>2.4731017646056532E-2</v>
      </c>
      <c r="AO49">
        <v>1.2358122523433004E-2</v>
      </c>
      <c r="AP49">
        <v>1.858775763730151E-2</v>
      </c>
      <c r="AQ49">
        <v>1.3818860833369901E-2</v>
      </c>
      <c r="AR49">
        <v>1.4174852861673148E-2</v>
      </c>
      <c r="AS49">
        <v>1.8681564135131879E-2</v>
      </c>
      <c r="AU49" t="s">
        <v>330</v>
      </c>
      <c r="AV49" t="s">
        <v>102</v>
      </c>
      <c r="AW49">
        <v>4.2787743684115254E-2</v>
      </c>
      <c r="AX49">
        <v>4.9064989663218872E-2</v>
      </c>
      <c r="AY49">
        <v>4.2329914490165363E-2</v>
      </c>
      <c r="AZ49">
        <v>0.13200198149993386</v>
      </c>
      <c r="BA49">
        <v>0.12477379585190337</v>
      </c>
      <c r="BB49">
        <v>0.11618789076918952</v>
      </c>
      <c r="BC49">
        <v>0.13532737915726686</v>
      </c>
      <c r="BD49">
        <v>0.16489503991561502</v>
      </c>
      <c r="BE49">
        <v>0.14167772463165934</v>
      </c>
      <c r="BF49">
        <v>0.10748181440660608</v>
      </c>
      <c r="BG49">
        <v>0.10170661300889219</v>
      </c>
      <c r="BH49">
        <v>9.4504054644245522E-2</v>
      </c>
      <c r="BR49" t="s">
        <v>330</v>
      </c>
      <c r="BS49">
        <v>0.75721958085902463</v>
      </c>
      <c r="BT49">
        <v>0.73491600693221037</v>
      </c>
      <c r="BU49">
        <v>0.78028355013049633</v>
      </c>
      <c r="BV49">
        <v>0.56510887234618346</v>
      </c>
      <c r="BW49">
        <v>0.58071132307841267</v>
      </c>
      <c r="BX49">
        <v>0.58165020876728957</v>
      </c>
      <c r="BY49">
        <v>0.49628921500226397</v>
      </c>
      <c r="BZ49">
        <v>0.48880847286744733</v>
      </c>
      <c r="CA49">
        <v>0.49020205873516554</v>
      </c>
      <c r="CB49">
        <v>0.61268870870247594</v>
      </c>
      <c r="CC49">
        <v>0.62194181436373353</v>
      </c>
      <c r="CD49">
        <v>0.62349288245717271</v>
      </c>
      <c r="CF49" t="s">
        <v>331</v>
      </c>
      <c r="CG49" t="s">
        <v>108</v>
      </c>
      <c r="CH49" t="s">
        <v>109</v>
      </c>
      <c r="CI49">
        <v>0.64702658963250503</v>
      </c>
    </row>
    <row r="50" spans="2:87" x14ac:dyDescent="0.45">
      <c r="B50" t="s">
        <v>332</v>
      </c>
      <c r="C50" t="s">
        <v>99</v>
      </c>
      <c r="D50">
        <v>0.19471091101900134</v>
      </c>
      <c r="E50">
        <v>0.19686968998071813</v>
      </c>
      <c r="F50">
        <v>0.1821485323944943</v>
      </c>
      <c r="G50">
        <v>0.30583353685716208</v>
      </c>
      <c r="H50">
        <v>0.31040837587335329</v>
      </c>
      <c r="I50">
        <v>0.27573288909673921</v>
      </c>
      <c r="J50">
        <v>0.29185235642149193</v>
      </c>
      <c r="K50">
        <v>0.31093760670410536</v>
      </c>
      <c r="L50">
        <v>0.30224875414202867</v>
      </c>
      <c r="M50">
        <v>0.22823096002810281</v>
      </c>
      <c r="N50">
        <v>0.23604111289476451</v>
      </c>
      <c r="O50">
        <v>0.23935779235264232</v>
      </c>
      <c r="Q50" t="s">
        <v>332</v>
      </c>
      <c r="R50" t="s">
        <v>100</v>
      </c>
      <c r="S50">
        <v>1.2607684030926925E-2</v>
      </c>
      <c r="T50">
        <v>1.1531411217455326E-2</v>
      </c>
      <c r="U50">
        <v>9.438515479996145E-3</v>
      </c>
      <c r="V50">
        <v>1.0521431685455719E-2</v>
      </c>
      <c r="W50">
        <v>1.8699411221488046E-2</v>
      </c>
      <c r="X50">
        <v>1.7407975296551088E-2</v>
      </c>
      <c r="Y50">
        <v>1.4133400902002498E-2</v>
      </c>
      <c r="Z50">
        <v>8.3772132019502808E-3</v>
      </c>
      <c r="AA50">
        <v>1.0173431883029662E-2</v>
      </c>
      <c r="AB50">
        <v>6.6740432664057691E-3</v>
      </c>
      <c r="AC50">
        <v>1.7139429812497955E-2</v>
      </c>
      <c r="AD50">
        <v>1.5607645881234013E-2</v>
      </c>
      <c r="AF50" t="s">
        <v>332</v>
      </c>
      <c r="AG50" t="s">
        <v>101</v>
      </c>
      <c r="AH50">
        <v>1.2724098546544335E-2</v>
      </c>
      <c r="AI50">
        <v>1.4671947350668657E-2</v>
      </c>
      <c r="AJ50">
        <v>9.4505690481682791E-3</v>
      </c>
      <c r="AK50">
        <v>1.9751815275423773E-2</v>
      </c>
      <c r="AL50">
        <v>1.7293238827753889E-2</v>
      </c>
      <c r="AM50">
        <v>2.5303113226054167E-2</v>
      </c>
      <c r="AN50">
        <v>2.4007267872826702E-2</v>
      </c>
      <c r="AO50">
        <v>1.7915847362927301E-2</v>
      </c>
      <c r="AP50">
        <v>9.9736817218515437E-3</v>
      </c>
      <c r="AQ50">
        <v>1.3273221697226776E-2</v>
      </c>
      <c r="AR50">
        <v>1.5333524598424313E-2</v>
      </c>
      <c r="AS50">
        <v>2.0661970883077807E-2</v>
      </c>
      <c r="AU50" t="s">
        <v>332</v>
      </c>
      <c r="AV50" t="s">
        <v>102</v>
      </c>
      <c r="AW50">
        <v>5.6217584506050716E-2</v>
      </c>
      <c r="AX50">
        <v>6.5181849219302118E-2</v>
      </c>
      <c r="AY50">
        <v>5.874347244631363E-2</v>
      </c>
      <c r="AZ50">
        <v>0.13729447370217956</v>
      </c>
      <c r="BA50">
        <v>0.1353582761857253</v>
      </c>
      <c r="BB50">
        <v>0.10344203031569754</v>
      </c>
      <c r="BC50">
        <v>0.13531522934598533</v>
      </c>
      <c r="BD50">
        <v>0.15871081483978783</v>
      </c>
      <c r="BE50">
        <v>0.15215940683685453</v>
      </c>
      <c r="BF50">
        <v>9.423828760609021E-2</v>
      </c>
      <c r="BG50">
        <v>8.7926467775949479E-2</v>
      </c>
      <c r="BH50">
        <v>8.2499317377333709E-2</v>
      </c>
      <c r="BR50" t="s">
        <v>332</v>
      </c>
      <c r="BS50">
        <v>0.71400759367943334</v>
      </c>
      <c r="BT50">
        <v>0.69637955049825562</v>
      </c>
      <c r="BU50">
        <v>0.72571717186997375</v>
      </c>
      <c r="BV50">
        <v>0.541365356188661</v>
      </c>
      <c r="BW50">
        <v>0.54140922323331275</v>
      </c>
      <c r="BX50">
        <v>0.59105758919291718</v>
      </c>
      <c r="BY50">
        <v>0.49687159084425231</v>
      </c>
      <c r="BZ50">
        <v>0.4869125383072832</v>
      </c>
      <c r="CA50">
        <v>0.49233517482401334</v>
      </c>
      <c r="CB50">
        <v>0.63522830713472411</v>
      </c>
      <c r="CC50">
        <v>0.62169334651280406</v>
      </c>
      <c r="CD50">
        <v>0.63384818272756993</v>
      </c>
      <c r="CF50" t="s">
        <v>333</v>
      </c>
      <c r="CG50" t="s">
        <v>108</v>
      </c>
      <c r="CH50" t="s">
        <v>109</v>
      </c>
      <c r="CI50">
        <v>0.73620888552984209</v>
      </c>
    </row>
    <row r="51" spans="2:87" x14ac:dyDescent="0.45">
      <c r="B51" t="s">
        <v>334</v>
      </c>
      <c r="C51" t="s">
        <v>99</v>
      </c>
      <c r="D51">
        <v>0.19388824083758227</v>
      </c>
      <c r="E51">
        <v>0.18582862914404213</v>
      </c>
      <c r="F51">
        <v>0.18998169940517676</v>
      </c>
      <c r="G51">
        <v>0.30779193226329227</v>
      </c>
      <c r="H51">
        <v>0.29834247644150252</v>
      </c>
      <c r="I51">
        <v>0.27839787957626866</v>
      </c>
      <c r="J51">
        <v>0.30659668407262469</v>
      </c>
      <c r="K51">
        <v>0.30236559777432565</v>
      </c>
      <c r="L51">
        <v>0.31982279007825365</v>
      </c>
      <c r="M51">
        <v>0.24684228035395514</v>
      </c>
      <c r="N51">
        <v>0.25246433250944955</v>
      </c>
      <c r="O51">
        <v>0.25108014984321375</v>
      </c>
      <c r="Q51" t="s">
        <v>334</v>
      </c>
      <c r="R51" t="s">
        <v>100</v>
      </c>
      <c r="S51">
        <v>1.0512793161622224E-2</v>
      </c>
      <c r="T51">
        <v>1.1928231039398164E-2</v>
      </c>
      <c r="U51">
        <v>1.2581264603630918E-2</v>
      </c>
      <c r="V51">
        <v>6.5372110347287097E-3</v>
      </c>
      <c r="W51">
        <v>1.9422825450374246E-2</v>
      </c>
      <c r="X51">
        <v>1.7679199380924871E-2</v>
      </c>
      <c r="Y51">
        <v>1.5024637258993117E-2</v>
      </c>
      <c r="Z51">
        <v>1.0191933026829443E-2</v>
      </c>
      <c r="AA51">
        <v>1.8441977289878602E-2</v>
      </c>
      <c r="AB51">
        <v>9.1040843406840436E-3</v>
      </c>
      <c r="AC51">
        <v>1.4153171573494189E-2</v>
      </c>
      <c r="AD51">
        <v>2.290255814710547E-2</v>
      </c>
      <c r="AF51" t="s">
        <v>334</v>
      </c>
      <c r="AG51" t="s">
        <v>101</v>
      </c>
      <c r="AH51">
        <v>1.2214491680115135E-2</v>
      </c>
      <c r="AI51">
        <v>1.4814913035748299E-2</v>
      </c>
      <c r="AJ51">
        <v>9.6132509415689411E-3</v>
      </c>
      <c r="AK51">
        <v>1.9438554093968601E-2</v>
      </c>
      <c r="AL51">
        <v>1.1242811834496E-2</v>
      </c>
      <c r="AM51">
        <v>2.9196941706420104E-2</v>
      </c>
      <c r="AN51">
        <v>2.2058669642430813E-2</v>
      </c>
      <c r="AO51">
        <v>2.1457730521759838E-2</v>
      </c>
      <c r="AP51">
        <v>1.7048628525446027E-2</v>
      </c>
      <c r="AQ51">
        <v>1.7592201532940815E-2</v>
      </c>
      <c r="AR51">
        <v>8.1260190857413515E-3</v>
      </c>
      <c r="AS51">
        <v>1.9978161190157686E-2</v>
      </c>
      <c r="AU51" t="s">
        <v>334</v>
      </c>
      <c r="AV51" t="s">
        <v>102</v>
      </c>
      <c r="AW51">
        <v>5.9658905398228705E-2</v>
      </c>
      <c r="AX51">
        <v>5.3973175110523436E-2</v>
      </c>
      <c r="AY51">
        <v>6.1073466967988162E-2</v>
      </c>
      <c r="AZ51">
        <v>0.13623095687800518</v>
      </c>
      <c r="BA51">
        <v>0.13371099086685545</v>
      </c>
      <c r="BB51">
        <v>9.7051883497109567E-2</v>
      </c>
      <c r="BC51">
        <v>0.14244329328043651</v>
      </c>
      <c r="BD51">
        <v>0.14598609893450537</v>
      </c>
      <c r="BE51">
        <v>0.14487806875995776</v>
      </c>
      <c r="BF51">
        <v>9.3573258009081242E-2</v>
      </c>
      <c r="BG51">
        <v>0.11059277896495136</v>
      </c>
      <c r="BH51">
        <v>7.9221001602886934E-2</v>
      </c>
      <c r="BR51" t="s">
        <v>334</v>
      </c>
      <c r="BS51">
        <v>0.71570893045857054</v>
      </c>
      <c r="BT51">
        <v>0.72226872082444571</v>
      </c>
      <c r="BU51">
        <v>0.72388864681516196</v>
      </c>
      <c r="BV51">
        <v>0.55078210446536036</v>
      </c>
      <c r="BW51">
        <v>0.54884399333786904</v>
      </c>
      <c r="BX51">
        <v>0.59242156694524006</v>
      </c>
      <c r="BY51">
        <v>0.49989484187893612</v>
      </c>
      <c r="BZ51">
        <v>0.49662454077066753</v>
      </c>
      <c r="CA51">
        <v>0.50174412916993805</v>
      </c>
      <c r="CB51">
        <v>0.63783095799497291</v>
      </c>
      <c r="CC51">
        <v>0.61151572516319463</v>
      </c>
      <c r="CD51">
        <v>0.63616298717410613</v>
      </c>
      <c r="CF51" t="s">
        <v>335</v>
      </c>
      <c r="CG51" t="s">
        <v>108</v>
      </c>
      <c r="CH51" t="s">
        <v>109</v>
      </c>
      <c r="CI51">
        <v>0.69569536797238496</v>
      </c>
    </row>
    <row r="52" spans="2:87" x14ac:dyDescent="0.45">
      <c r="B52" t="s">
        <v>336</v>
      </c>
      <c r="C52" t="s">
        <v>99</v>
      </c>
      <c r="D52">
        <v>0.229972178191928</v>
      </c>
      <c r="E52">
        <v>0.22122628369329911</v>
      </c>
      <c r="F52">
        <v>0.22421508078359037</v>
      </c>
      <c r="G52">
        <v>0.30006005256662072</v>
      </c>
      <c r="H52">
        <v>0.30486602133131069</v>
      </c>
      <c r="I52">
        <v>0.30012537905061831</v>
      </c>
      <c r="J52">
        <v>0.33876033940023925</v>
      </c>
      <c r="K52">
        <v>0.34838313573730734</v>
      </c>
      <c r="L52">
        <v>0.35631148683498698</v>
      </c>
      <c r="M52">
        <v>0.28666461867280729</v>
      </c>
      <c r="N52">
        <v>0.27361326801266839</v>
      </c>
      <c r="O52">
        <v>0.28327746831532541</v>
      </c>
      <c r="Q52" t="s">
        <v>336</v>
      </c>
      <c r="R52" t="s">
        <v>100</v>
      </c>
      <c r="S52">
        <v>1.9993496831835152E-2</v>
      </c>
      <c r="T52">
        <v>1.3544403398768855E-2</v>
      </c>
      <c r="U52">
        <v>1.7067525873169811E-2</v>
      </c>
      <c r="V52">
        <v>9.9683405750764821E-3</v>
      </c>
      <c r="W52">
        <v>1.8941264266861914E-2</v>
      </c>
      <c r="X52">
        <v>2.4616920995540397E-2</v>
      </c>
      <c r="Y52">
        <v>1.7430522125341023E-2</v>
      </c>
      <c r="Z52">
        <v>2.1706502190618541E-2</v>
      </c>
      <c r="AA52">
        <v>9.3268499982460864E-3</v>
      </c>
      <c r="AB52">
        <v>1.9087852799948495E-2</v>
      </c>
      <c r="AC52">
        <v>2.3438431962589528E-2</v>
      </c>
      <c r="AD52">
        <v>2.1278486942431403E-2</v>
      </c>
      <c r="AF52" t="s">
        <v>336</v>
      </c>
      <c r="AG52" t="s">
        <v>101</v>
      </c>
      <c r="AH52">
        <v>1.671725606203275E-2</v>
      </c>
      <c r="AI52">
        <v>1.8465432200709082E-2</v>
      </c>
      <c r="AJ52">
        <v>1.782491688255132E-2</v>
      </c>
      <c r="AK52">
        <v>2.81749362783121E-2</v>
      </c>
      <c r="AL52">
        <v>1.4485742391140918E-2</v>
      </c>
      <c r="AM52">
        <v>2.4927099185735602E-2</v>
      </c>
      <c r="AN52">
        <v>1.8295929185999194E-2</v>
      </c>
      <c r="AO52">
        <v>3.5170155089323196E-2</v>
      </c>
      <c r="AP52">
        <v>2.7967737339475787E-2</v>
      </c>
      <c r="AQ52">
        <v>2.3777651175638841E-2</v>
      </c>
      <c r="AR52">
        <v>2.1646106100907201E-2</v>
      </c>
      <c r="AS52">
        <v>2.2204321212720597E-2</v>
      </c>
      <c r="AU52" t="s">
        <v>336</v>
      </c>
      <c r="AV52" t="s">
        <v>102</v>
      </c>
      <c r="AW52">
        <v>6.9720392417781843E-2</v>
      </c>
      <c r="AX52">
        <v>7.1111432560705401E-2</v>
      </c>
      <c r="AY52">
        <v>6.6125058512650603E-2</v>
      </c>
      <c r="AZ52">
        <v>0.1204326939505125</v>
      </c>
      <c r="BA52">
        <v>0.13369618075195822</v>
      </c>
      <c r="BB52">
        <v>0.10866891510760529</v>
      </c>
      <c r="BC52">
        <v>0.17457502616653833</v>
      </c>
      <c r="BD52">
        <v>0.14128674495860832</v>
      </c>
      <c r="BE52">
        <v>0.1668228722978968</v>
      </c>
      <c r="BF52">
        <v>0.10917867991386267</v>
      </c>
      <c r="BG52">
        <v>9.6217316597572544E-2</v>
      </c>
      <c r="BH52">
        <v>0.10612738135180075</v>
      </c>
      <c r="BR52" t="s">
        <v>336</v>
      </c>
      <c r="BS52">
        <v>0.6694626676484613</v>
      </c>
      <c r="BT52">
        <v>0.68360875002546484</v>
      </c>
      <c r="BU52">
        <v>0.68288979654775306</v>
      </c>
      <c r="BV52">
        <v>0.55306200080063428</v>
      </c>
      <c r="BW52">
        <v>0.52975269808657477</v>
      </c>
      <c r="BX52">
        <v>0.56178045034545998</v>
      </c>
      <c r="BY52">
        <v>0.44968601776832312</v>
      </c>
      <c r="BZ52">
        <v>0.47672901708904797</v>
      </c>
      <c r="CA52">
        <v>0.47084667188354534</v>
      </c>
      <c r="CB52">
        <v>0.57389487303489306</v>
      </c>
      <c r="CC52">
        <v>0.58792616491037897</v>
      </c>
      <c r="CD52">
        <v>0.57546056629773867</v>
      </c>
      <c r="CF52" t="s">
        <v>337</v>
      </c>
      <c r="CG52" t="s">
        <v>108</v>
      </c>
      <c r="CH52" t="s">
        <v>109</v>
      </c>
      <c r="CI52">
        <v>0.75734487640856085</v>
      </c>
    </row>
    <row r="53" spans="2:87" x14ac:dyDescent="0.45">
      <c r="B53" t="s">
        <v>338</v>
      </c>
      <c r="C53" t="s">
        <v>99</v>
      </c>
      <c r="D53">
        <v>0.22090529156283062</v>
      </c>
      <c r="E53">
        <v>0.21012659156846275</v>
      </c>
      <c r="F53">
        <v>0.20935987588371407</v>
      </c>
      <c r="G53">
        <v>0.30489111546320524</v>
      </c>
      <c r="H53">
        <v>0.30220068786634774</v>
      </c>
      <c r="I53">
        <v>0.28564777295318011</v>
      </c>
      <c r="J53">
        <v>0.33902662592364102</v>
      </c>
      <c r="K53">
        <v>0.33412690167143283</v>
      </c>
      <c r="L53">
        <v>0.33544070720519292</v>
      </c>
      <c r="M53">
        <v>0.27001275405502889</v>
      </c>
      <c r="N53">
        <v>0.26050036757845152</v>
      </c>
      <c r="O53">
        <v>0.26543056470197318</v>
      </c>
      <c r="Q53" t="s">
        <v>338</v>
      </c>
      <c r="R53" t="s">
        <v>100</v>
      </c>
      <c r="S53">
        <v>1.9576654523545137E-2</v>
      </c>
      <c r="T53">
        <v>1.419261591967619E-2</v>
      </c>
      <c r="U53">
        <v>1.2927892652535312E-2</v>
      </c>
      <c r="V53">
        <v>1.7174007631633039E-2</v>
      </c>
      <c r="W53">
        <v>1.9486925374387058E-2</v>
      </c>
      <c r="X53">
        <v>2.238449138422724E-2</v>
      </c>
      <c r="Y53">
        <v>2.0900274048863441E-2</v>
      </c>
      <c r="Z53">
        <v>1.7034635748647754E-2</v>
      </c>
      <c r="AA53">
        <v>1.6724019917513221E-2</v>
      </c>
      <c r="AB53">
        <v>1.2033286556605126E-2</v>
      </c>
      <c r="AC53">
        <v>2.0302039884935966E-2</v>
      </c>
      <c r="AD53">
        <v>1.5516771584720196E-2</v>
      </c>
      <c r="AF53" t="s">
        <v>338</v>
      </c>
      <c r="AG53" t="s">
        <v>101</v>
      </c>
      <c r="AH53">
        <v>2.1657018212467693E-2</v>
      </c>
      <c r="AI53">
        <v>1.5271564823936041E-2</v>
      </c>
      <c r="AJ53">
        <v>1.8146106439192223E-2</v>
      </c>
      <c r="AK53">
        <v>2.890446691949972E-2</v>
      </c>
      <c r="AL53">
        <v>1.9664484042498494E-2</v>
      </c>
      <c r="AM53">
        <v>2.7016279205438185E-2</v>
      </c>
      <c r="AN53">
        <v>2.3428098421147906E-2</v>
      </c>
      <c r="AO53">
        <v>3.0137948157126532E-2</v>
      </c>
      <c r="AP53">
        <v>1.0128399817662075E-2</v>
      </c>
      <c r="AQ53">
        <v>2.0450280310776975E-2</v>
      </c>
      <c r="AR53">
        <v>1.1515575321738117E-2</v>
      </c>
      <c r="AS53">
        <v>2.4112032638312016E-2</v>
      </c>
      <c r="AU53" t="s">
        <v>338</v>
      </c>
      <c r="AV53" t="s">
        <v>102</v>
      </c>
      <c r="AW53">
        <v>5.631495909993324E-2</v>
      </c>
      <c r="AX53">
        <v>6.5095881748403445E-2</v>
      </c>
      <c r="AY53">
        <v>6.0799302679901322E-2</v>
      </c>
      <c r="AZ53">
        <v>0.11546691215839452</v>
      </c>
      <c r="BA53">
        <v>0.12178619835246945</v>
      </c>
      <c r="BB53">
        <v>9.9288035864128196E-2</v>
      </c>
      <c r="BC53">
        <v>0.1531021557084972</v>
      </c>
      <c r="BD53">
        <v>0.14818715209838831</v>
      </c>
      <c r="BE53">
        <v>0.1681634536464896</v>
      </c>
      <c r="BF53">
        <v>0.10331409199180391</v>
      </c>
      <c r="BG53">
        <v>9.8056004877638062E-2</v>
      </c>
      <c r="BH53">
        <v>9.1195636670581282E-2</v>
      </c>
      <c r="BR53" t="s">
        <v>338</v>
      </c>
      <c r="BS53">
        <v>0.68750097724876991</v>
      </c>
      <c r="BT53">
        <v>0.68945152475498317</v>
      </c>
      <c r="BU53">
        <v>0.69771421076894147</v>
      </c>
      <c r="BV53">
        <v>0.54974041971788679</v>
      </c>
      <c r="BW53">
        <v>0.53843075285275011</v>
      </c>
      <c r="BX53">
        <v>0.57196691170538916</v>
      </c>
      <c r="BY53">
        <v>0.46483084823419674</v>
      </c>
      <c r="BZ53">
        <v>0.47358550084548717</v>
      </c>
      <c r="CA53">
        <v>0.47465292195603831</v>
      </c>
      <c r="CB53">
        <v>0.60802832249877836</v>
      </c>
      <c r="CC53">
        <v>0.61114249774657736</v>
      </c>
      <c r="CD53">
        <v>0.61504900507311167</v>
      </c>
      <c r="CF53" t="s">
        <v>296</v>
      </c>
      <c r="CG53" t="s">
        <v>108</v>
      </c>
      <c r="CH53" t="s">
        <v>109</v>
      </c>
      <c r="CI53">
        <v>0.60679458476638692</v>
      </c>
    </row>
    <row r="54" spans="2:87" x14ac:dyDescent="0.45">
      <c r="B54" t="s">
        <v>339</v>
      </c>
      <c r="C54" t="s">
        <v>99</v>
      </c>
      <c r="D54">
        <v>0.24176631604889309</v>
      </c>
      <c r="E54">
        <v>0.24546281494439284</v>
      </c>
      <c r="F54">
        <v>0.25812842844467704</v>
      </c>
      <c r="G54">
        <v>0.32508102794623001</v>
      </c>
      <c r="H54">
        <v>0.34080724210396901</v>
      </c>
      <c r="I54">
        <v>0.31249453411112749</v>
      </c>
      <c r="J54">
        <v>0.34499988896125078</v>
      </c>
      <c r="K54">
        <v>0.33778015777567266</v>
      </c>
      <c r="L54">
        <v>0.33033462775517403</v>
      </c>
      <c r="M54">
        <v>0.27285874556435158</v>
      </c>
      <c r="N54">
        <v>0.25508153153620261</v>
      </c>
      <c r="O54">
        <v>0.25299844366853058</v>
      </c>
      <c r="Q54" t="s">
        <v>339</v>
      </c>
      <c r="R54" t="s">
        <v>100</v>
      </c>
      <c r="S54">
        <v>1.7043046259302624E-2</v>
      </c>
      <c r="T54">
        <v>1.7071453474207174E-2</v>
      </c>
      <c r="U54">
        <v>2.571272114951886E-2</v>
      </c>
      <c r="V54">
        <v>1.7159747998033468E-2</v>
      </c>
      <c r="W54">
        <v>1.2970498927354149E-2</v>
      </c>
      <c r="X54">
        <v>3.3622874917400757E-2</v>
      </c>
      <c r="Y54">
        <v>1.5316129668513817E-2</v>
      </c>
      <c r="Z54">
        <v>2.3462831382096153E-2</v>
      </c>
      <c r="AA54">
        <v>1.2998855285843228E-2</v>
      </c>
      <c r="AB54">
        <v>2.6698276365294527E-2</v>
      </c>
      <c r="AC54">
        <v>2.1231807854989959E-2</v>
      </c>
      <c r="AD54">
        <v>1.6923237917946168E-2</v>
      </c>
      <c r="AF54" t="s">
        <v>339</v>
      </c>
      <c r="AG54" t="s">
        <v>101</v>
      </c>
      <c r="AH54">
        <v>1.7757000264194751E-2</v>
      </c>
      <c r="AI54">
        <v>2.0690305677521829E-2</v>
      </c>
      <c r="AJ54">
        <v>2.8883351078181994E-2</v>
      </c>
      <c r="AK54">
        <v>3.8133355627132985E-2</v>
      </c>
      <c r="AL54">
        <v>1.3859435622810824E-2</v>
      </c>
      <c r="AM54">
        <v>1.9155881646042101E-2</v>
      </c>
      <c r="AN54">
        <v>2.4791272880245203E-2</v>
      </c>
      <c r="AO54">
        <v>2.9226095096597255E-2</v>
      </c>
      <c r="AP54">
        <v>2.4500357087494418E-2</v>
      </c>
      <c r="AQ54">
        <v>2.1803117107396776E-2</v>
      </c>
      <c r="AR54">
        <v>1.8536002485775253E-2</v>
      </c>
      <c r="AS54">
        <v>3.4437280303439372E-2</v>
      </c>
      <c r="AU54" t="s">
        <v>339</v>
      </c>
      <c r="AV54" t="s">
        <v>102</v>
      </c>
      <c r="AW54">
        <v>7.5195552640376348E-2</v>
      </c>
      <c r="AX54">
        <v>7.9498990542638662E-2</v>
      </c>
      <c r="AY54">
        <v>6.9996159682179232E-2</v>
      </c>
      <c r="AZ54">
        <v>0.1179164772543099</v>
      </c>
      <c r="BA54">
        <v>0.17610692743055242</v>
      </c>
      <c r="BB54">
        <v>0.1190548461455852</v>
      </c>
      <c r="BC54">
        <v>0.17444800522247647</v>
      </c>
      <c r="BD54">
        <v>0.14453936536712755</v>
      </c>
      <c r="BE54">
        <v>0.16456857569113936</v>
      </c>
      <c r="BF54">
        <v>8.5294938526889533E-2</v>
      </c>
      <c r="BG54">
        <v>9.0079065003158293E-2</v>
      </c>
      <c r="BH54">
        <v>8.3330902851888156E-2</v>
      </c>
      <c r="BR54" t="s">
        <v>339</v>
      </c>
      <c r="BS54">
        <v>0.65253098042849078</v>
      </c>
      <c r="BT54">
        <v>0.64208031846353542</v>
      </c>
      <c r="BU54">
        <v>0.63148699871925218</v>
      </c>
      <c r="BV54">
        <v>0.52694745546000665</v>
      </c>
      <c r="BW54">
        <v>0.47971049147868611</v>
      </c>
      <c r="BX54">
        <v>0.52871451182185192</v>
      </c>
      <c r="BY54">
        <v>0.44545500490876239</v>
      </c>
      <c r="BZ54">
        <v>0.48250209040643416</v>
      </c>
      <c r="CA54">
        <v>0.46917565377349491</v>
      </c>
      <c r="CB54">
        <v>0.59609424422183965</v>
      </c>
      <c r="CC54">
        <v>0.59758769752185126</v>
      </c>
      <c r="CD54">
        <v>0.59529180776051471</v>
      </c>
      <c r="CF54" t="s">
        <v>298</v>
      </c>
      <c r="CG54" t="s">
        <v>108</v>
      </c>
      <c r="CH54" t="s">
        <v>109</v>
      </c>
      <c r="CI54">
        <v>0.62575945689432644</v>
      </c>
    </row>
    <row r="55" spans="2:87" x14ac:dyDescent="0.45">
      <c r="B55" t="s">
        <v>340</v>
      </c>
      <c r="C55" t="s">
        <v>99</v>
      </c>
      <c r="D55">
        <v>0.25906181483172391</v>
      </c>
      <c r="E55">
        <v>0.27021689249765746</v>
      </c>
      <c r="F55">
        <v>0.2646320128393318</v>
      </c>
      <c r="G55">
        <v>0.31474052543457065</v>
      </c>
      <c r="H55">
        <v>0.32720104266482669</v>
      </c>
      <c r="I55">
        <v>0.3184623448472142</v>
      </c>
      <c r="J55">
        <v>0.33859706485254676</v>
      </c>
      <c r="K55">
        <v>0.30758424240931431</v>
      </c>
      <c r="L55">
        <v>0.3158816099000471</v>
      </c>
      <c r="M55">
        <v>0.24892941964405468</v>
      </c>
      <c r="N55">
        <v>0.24630810423870655</v>
      </c>
      <c r="O55">
        <v>0.25725473771008994</v>
      </c>
      <c r="Q55" t="s">
        <v>340</v>
      </c>
      <c r="R55" t="s">
        <v>100</v>
      </c>
      <c r="S55">
        <v>2.2944059638763326E-2</v>
      </c>
      <c r="T55">
        <v>1.9267856246214569E-2</v>
      </c>
      <c r="U55">
        <v>1.8124906352526133E-2</v>
      </c>
      <c r="V55">
        <v>2.1590937685532049E-2</v>
      </c>
      <c r="W55">
        <v>9.6177407786559952E-3</v>
      </c>
      <c r="X55">
        <v>3.070829357798481E-2</v>
      </c>
      <c r="Y55">
        <v>3.3005367168214998E-2</v>
      </c>
      <c r="Z55">
        <v>2.6390297175230993E-2</v>
      </c>
      <c r="AA55">
        <v>1.5259230888197542E-2</v>
      </c>
      <c r="AB55">
        <v>1.9988549498341227E-2</v>
      </c>
      <c r="AC55">
        <v>2.653401672003175E-2</v>
      </c>
      <c r="AD55">
        <v>2.0943673947174418E-2</v>
      </c>
      <c r="AF55" t="s">
        <v>340</v>
      </c>
      <c r="AG55" t="s">
        <v>101</v>
      </c>
      <c r="AH55">
        <v>1.9430358874801355E-2</v>
      </c>
      <c r="AI55">
        <v>2.4346182895315087E-2</v>
      </c>
      <c r="AJ55">
        <v>2.4360739217363224E-2</v>
      </c>
      <c r="AK55">
        <v>3.0064549149191537E-2</v>
      </c>
      <c r="AL55">
        <v>2.1372766057856107E-2</v>
      </c>
      <c r="AM55">
        <v>1.8690827825387512E-2</v>
      </c>
      <c r="AN55">
        <v>3.5548203208098011E-2</v>
      </c>
      <c r="AO55">
        <v>3.2320792897609488E-2</v>
      </c>
      <c r="AP55">
        <v>4.3728914956928412E-2</v>
      </c>
      <c r="AQ55">
        <v>2.1541488586982502E-2</v>
      </c>
      <c r="AR55">
        <v>2.2147223656115444E-2</v>
      </c>
      <c r="AS55">
        <v>3.1432299890451008E-2</v>
      </c>
      <c r="AU55" t="s">
        <v>340</v>
      </c>
      <c r="AV55" t="s">
        <v>102</v>
      </c>
      <c r="AW55">
        <v>7.696629639157157E-2</v>
      </c>
      <c r="AX55">
        <v>8.8326397069704882E-2</v>
      </c>
      <c r="AY55">
        <v>8.7421186919244886E-2</v>
      </c>
      <c r="AZ55">
        <v>0.12292564163668629</v>
      </c>
      <c r="BA55">
        <v>0.16527971617566456</v>
      </c>
      <c r="BB55">
        <v>0.12892289461893608</v>
      </c>
      <c r="BC55">
        <v>0.1333315131922565</v>
      </c>
      <c r="BD55">
        <v>0.12244120834071408</v>
      </c>
      <c r="BE55">
        <v>0.12993560946609348</v>
      </c>
      <c r="BF55">
        <v>8.5661698819608459E-2</v>
      </c>
      <c r="BG55">
        <v>7.9026824126110937E-2</v>
      </c>
      <c r="BH55">
        <v>7.3002979112003749E-2</v>
      </c>
      <c r="BR55" t="s">
        <v>340</v>
      </c>
      <c r="BS55">
        <v>0.64112599411261806</v>
      </c>
      <c r="BT55">
        <v>0.61082003870358426</v>
      </c>
      <c r="BU55">
        <v>0.61555998417617985</v>
      </c>
      <c r="BV55">
        <v>0.51360072963197323</v>
      </c>
      <c r="BW55">
        <v>0.47008884411176788</v>
      </c>
      <c r="BX55">
        <v>0.50973264144600428</v>
      </c>
      <c r="BY55">
        <v>0.43171851307216336</v>
      </c>
      <c r="BZ55">
        <v>0.47389221580112356</v>
      </c>
      <c r="CA55">
        <v>0.43784646015997009</v>
      </c>
      <c r="CB55">
        <v>0.62210189901813484</v>
      </c>
      <c r="CC55">
        <v>0.61067466032846729</v>
      </c>
      <c r="CD55">
        <v>0.62330293660315217</v>
      </c>
      <c r="CF55" t="s">
        <v>300</v>
      </c>
      <c r="CG55" t="s">
        <v>108</v>
      </c>
      <c r="CH55" t="s">
        <v>109</v>
      </c>
      <c r="CI55">
        <v>0.58649569543770463</v>
      </c>
    </row>
    <row r="56" spans="2:87" x14ac:dyDescent="0.45">
      <c r="B56" t="s">
        <v>341</v>
      </c>
      <c r="C56" t="s">
        <v>99</v>
      </c>
      <c r="D56">
        <v>0.22756438392699416</v>
      </c>
      <c r="E56">
        <v>0.24654038204204157</v>
      </c>
      <c r="F56">
        <v>0.24068833726571698</v>
      </c>
      <c r="G56">
        <v>0.30537875559505179</v>
      </c>
      <c r="H56">
        <v>0.31219864433806538</v>
      </c>
      <c r="I56">
        <v>0.28397087117253428</v>
      </c>
      <c r="J56">
        <v>0.34065157029144622</v>
      </c>
      <c r="K56">
        <v>0.31952783096565596</v>
      </c>
      <c r="L56">
        <v>0.3157011531528427</v>
      </c>
      <c r="M56">
        <v>0.25394528335520944</v>
      </c>
      <c r="N56">
        <v>0.25448664142049932</v>
      </c>
      <c r="O56">
        <v>0.24946995467612063</v>
      </c>
      <c r="Q56" t="s">
        <v>341</v>
      </c>
      <c r="R56" t="s">
        <v>100</v>
      </c>
      <c r="S56">
        <v>1.9212874885128822E-2</v>
      </c>
      <c r="T56">
        <v>1.7268476738177375E-2</v>
      </c>
      <c r="U56">
        <v>1.7846941030773462E-2</v>
      </c>
      <c r="V56">
        <v>1.597975636038336E-2</v>
      </c>
      <c r="W56">
        <v>1.1271924134448157E-2</v>
      </c>
      <c r="X56">
        <v>2.8306164214717235E-2</v>
      </c>
      <c r="Y56">
        <v>2.455573123687093E-2</v>
      </c>
      <c r="Z56">
        <v>2.2942181165062435E-2</v>
      </c>
      <c r="AA56">
        <v>1.2064018206354263E-2</v>
      </c>
      <c r="AB56">
        <v>1.7875541195095171E-2</v>
      </c>
      <c r="AC56">
        <v>1.3083030599122429E-2</v>
      </c>
      <c r="AD56">
        <v>1.7579394314156307E-2</v>
      </c>
      <c r="AF56" t="s">
        <v>341</v>
      </c>
      <c r="AG56" t="s">
        <v>101</v>
      </c>
      <c r="AH56">
        <v>1.9334003810743267E-2</v>
      </c>
      <c r="AI56">
        <v>2.0988271939070581E-2</v>
      </c>
      <c r="AJ56">
        <v>1.7329627497184287E-2</v>
      </c>
      <c r="AK56">
        <v>2.9928521741915438E-2</v>
      </c>
      <c r="AL56">
        <v>1.5324063110873365E-2</v>
      </c>
      <c r="AM56">
        <v>1.8153417797594017E-2</v>
      </c>
      <c r="AN56">
        <v>2.7557351320272639E-2</v>
      </c>
      <c r="AO56">
        <v>3.2735897714829813E-2</v>
      </c>
      <c r="AP56">
        <v>1.9825932864010059E-2</v>
      </c>
      <c r="AQ56">
        <v>1.6226335480879775E-2</v>
      </c>
      <c r="AR56">
        <v>1.762526132048356E-2</v>
      </c>
      <c r="AS56">
        <v>2.1153463635931485E-2</v>
      </c>
      <c r="AU56" t="s">
        <v>341</v>
      </c>
      <c r="AV56" t="s">
        <v>102</v>
      </c>
      <c r="AW56">
        <v>6.5641683451342983E-2</v>
      </c>
      <c r="AX56">
        <v>7.9749501302337572E-2</v>
      </c>
      <c r="AY56">
        <v>7.33152115716669E-2</v>
      </c>
      <c r="AZ56">
        <v>0.11778552233451335</v>
      </c>
      <c r="BA56">
        <v>0.14775780272822159</v>
      </c>
      <c r="BB56">
        <v>0.1077889640456856</v>
      </c>
      <c r="BC56">
        <v>0.15741743159749003</v>
      </c>
      <c r="BD56">
        <v>0.12844345058924081</v>
      </c>
      <c r="BE56">
        <v>0.16547014230379425</v>
      </c>
      <c r="BF56">
        <v>8.9223639482076136E-2</v>
      </c>
      <c r="BG56">
        <v>9.5758312903883078E-2</v>
      </c>
      <c r="BH56">
        <v>8.7321320490293758E-2</v>
      </c>
      <c r="BR56" t="s">
        <v>341</v>
      </c>
      <c r="BS56">
        <v>0.67535261722995388</v>
      </c>
      <c r="BT56">
        <v>0.64731782588247644</v>
      </c>
      <c r="BU56">
        <v>0.65827252988029905</v>
      </c>
      <c r="BV56">
        <v>0.5410353954259588</v>
      </c>
      <c r="BW56">
        <v>0.51877687666303962</v>
      </c>
      <c r="BX56">
        <v>0.54724942625597717</v>
      </c>
      <c r="BY56">
        <v>0.44311460490637083</v>
      </c>
      <c r="BZ56">
        <v>0.47454360301605886</v>
      </c>
      <c r="CA56">
        <v>0.43021564499962328</v>
      </c>
      <c r="CB56">
        <v>0.62513975299851421</v>
      </c>
      <c r="CC56">
        <v>0.61203094776700828</v>
      </c>
      <c r="CD56">
        <v>0.62516473086136304</v>
      </c>
      <c r="CF56" t="s">
        <v>302</v>
      </c>
      <c r="CG56" t="s">
        <v>108</v>
      </c>
      <c r="CH56" t="s">
        <v>109</v>
      </c>
      <c r="CI56">
        <v>0.66773177109789039</v>
      </c>
    </row>
    <row r="57" spans="2:87" x14ac:dyDescent="0.45">
      <c r="B57" t="s">
        <v>342</v>
      </c>
      <c r="C57" t="s">
        <v>99</v>
      </c>
      <c r="D57">
        <v>0.23518275875598413</v>
      </c>
      <c r="E57">
        <v>0.24602920750179388</v>
      </c>
      <c r="F57">
        <v>0.21887398675338035</v>
      </c>
      <c r="G57">
        <v>0.25444335542519247</v>
      </c>
      <c r="H57">
        <v>0.2594855430499845</v>
      </c>
      <c r="I57">
        <v>0.24513643968958421</v>
      </c>
      <c r="J57">
        <v>0.34521144025790079</v>
      </c>
      <c r="K57">
        <v>0.35342640559381933</v>
      </c>
      <c r="L57">
        <v>0.33376566333239338</v>
      </c>
      <c r="M57">
        <v>0.24106235214917243</v>
      </c>
      <c r="N57">
        <v>0.23942533245810665</v>
      </c>
      <c r="O57">
        <v>0.24823929850469922</v>
      </c>
      <c r="Q57" t="s">
        <v>342</v>
      </c>
      <c r="R57" t="s">
        <v>100</v>
      </c>
      <c r="S57">
        <v>5.6059045137475862E-3</v>
      </c>
      <c r="T57">
        <v>1.09043322349077E-2</v>
      </c>
      <c r="U57">
        <v>8.0412840524066598E-3</v>
      </c>
      <c r="V57">
        <v>9.4587189048541409E-3</v>
      </c>
      <c r="W57">
        <v>1.2023013349234358E-2</v>
      </c>
      <c r="X57">
        <v>1.3656385853745604E-2</v>
      </c>
      <c r="Y57">
        <v>1.7114367856881228E-2</v>
      </c>
      <c r="Z57">
        <v>3.2853974837616519E-2</v>
      </c>
      <c r="AA57">
        <v>1.6017658584421168E-2</v>
      </c>
      <c r="AB57">
        <v>1.4157352151086298E-2</v>
      </c>
      <c r="AC57">
        <v>1.2534397612104507E-2</v>
      </c>
      <c r="AD57">
        <v>9.0549094092883687E-3</v>
      </c>
      <c r="AF57" t="s">
        <v>342</v>
      </c>
      <c r="AG57" t="s">
        <v>101</v>
      </c>
      <c r="AH57">
        <v>7.1307122308752642E-3</v>
      </c>
      <c r="AI57">
        <v>1.1712882106556454E-2</v>
      </c>
      <c r="AJ57">
        <v>1.2598929392415246E-2</v>
      </c>
      <c r="AK57">
        <v>1.6932660167517551E-2</v>
      </c>
      <c r="AL57">
        <v>1.6877949908128475E-2</v>
      </c>
      <c r="AM57">
        <v>1.1652563464173277E-2</v>
      </c>
      <c r="AN57">
        <v>1.5905248763000316E-2</v>
      </c>
      <c r="AO57">
        <v>2.811883468701493E-2</v>
      </c>
      <c r="AP57">
        <v>3.7906173757309092E-2</v>
      </c>
      <c r="AQ57">
        <v>9.4404597845654994E-3</v>
      </c>
      <c r="AR57">
        <v>1.7730267618021409E-2</v>
      </c>
      <c r="AS57">
        <v>1.9453559539733999E-2</v>
      </c>
      <c r="AU57" t="s">
        <v>342</v>
      </c>
      <c r="AV57" t="s">
        <v>102</v>
      </c>
      <c r="AW57">
        <v>9.9422095397552757E-2</v>
      </c>
      <c r="AX57">
        <v>9.6035450343701201E-2</v>
      </c>
      <c r="AY57">
        <v>8.0279701290914163E-2</v>
      </c>
      <c r="AZ57">
        <v>0.11376991241690589</v>
      </c>
      <c r="BA57">
        <v>0.11293846692015527</v>
      </c>
      <c r="BB57">
        <v>0.1080872044880703</v>
      </c>
      <c r="BC57">
        <v>0.18187993311861386</v>
      </c>
      <c r="BD57">
        <v>0.16363542122575361</v>
      </c>
      <c r="BE57">
        <v>0.16622393588752093</v>
      </c>
      <c r="BF57">
        <v>9.1505376286756673E-2</v>
      </c>
      <c r="BG57">
        <v>8.9727478268990329E-2</v>
      </c>
      <c r="BH57">
        <v>9.8405164058881597E-2</v>
      </c>
      <c r="BR57" t="s">
        <v>342</v>
      </c>
      <c r="BS57">
        <v>0.65342155320683071</v>
      </c>
      <c r="BT57">
        <v>0.63971825379645375</v>
      </c>
      <c r="BU57">
        <v>0.67247860780592683</v>
      </c>
      <c r="BV57">
        <v>0.57885955406843781</v>
      </c>
      <c r="BW57">
        <v>0.57766037878814636</v>
      </c>
      <c r="BX57">
        <v>0.58932018877408465</v>
      </c>
      <c r="BY57">
        <v>0.3894610156357684</v>
      </c>
      <c r="BZ57">
        <v>0.33283771260679201</v>
      </c>
      <c r="CA57">
        <v>0.35846331274103027</v>
      </c>
      <c r="CB57">
        <v>0.6244926172395231</v>
      </c>
      <c r="CC57">
        <v>0.61969826999294197</v>
      </c>
      <c r="CD57">
        <v>0.62107302783402474</v>
      </c>
      <c r="CF57" t="s">
        <v>304</v>
      </c>
      <c r="CG57" t="s">
        <v>108</v>
      </c>
      <c r="CH57" t="s">
        <v>109</v>
      </c>
      <c r="CI57">
        <v>0.69208719361369864</v>
      </c>
    </row>
    <row r="58" spans="2:87" x14ac:dyDescent="0.45">
      <c r="B58" t="s">
        <v>343</v>
      </c>
      <c r="C58" t="s">
        <v>99</v>
      </c>
      <c r="D58">
        <v>0.22932983521814448</v>
      </c>
      <c r="E58">
        <v>0.23127188975458204</v>
      </c>
      <c r="F58">
        <v>0.21196128592480948</v>
      </c>
      <c r="G58">
        <v>0.25168956899704009</v>
      </c>
      <c r="H58">
        <v>0.26854593503191404</v>
      </c>
      <c r="I58">
        <v>0.26375087364524291</v>
      </c>
      <c r="J58">
        <v>0.37393275942235837</v>
      </c>
      <c r="K58">
        <v>0.42130435555207874</v>
      </c>
      <c r="L58">
        <v>0.36782761703566069</v>
      </c>
      <c r="M58">
        <v>0.21375921107908644</v>
      </c>
      <c r="N58">
        <v>0.23396553150518984</v>
      </c>
      <c r="O58">
        <v>0.20581936425317451</v>
      </c>
      <c r="Q58" t="s">
        <v>343</v>
      </c>
      <c r="R58" t="s">
        <v>100</v>
      </c>
      <c r="S58">
        <v>1.0293257251936763E-2</v>
      </c>
      <c r="T58">
        <v>1.1546353404061734E-2</v>
      </c>
      <c r="U58">
        <v>1.4682632121614679E-2</v>
      </c>
      <c r="V58">
        <v>1.6350458887839075E-2</v>
      </c>
      <c r="W58">
        <v>1.7338492590244281E-2</v>
      </c>
      <c r="X58">
        <v>1.212149407086463E-2</v>
      </c>
      <c r="Y58">
        <v>3.2939973270497268E-2</v>
      </c>
      <c r="Z58">
        <v>4.3119685351007533E-2</v>
      </c>
      <c r="AA58">
        <v>2.5284572873627391E-2</v>
      </c>
      <c r="AB58">
        <v>1.4690804276548026E-2</v>
      </c>
      <c r="AC58">
        <v>1.6435073810904723E-2</v>
      </c>
      <c r="AD58">
        <v>7.6419049931324839E-3</v>
      </c>
      <c r="AF58" t="s">
        <v>343</v>
      </c>
      <c r="AG58" t="s">
        <v>101</v>
      </c>
      <c r="AH58">
        <v>1.6163896548448433E-2</v>
      </c>
      <c r="AI58">
        <v>1.418717441148091E-2</v>
      </c>
      <c r="AJ58">
        <v>1.0796036472241687E-2</v>
      </c>
      <c r="AK58">
        <v>1.1119379259935745E-2</v>
      </c>
      <c r="AL58">
        <v>2.4353345751893993E-2</v>
      </c>
      <c r="AM58">
        <v>1.8720312347360418E-2</v>
      </c>
      <c r="AN58">
        <v>3.2464869034512685E-2</v>
      </c>
      <c r="AO58">
        <v>7.2835241461086678E-2</v>
      </c>
      <c r="AP58">
        <v>3.827501528200225E-2</v>
      </c>
      <c r="AQ58">
        <v>1.220261439185486E-2</v>
      </c>
      <c r="AR58">
        <v>2.3830454445904262E-2</v>
      </c>
      <c r="AS58">
        <v>1.7281646760803539E-2</v>
      </c>
      <c r="AU58" t="s">
        <v>343</v>
      </c>
      <c r="AV58" t="s">
        <v>102</v>
      </c>
      <c r="AW58">
        <v>7.8054226774345203E-2</v>
      </c>
      <c r="AX58">
        <v>8.6494432102335678E-2</v>
      </c>
      <c r="AY58">
        <v>7.3036618501135075E-2</v>
      </c>
      <c r="AZ58">
        <v>0.10531762206623757</v>
      </c>
      <c r="BA58">
        <v>9.9490846487621756E-2</v>
      </c>
      <c r="BB58">
        <v>0.11562816814991421</v>
      </c>
      <c r="BC58">
        <v>0.17241992692679631</v>
      </c>
      <c r="BD58">
        <v>0.16709990769445396</v>
      </c>
      <c r="BE58">
        <v>0.17034901791533932</v>
      </c>
      <c r="BF58">
        <v>8.3705937048088028E-2</v>
      </c>
      <c r="BG58">
        <v>8.5377017780640746E-2</v>
      </c>
      <c r="BH58">
        <v>8.3052183036066568E-2</v>
      </c>
      <c r="BR58" t="s">
        <v>343</v>
      </c>
      <c r="BS58">
        <v>0.6556512095796363</v>
      </c>
      <c r="BT58">
        <v>0.64635490049188249</v>
      </c>
      <c r="BU58">
        <v>0.67714756050399538</v>
      </c>
      <c r="BV58">
        <v>0.5627602878597755</v>
      </c>
      <c r="BW58">
        <v>0.55493943786807776</v>
      </c>
      <c r="BX58">
        <v>0.54671940628220816</v>
      </c>
      <c r="BY58">
        <v>0.29990374670501013</v>
      </c>
      <c r="BZ58">
        <v>0.27036006183104921</v>
      </c>
      <c r="CA58">
        <v>0.31313765596036025</v>
      </c>
      <c r="CB58">
        <v>0.61313278066706944</v>
      </c>
      <c r="CC58">
        <v>0.59812618184927835</v>
      </c>
      <c r="CD58">
        <v>0.63429575146701977</v>
      </c>
      <c r="CF58" t="s">
        <v>306</v>
      </c>
      <c r="CG58" t="s">
        <v>108</v>
      </c>
      <c r="CH58" t="s">
        <v>109</v>
      </c>
      <c r="CI58">
        <v>0.6277142224616663</v>
      </c>
    </row>
    <row r="59" spans="2:87" x14ac:dyDescent="0.45">
      <c r="B59" t="s">
        <v>344</v>
      </c>
      <c r="C59" t="s">
        <v>99</v>
      </c>
      <c r="D59">
        <v>0.21710413285534352</v>
      </c>
      <c r="E59">
        <v>0.22709028469896675</v>
      </c>
      <c r="F59">
        <v>0.19115879403171937</v>
      </c>
      <c r="G59">
        <v>0.23106912064567475</v>
      </c>
      <c r="H59">
        <v>0.24552642760310353</v>
      </c>
      <c r="I59">
        <v>0.24583173480158274</v>
      </c>
      <c r="J59">
        <v>0.35296559345850315</v>
      </c>
      <c r="K59">
        <v>0.39263115718627112</v>
      </c>
      <c r="L59">
        <v>0.36747097767850279</v>
      </c>
      <c r="M59">
        <v>0.20750156332106903</v>
      </c>
      <c r="N59">
        <v>0.20999445972482481</v>
      </c>
      <c r="O59">
        <v>0.1958099304122983</v>
      </c>
      <c r="Q59" t="s">
        <v>344</v>
      </c>
      <c r="R59" t="s">
        <v>100</v>
      </c>
      <c r="S59">
        <v>1.2482281084554084E-2</v>
      </c>
      <c r="T59">
        <v>6.7178977369205606E-3</v>
      </c>
      <c r="U59">
        <v>9.1298429084316259E-3</v>
      </c>
      <c r="V59">
        <v>8.0758970835608651E-3</v>
      </c>
      <c r="W59">
        <v>1.3539518479602296E-2</v>
      </c>
      <c r="X59">
        <v>1.3235668077689914E-2</v>
      </c>
      <c r="Y59">
        <v>1.7606266720284879E-2</v>
      </c>
      <c r="Z59">
        <v>3.463153927081572E-2</v>
      </c>
      <c r="AA59">
        <v>3.0973219714323208E-2</v>
      </c>
      <c r="AB59">
        <v>1.1020997574986906E-2</v>
      </c>
      <c r="AC59">
        <v>1.1295749331551296E-2</v>
      </c>
      <c r="AD59">
        <v>8.2553674884065023E-3</v>
      </c>
      <c r="AF59" t="s">
        <v>344</v>
      </c>
      <c r="AG59" t="s">
        <v>101</v>
      </c>
      <c r="AH59">
        <v>1.3624211615310505E-2</v>
      </c>
      <c r="AI59">
        <v>1.2000271190914836E-2</v>
      </c>
      <c r="AJ59">
        <v>5.3628255050314497E-3</v>
      </c>
      <c r="AK59">
        <v>1.149791674625758E-2</v>
      </c>
      <c r="AL59">
        <v>1.9170135204310934E-2</v>
      </c>
      <c r="AM59">
        <v>1.4094364897016163E-2</v>
      </c>
      <c r="AN59">
        <v>2.9546425220109494E-2</v>
      </c>
      <c r="AO59">
        <v>4.8459219069507439E-2</v>
      </c>
      <c r="AP59">
        <v>3.9959840338094035E-2</v>
      </c>
      <c r="AQ59">
        <v>1.0269883676394446E-2</v>
      </c>
      <c r="AR59">
        <v>1.4154282416364343E-2</v>
      </c>
      <c r="AS59">
        <v>1.4393934255076228E-2</v>
      </c>
      <c r="AU59" t="s">
        <v>344</v>
      </c>
      <c r="AV59" t="s">
        <v>102</v>
      </c>
      <c r="AW59">
        <v>6.8393525951288989E-2</v>
      </c>
      <c r="AX59">
        <v>8.7308772792106401E-2</v>
      </c>
      <c r="AY59">
        <v>7.190199038285032E-2</v>
      </c>
      <c r="AZ59">
        <v>0.10229847189687823</v>
      </c>
      <c r="BA59">
        <v>9.1744958257266543E-2</v>
      </c>
      <c r="BB59">
        <v>9.6907757947307466E-2</v>
      </c>
      <c r="BC59">
        <v>0.16750833888815347</v>
      </c>
      <c r="BD59">
        <v>0.17481301742669045</v>
      </c>
      <c r="BE59">
        <v>0.16187229389662655</v>
      </c>
      <c r="BF59">
        <v>7.5324099391640087E-2</v>
      </c>
      <c r="BG59">
        <v>7.4708327589756249E-2</v>
      </c>
      <c r="BH59">
        <v>7.3596285322123964E-2</v>
      </c>
      <c r="BR59" t="s">
        <v>344</v>
      </c>
      <c r="BS59">
        <v>0.69102308380144706</v>
      </c>
      <c r="BT59">
        <v>0.67552109412895511</v>
      </c>
      <c r="BU59">
        <v>0.70335526428402162</v>
      </c>
      <c r="BV59">
        <v>0.60997433808249713</v>
      </c>
      <c r="BW59">
        <v>0.61005665962694156</v>
      </c>
      <c r="BX59">
        <v>0.60546736716038652</v>
      </c>
      <c r="BY59">
        <v>0.36714742968968334</v>
      </c>
      <c r="BZ59">
        <v>0.32345397604364529</v>
      </c>
      <c r="CA59">
        <v>0.36250382594543956</v>
      </c>
      <c r="CB59">
        <v>0.67151428471443153</v>
      </c>
      <c r="CC59">
        <v>0.65642947544289687</v>
      </c>
      <c r="CD59">
        <v>0.68333118109716373</v>
      </c>
      <c r="CF59" t="s">
        <v>308</v>
      </c>
      <c r="CG59" t="s">
        <v>108</v>
      </c>
      <c r="CH59" t="s">
        <v>109</v>
      </c>
      <c r="CI59">
        <v>0.66615082135681725</v>
      </c>
    </row>
    <row r="60" spans="2:87" x14ac:dyDescent="0.45">
      <c r="B60" t="s">
        <v>345</v>
      </c>
      <c r="C60" t="s">
        <v>99</v>
      </c>
      <c r="D60">
        <v>0.22688329647744346</v>
      </c>
      <c r="E60">
        <v>0.21762629349861545</v>
      </c>
      <c r="F60">
        <v>0.23200679808724903</v>
      </c>
      <c r="G60">
        <v>0.26066563265907705</v>
      </c>
      <c r="H60">
        <v>0.27077756766242689</v>
      </c>
      <c r="I60">
        <v>0.27279813351594595</v>
      </c>
      <c r="J60">
        <v>0.31958099098525738</v>
      </c>
      <c r="K60">
        <v>0.34785987858468526</v>
      </c>
      <c r="L60">
        <v>0.331511893262666</v>
      </c>
      <c r="M60">
        <v>0.20825209273734871</v>
      </c>
      <c r="N60">
        <v>0.21949271931913447</v>
      </c>
      <c r="O60">
        <v>0.19461173677797336</v>
      </c>
      <c r="Q60" t="s">
        <v>345</v>
      </c>
      <c r="R60" t="s">
        <v>100</v>
      </c>
      <c r="S60">
        <v>1.4659775659703464E-2</v>
      </c>
      <c r="T60">
        <v>9.0679223917441432E-3</v>
      </c>
      <c r="U60">
        <v>1.5283269085888111E-2</v>
      </c>
      <c r="V60">
        <v>9.2422054517761112E-3</v>
      </c>
      <c r="W60">
        <v>1.0095574010191779E-2</v>
      </c>
      <c r="X60">
        <v>1.8669258709678851E-2</v>
      </c>
      <c r="Y60">
        <v>3.2931627655253912E-2</v>
      </c>
      <c r="Z60">
        <v>2.5609700168028073E-2</v>
      </c>
      <c r="AA60">
        <v>1.1221400152776973E-2</v>
      </c>
      <c r="AB60">
        <v>1.2799875611242901E-2</v>
      </c>
      <c r="AC60">
        <v>9.8489398285642755E-3</v>
      </c>
      <c r="AD60">
        <v>1.2848255611353665E-2</v>
      </c>
      <c r="AF60" t="s">
        <v>345</v>
      </c>
      <c r="AG60" t="s">
        <v>101</v>
      </c>
      <c r="AH60">
        <v>1.1254739909646986E-2</v>
      </c>
      <c r="AI60">
        <v>1.5413199087729323E-2</v>
      </c>
      <c r="AJ60">
        <v>1.4080855938420291E-2</v>
      </c>
      <c r="AK60">
        <v>1.5586787275119031E-2</v>
      </c>
      <c r="AL60">
        <v>1.3414812417631213E-2</v>
      </c>
      <c r="AM60">
        <v>2.0513182332573082E-2</v>
      </c>
      <c r="AN60">
        <v>3.2500073176013777E-2</v>
      </c>
      <c r="AO60">
        <v>4.1481246000731851E-2</v>
      </c>
      <c r="AP60">
        <v>2.768482223943269E-2</v>
      </c>
      <c r="AQ60">
        <v>1.7585265541257607E-2</v>
      </c>
      <c r="AR60">
        <v>1.073741952010521E-2</v>
      </c>
      <c r="AS60">
        <v>1.401880777850654E-2</v>
      </c>
      <c r="AU60" t="s">
        <v>345</v>
      </c>
      <c r="AV60" t="s">
        <v>102</v>
      </c>
      <c r="AW60">
        <v>7.759574010440827E-2</v>
      </c>
      <c r="AX60">
        <v>7.1689012019316697E-2</v>
      </c>
      <c r="AY60">
        <v>8.0505114434407415E-2</v>
      </c>
      <c r="AZ60">
        <v>0.10646032598667626</v>
      </c>
      <c r="BA60">
        <v>0.1163780913549813</v>
      </c>
      <c r="BB60">
        <v>0.10179325676652123</v>
      </c>
      <c r="BC60">
        <v>0.13158543943933296</v>
      </c>
      <c r="BD60">
        <v>0.15774839135895108</v>
      </c>
      <c r="BE60">
        <v>0.16971547407655246</v>
      </c>
      <c r="BF60">
        <v>7.4497457008618109E-2</v>
      </c>
      <c r="BG60">
        <v>9.3479359592279043E-2</v>
      </c>
      <c r="BH60">
        <v>6.7491548034349674E-2</v>
      </c>
      <c r="BR60" t="s">
        <v>345</v>
      </c>
      <c r="BS60">
        <v>0.68177009716823966</v>
      </c>
      <c r="BT60">
        <v>0.68938252724138915</v>
      </c>
      <c r="BU60">
        <v>0.65928828032358522</v>
      </c>
      <c r="BV60">
        <v>0.60544705195838766</v>
      </c>
      <c r="BW60">
        <v>0.58540116785086016</v>
      </c>
      <c r="BX60">
        <v>0.58659605791854119</v>
      </c>
      <c r="BY60">
        <v>0.36651215783382518</v>
      </c>
      <c r="BZ60">
        <v>0.35337990337996394</v>
      </c>
      <c r="CA60">
        <v>0.37418781089085135</v>
      </c>
      <c r="CB60">
        <v>0.66202634100677371</v>
      </c>
      <c r="CC60">
        <v>0.63915893600437257</v>
      </c>
      <c r="CD60">
        <v>0.6845547927447766</v>
      </c>
      <c r="CF60" t="s">
        <v>310</v>
      </c>
      <c r="CG60" t="s">
        <v>108</v>
      </c>
      <c r="CH60" t="s">
        <v>109</v>
      </c>
      <c r="CI60">
        <v>0.66250442865194514</v>
      </c>
    </row>
    <row r="61" spans="2:87" x14ac:dyDescent="0.45">
      <c r="B61" t="s">
        <v>346</v>
      </c>
      <c r="C61" t="s">
        <v>99</v>
      </c>
      <c r="D61">
        <v>0.22988081047782266</v>
      </c>
      <c r="E61">
        <v>0.24162196096938521</v>
      </c>
      <c r="F61">
        <v>0.24896670765041926</v>
      </c>
      <c r="G61">
        <v>0.27346762163037153</v>
      </c>
      <c r="H61">
        <v>0.29933128768526851</v>
      </c>
      <c r="I61">
        <v>0.27974544067299384</v>
      </c>
      <c r="J61">
        <v>0.31817334185250168</v>
      </c>
      <c r="K61">
        <v>0.30487694912014207</v>
      </c>
      <c r="L61">
        <v>0.3206329280307601</v>
      </c>
      <c r="M61">
        <v>0.22781206839640045</v>
      </c>
      <c r="N61">
        <v>0.24048240098063378</v>
      </c>
      <c r="O61">
        <v>0.22916691070873477</v>
      </c>
      <c r="Q61" t="s">
        <v>346</v>
      </c>
      <c r="R61" t="s">
        <v>100</v>
      </c>
      <c r="S61">
        <v>1.6418670181424996E-2</v>
      </c>
      <c r="T61">
        <v>1.1104473524720247E-2</v>
      </c>
      <c r="U61">
        <v>1.6705124493804242E-2</v>
      </c>
      <c r="V61">
        <v>1.2991667077452612E-2</v>
      </c>
      <c r="W61">
        <v>9.2747824394635876E-3</v>
      </c>
      <c r="X61">
        <v>1.7847080751582423E-2</v>
      </c>
      <c r="Y61">
        <v>3.44880080496748E-2</v>
      </c>
      <c r="Z61">
        <v>2.5299846520444862E-2</v>
      </c>
      <c r="AA61">
        <v>1.7549987349167708E-2</v>
      </c>
      <c r="AB61">
        <v>1.5170618100105615E-2</v>
      </c>
      <c r="AC61">
        <v>1.1821677365669801E-2</v>
      </c>
      <c r="AD61">
        <v>1.4311454843905483E-2</v>
      </c>
      <c r="AF61" t="s">
        <v>346</v>
      </c>
      <c r="AG61" t="s">
        <v>101</v>
      </c>
      <c r="AH61">
        <v>1.3146440170847656E-2</v>
      </c>
      <c r="AI61">
        <v>1.8362941519413374E-2</v>
      </c>
      <c r="AJ61">
        <v>1.2471563062589867E-2</v>
      </c>
      <c r="AK61">
        <v>1.917301843116976E-2</v>
      </c>
      <c r="AL61">
        <v>1.2756009447505403E-2</v>
      </c>
      <c r="AM61">
        <v>8.7355085919417277E-3</v>
      </c>
      <c r="AN61">
        <v>4.0103484029499301E-2</v>
      </c>
      <c r="AO61">
        <v>4.1189661513047884E-2</v>
      </c>
      <c r="AP61">
        <v>3.3918178476687481E-2</v>
      </c>
      <c r="AQ61">
        <v>1.3689555550235568E-2</v>
      </c>
      <c r="AR61">
        <v>1.8545795781889009E-2</v>
      </c>
      <c r="AS61">
        <v>1.278103722954981E-2</v>
      </c>
      <c r="AU61" t="s">
        <v>346</v>
      </c>
      <c r="AV61" t="s">
        <v>102</v>
      </c>
      <c r="AW61">
        <v>6.8661449941533073E-2</v>
      </c>
      <c r="AX61">
        <v>7.7170313911418445E-2</v>
      </c>
      <c r="AY61">
        <v>8.0612503065547222E-2</v>
      </c>
      <c r="AZ61">
        <v>0.10766455423959229</v>
      </c>
      <c r="BA61">
        <v>0.13321771335052207</v>
      </c>
      <c r="BB61">
        <v>0.1174996429773178</v>
      </c>
      <c r="BC61">
        <v>0.12135152176138674</v>
      </c>
      <c r="BD61">
        <v>0.12261255583185927</v>
      </c>
      <c r="BE61">
        <v>0.16220001656297961</v>
      </c>
      <c r="BF61">
        <v>8.2020358224900489E-2</v>
      </c>
      <c r="BG61">
        <v>8.8919497836951356E-2</v>
      </c>
      <c r="BH61">
        <v>7.9790103276947147E-2</v>
      </c>
      <c r="BR61" t="s">
        <v>346</v>
      </c>
      <c r="BS61">
        <v>0.68604373528403406</v>
      </c>
      <c r="BT61">
        <v>0.66539600223046991</v>
      </c>
      <c r="BU61">
        <v>0.65153217950778675</v>
      </c>
      <c r="BV61">
        <v>0.58294484162389848</v>
      </c>
      <c r="BW61">
        <v>0.54588704393298759</v>
      </c>
      <c r="BX61">
        <v>0.57053855248022023</v>
      </c>
      <c r="BY61">
        <v>0.40108291558592768</v>
      </c>
      <c r="BZ61">
        <v>0.42242921695347208</v>
      </c>
      <c r="CA61">
        <v>0.37738580845158837</v>
      </c>
      <c r="CB61">
        <v>0.65285878148573595</v>
      </c>
      <c r="CC61">
        <v>0.63538188917238936</v>
      </c>
      <c r="CD61">
        <v>0.6649270592405947</v>
      </c>
      <c r="CF61" t="s">
        <v>312</v>
      </c>
      <c r="CG61" t="s">
        <v>108</v>
      </c>
      <c r="CH61" t="s">
        <v>109</v>
      </c>
      <c r="CI61">
        <v>0.60452355890341547</v>
      </c>
    </row>
    <row r="62" spans="2:87" x14ac:dyDescent="0.45">
      <c r="B62" t="s">
        <v>347</v>
      </c>
      <c r="C62" t="s">
        <v>99</v>
      </c>
      <c r="D62">
        <v>0.21689869918959323</v>
      </c>
      <c r="E62">
        <v>0.206097826850073</v>
      </c>
      <c r="F62">
        <v>0.20593209274822979</v>
      </c>
      <c r="G62">
        <v>0.27806200900870037</v>
      </c>
      <c r="H62">
        <v>0.27455869062737864</v>
      </c>
      <c r="I62">
        <v>0.26866790560154252</v>
      </c>
      <c r="J62">
        <v>0.34495694990317821</v>
      </c>
      <c r="K62">
        <v>0.38142258343875129</v>
      </c>
      <c r="L62">
        <v>0.30859944444784804</v>
      </c>
      <c r="M62">
        <v>0.20573177111978361</v>
      </c>
      <c r="N62">
        <v>0.22093083083945</v>
      </c>
      <c r="O62">
        <v>0.18644378142756821</v>
      </c>
      <c r="Q62" t="s">
        <v>347</v>
      </c>
      <c r="R62" t="s">
        <v>100</v>
      </c>
      <c r="S62">
        <v>1.2628875702064229E-2</v>
      </c>
      <c r="T62">
        <v>1.0566961139609837E-2</v>
      </c>
      <c r="U62">
        <v>1.6334974693015827E-2</v>
      </c>
      <c r="V62">
        <v>7.6225388176190791E-3</v>
      </c>
      <c r="W62">
        <v>1.3011806177574858E-2</v>
      </c>
      <c r="X62">
        <v>1.5765283391796215E-2</v>
      </c>
      <c r="Y62">
        <v>2.519181071385428E-2</v>
      </c>
      <c r="Z62">
        <v>3.7801367012187156E-2</v>
      </c>
      <c r="AA62">
        <v>2.1957733240769068E-2</v>
      </c>
      <c r="AB62">
        <v>1.6664661911924374E-2</v>
      </c>
      <c r="AC62">
        <v>1.2054198417466567E-2</v>
      </c>
      <c r="AD62">
        <v>8.5668837631584834E-3</v>
      </c>
      <c r="AF62" t="s">
        <v>347</v>
      </c>
      <c r="AG62" t="s">
        <v>101</v>
      </c>
      <c r="AH62">
        <v>1.7228545041876413E-2</v>
      </c>
      <c r="AI62">
        <v>1.2355825639373161E-2</v>
      </c>
      <c r="AJ62">
        <v>1.0886785304328555E-2</v>
      </c>
      <c r="AK62">
        <v>1.4165303416144154E-2</v>
      </c>
      <c r="AL62">
        <v>1.3021931379331204E-2</v>
      </c>
      <c r="AM62">
        <v>2.300343600033963E-2</v>
      </c>
      <c r="AN62">
        <v>4.2742834536098222E-2</v>
      </c>
      <c r="AO62">
        <v>4.7887055466297415E-2</v>
      </c>
      <c r="AP62">
        <v>3.1995558369213563E-2</v>
      </c>
      <c r="AQ62">
        <v>1.6544606326898883E-2</v>
      </c>
      <c r="AR62">
        <v>1.4069096656445807E-2</v>
      </c>
      <c r="AS62">
        <v>1.0727057075984274E-2</v>
      </c>
      <c r="AU62" t="s">
        <v>347</v>
      </c>
      <c r="AV62" t="s">
        <v>102</v>
      </c>
      <c r="AW62">
        <v>6.6987216919978679E-2</v>
      </c>
      <c r="AX62">
        <v>7.1488200784105504E-2</v>
      </c>
      <c r="AY62">
        <v>6.4335980268212314E-2</v>
      </c>
      <c r="AZ62">
        <v>0.12054534952148081</v>
      </c>
      <c r="BA62">
        <v>0.12239863292234242</v>
      </c>
      <c r="BB62">
        <v>0.10288535520119345</v>
      </c>
      <c r="BC62">
        <v>0.14931972592765377</v>
      </c>
      <c r="BD62">
        <v>0.16393238359373372</v>
      </c>
      <c r="BE62">
        <v>0.13189841863022181</v>
      </c>
      <c r="BF62">
        <v>6.3064006489621238E-2</v>
      </c>
      <c r="BG62">
        <v>8.7211355079985162E-2</v>
      </c>
      <c r="BH62">
        <v>7.1140464697533351E-2</v>
      </c>
      <c r="BR62" t="s">
        <v>347</v>
      </c>
      <c r="BS62">
        <v>0.68170890531673756</v>
      </c>
      <c r="BT62">
        <v>0.68117678969309425</v>
      </c>
      <c r="BU62">
        <v>0.68461394971301692</v>
      </c>
      <c r="BV62">
        <v>0.56697751686907438</v>
      </c>
      <c r="BW62">
        <v>0.55909045026933224</v>
      </c>
      <c r="BX62">
        <v>0.56842227935350753</v>
      </c>
      <c r="BY62">
        <v>0.3334816350929693</v>
      </c>
      <c r="BZ62">
        <v>0.30927206251148021</v>
      </c>
      <c r="CA62">
        <v>0.38706664705340449</v>
      </c>
      <c r="CB62">
        <v>0.6447615468544925</v>
      </c>
      <c r="CC62">
        <v>0.62642794951148995</v>
      </c>
      <c r="CD62">
        <v>0.6674430748627862</v>
      </c>
      <c r="CF62" t="s">
        <v>314</v>
      </c>
      <c r="CG62" t="s">
        <v>108</v>
      </c>
      <c r="CH62" t="s">
        <v>109</v>
      </c>
      <c r="CI62">
        <v>0.49013418854618301</v>
      </c>
    </row>
    <row r="63" spans="2:87" x14ac:dyDescent="0.45">
      <c r="B63" t="s">
        <v>348</v>
      </c>
      <c r="C63" t="s">
        <v>99</v>
      </c>
      <c r="D63">
        <v>0.21665525314109155</v>
      </c>
      <c r="E63">
        <v>0.21747032808829625</v>
      </c>
      <c r="F63">
        <v>0.21063518432649816</v>
      </c>
      <c r="G63">
        <v>0.32078937499047339</v>
      </c>
      <c r="H63">
        <v>0.33134272335212012</v>
      </c>
      <c r="I63">
        <v>0.28558445407076</v>
      </c>
      <c r="J63">
        <v>0.30386249602423454</v>
      </c>
      <c r="K63">
        <v>0.32815944352918797</v>
      </c>
      <c r="L63">
        <v>0.32212289861658749</v>
      </c>
      <c r="M63">
        <v>0.24030557704249977</v>
      </c>
      <c r="N63">
        <v>0.2427621724009878</v>
      </c>
      <c r="O63">
        <v>0.21518190362445172</v>
      </c>
      <c r="Q63" t="s">
        <v>348</v>
      </c>
      <c r="R63" t="s">
        <v>100</v>
      </c>
      <c r="S63">
        <v>1.0548072688814676E-2</v>
      </c>
      <c r="T63">
        <v>1.208698929793745E-2</v>
      </c>
      <c r="U63">
        <v>1.7427595578871864E-2</v>
      </c>
      <c r="V63">
        <v>1.3895630491398936E-2</v>
      </c>
      <c r="W63">
        <v>1.8649009514707712E-2</v>
      </c>
      <c r="X63">
        <v>1.694027121104142E-2</v>
      </c>
      <c r="Y63">
        <v>1.5829566619405128E-2</v>
      </c>
      <c r="Z63">
        <v>2.0729574224410869E-2</v>
      </c>
      <c r="AA63">
        <v>9.7990695678723243E-3</v>
      </c>
      <c r="AB63">
        <v>1.4197951809072688E-2</v>
      </c>
      <c r="AC63">
        <v>1.133880386819114E-2</v>
      </c>
      <c r="AD63">
        <v>1.2692695118098707E-2</v>
      </c>
      <c r="AF63" t="s">
        <v>348</v>
      </c>
      <c r="AG63" t="s">
        <v>101</v>
      </c>
      <c r="AH63">
        <v>1.6384038942760477E-2</v>
      </c>
      <c r="AI63">
        <v>1.1892317556837124E-2</v>
      </c>
      <c r="AJ63">
        <v>8.5493153970564242E-3</v>
      </c>
      <c r="AK63">
        <v>2.3018212090728452E-2</v>
      </c>
      <c r="AL63">
        <v>1.8098341559399454E-2</v>
      </c>
      <c r="AM63">
        <v>2.8136542498292429E-2</v>
      </c>
      <c r="AN63">
        <v>1.3783236732416238E-2</v>
      </c>
      <c r="AO63">
        <v>3.6496511129600957E-2</v>
      </c>
      <c r="AP63">
        <v>3.0857001001626388E-2</v>
      </c>
      <c r="AQ63">
        <v>1.7824080633200918E-2</v>
      </c>
      <c r="AR63">
        <v>1.4321837428455778E-2</v>
      </c>
      <c r="AS63">
        <v>1.2819664750403787E-2</v>
      </c>
      <c r="AU63" t="s">
        <v>348</v>
      </c>
      <c r="AV63" t="s">
        <v>102</v>
      </c>
      <c r="AW63">
        <v>6.7538471343938797E-2</v>
      </c>
      <c r="AX63">
        <v>7.6396739413938E-2</v>
      </c>
      <c r="AY63">
        <v>6.8104155258320781E-2</v>
      </c>
      <c r="AZ63">
        <v>0.13605901325976941</v>
      </c>
      <c r="BA63">
        <v>0.15118763857652939</v>
      </c>
      <c r="BB63">
        <v>0.11162770109453464</v>
      </c>
      <c r="BC63">
        <v>0.16319434641660555</v>
      </c>
      <c r="BD63">
        <v>0.13743781275227476</v>
      </c>
      <c r="BE63">
        <v>0.16343533314168204</v>
      </c>
      <c r="BF63">
        <v>8.7710563840684347E-2</v>
      </c>
      <c r="BG63">
        <v>9.5989830639577889E-2</v>
      </c>
      <c r="BH63">
        <v>8.2386253813323276E-2</v>
      </c>
      <c r="BR63" t="s">
        <v>348</v>
      </c>
      <c r="BS63">
        <v>0.67559552208775997</v>
      </c>
      <c r="BT63">
        <v>0.65498298870621263</v>
      </c>
      <c r="BU63">
        <v>0.66855266898916865</v>
      </c>
      <c r="BV63">
        <v>0.50673837491910878</v>
      </c>
      <c r="BW63">
        <v>0.49109536872754889</v>
      </c>
      <c r="BX63">
        <v>0.54110785191382571</v>
      </c>
      <c r="BY63">
        <v>0.37621500841182332</v>
      </c>
      <c r="BZ63">
        <v>0.38038975515631684</v>
      </c>
      <c r="CA63">
        <v>0.3809994755812085</v>
      </c>
      <c r="CB63">
        <v>0.61553945141596411</v>
      </c>
      <c r="CC63">
        <v>0.60108526173383103</v>
      </c>
      <c r="CD63">
        <v>0.63235558228416555</v>
      </c>
      <c r="CF63" t="s">
        <v>316</v>
      </c>
      <c r="CG63" t="s">
        <v>108</v>
      </c>
      <c r="CH63" t="s">
        <v>109</v>
      </c>
      <c r="CI63">
        <v>0.68252427619986644</v>
      </c>
    </row>
    <row r="64" spans="2:87" x14ac:dyDescent="0.45">
      <c r="B64" t="s">
        <v>349</v>
      </c>
      <c r="C64" t="s">
        <v>99</v>
      </c>
      <c r="D64">
        <v>0.23233898515677659</v>
      </c>
      <c r="E64">
        <v>0.21942350133519634</v>
      </c>
      <c r="F64">
        <v>0.20494850279728388</v>
      </c>
      <c r="G64">
        <v>0.29930790712163691</v>
      </c>
      <c r="H64">
        <v>0.31877844191622356</v>
      </c>
      <c r="I64">
        <v>0.284512337157665</v>
      </c>
      <c r="J64">
        <v>0.33595487360214887</v>
      </c>
      <c r="K64">
        <v>0.31834246477123751</v>
      </c>
      <c r="L64">
        <v>0.33399099011332284</v>
      </c>
      <c r="M64">
        <v>0.23595522930219179</v>
      </c>
      <c r="N64">
        <v>0.24818844409187008</v>
      </c>
      <c r="O64">
        <v>0.23777335103501523</v>
      </c>
      <c r="Q64" t="s">
        <v>349</v>
      </c>
      <c r="R64" t="s">
        <v>100</v>
      </c>
      <c r="S64">
        <v>1.5278188978662276E-2</v>
      </c>
      <c r="T64">
        <v>1.6681275658676435E-2</v>
      </c>
      <c r="U64">
        <v>1.7083164306908954E-2</v>
      </c>
      <c r="V64">
        <v>1.5120188722032484E-2</v>
      </c>
      <c r="W64">
        <v>1.2120112582240669E-2</v>
      </c>
      <c r="X64">
        <v>2.0246410982618361E-2</v>
      </c>
      <c r="Y64">
        <v>2.4243799282478194E-2</v>
      </c>
      <c r="Z64">
        <v>2.1308721841576873E-2</v>
      </c>
      <c r="AA64">
        <v>2.8920059267027929E-2</v>
      </c>
      <c r="AB64">
        <v>1.168384901953271E-2</v>
      </c>
      <c r="AC64">
        <v>1.2147203376316085E-2</v>
      </c>
      <c r="AD64">
        <v>1.6660931127525508E-2</v>
      </c>
      <c r="AF64" t="s">
        <v>349</v>
      </c>
      <c r="AG64" t="s">
        <v>101</v>
      </c>
      <c r="AH64">
        <v>2.172558075908132E-2</v>
      </c>
      <c r="AI64">
        <v>1.1044284720886139E-2</v>
      </c>
      <c r="AJ64">
        <v>1.2761458782229614E-2</v>
      </c>
      <c r="AK64">
        <v>2.3056048391491668E-2</v>
      </c>
      <c r="AL64">
        <v>1.8248301593874534E-2</v>
      </c>
      <c r="AM64">
        <v>1.7932482280884982E-2</v>
      </c>
      <c r="AN64">
        <v>3.0267250236712274E-2</v>
      </c>
      <c r="AO64">
        <v>2.9498830880995603E-2</v>
      </c>
      <c r="AP64">
        <v>3.2351635142112076E-2</v>
      </c>
      <c r="AQ64">
        <v>1.7869691743291838E-2</v>
      </c>
      <c r="AR64">
        <v>1.2028441546491781E-2</v>
      </c>
      <c r="AS64">
        <v>1.5443437614422632E-2</v>
      </c>
      <c r="AU64" t="s">
        <v>349</v>
      </c>
      <c r="AV64" t="s">
        <v>102</v>
      </c>
      <c r="AW64">
        <v>6.2763116133246755E-2</v>
      </c>
      <c r="AX64">
        <v>6.8620919728134583E-2</v>
      </c>
      <c r="AY64">
        <v>5.6614178323437958E-2</v>
      </c>
      <c r="AZ64">
        <v>0.11828639199674043</v>
      </c>
      <c r="BA64">
        <v>0.14360289591324599</v>
      </c>
      <c r="BB64">
        <v>0.10920341923982221</v>
      </c>
      <c r="BC64">
        <v>0.1549354508931462</v>
      </c>
      <c r="BD64">
        <v>0.14637088063869683</v>
      </c>
      <c r="BE64">
        <v>0.15129470076905976</v>
      </c>
      <c r="BF64">
        <v>7.5866699835932652E-2</v>
      </c>
      <c r="BG64">
        <v>9.2555650937516026E-2</v>
      </c>
      <c r="BH64">
        <v>7.7002951798380903E-2</v>
      </c>
      <c r="BR64" t="s">
        <v>349</v>
      </c>
      <c r="BS64">
        <v>0.69219554001535188</v>
      </c>
      <c r="BT64">
        <v>0.69087426203217772</v>
      </c>
      <c r="BU64">
        <v>0.70751259184751492</v>
      </c>
      <c r="BV64">
        <v>0.56924734477439398</v>
      </c>
      <c r="BW64">
        <v>0.53418157479844597</v>
      </c>
      <c r="BX64">
        <v>0.58438306931524198</v>
      </c>
      <c r="BY64">
        <v>0.44089138596600441</v>
      </c>
      <c r="BZ64">
        <v>0.44460031120004734</v>
      </c>
      <c r="CA64">
        <v>0.42764002330376338</v>
      </c>
      <c r="CB64">
        <v>0.67053125020761195</v>
      </c>
      <c r="CC64">
        <v>0.64107286649049267</v>
      </c>
      <c r="CD64">
        <v>0.66440315183573151</v>
      </c>
      <c r="CF64" t="s">
        <v>318</v>
      </c>
      <c r="CG64" t="s">
        <v>108</v>
      </c>
      <c r="CH64" t="s">
        <v>109</v>
      </c>
      <c r="CI64">
        <v>0.70449001658289168</v>
      </c>
    </row>
    <row r="65" spans="2:87" x14ac:dyDescent="0.45">
      <c r="B65" t="s">
        <v>350</v>
      </c>
      <c r="C65" t="s">
        <v>99</v>
      </c>
      <c r="D65">
        <v>0.20914606221504167</v>
      </c>
      <c r="E65">
        <v>0.20457841009252389</v>
      </c>
      <c r="F65">
        <v>0.20708612725345171</v>
      </c>
      <c r="G65">
        <v>0.29843359536537639</v>
      </c>
      <c r="H65">
        <v>0.31283507383555881</v>
      </c>
      <c r="I65">
        <v>0.28962676502971668</v>
      </c>
      <c r="J65">
        <v>0.33216402710567139</v>
      </c>
      <c r="K65">
        <v>0.3403813535312154</v>
      </c>
      <c r="L65">
        <v>0.33391999786887405</v>
      </c>
      <c r="M65">
        <v>0.21664644330824723</v>
      </c>
      <c r="N65">
        <v>0.22276555267542378</v>
      </c>
      <c r="O65">
        <v>0.20672358502444374</v>
      </c>
      <c r="Q65" t="s">
        <v>350</v>
      </c>
      <c r="R65" t="s">
        <v>100</v>
      </c>
      <c r="S65">
        <v>1.6549530728067471E-2</v>
      </c>
      <c r="T65">
        <v>1.1005036995624759E-2</v>
      </c>
      <c r="U65">
        <v>1.9598893151997265E-2</v>
      </c>
      <c r="V65">
        <v>1.1413368753612483E-2</v>
      </c>
      <c r="W65">
        <v>1.6550553194585652E-2</v>
      </c>
      <c r="X65">
        <v>1.663299170513878E-2</v>
      </c>
      <c r="Y65">
        <v>3.3031714199598196E-2</v>
      </c>
      <c r="Z65">
        <v>2.8252524433965552E-2</v>
      </c>
      <c r="AA65">
        <v>2.2922391643007922E-2</v>
      </c>
      <c r="AB65">
        <v>1.1469117461280329E-2</v>
      </c>
      <c r="AC65">
        <v>8.8469587223784854E-3</v>
      </c>
      <c r="AD65">
        <v>1.2323150557275822E-2</v>
      </c>
      <c r="AF65" t="s">
        <v>350</v>
      </c>
      <c r="AG65" t="s">
        <v>101</v>
      </c>
      <c r="AH65">
        <v>1.9832887378945393E-2</v>
      </c>
      <c r="AI65">
        <v>1.5691053791629869E-2</v>
      </c>
      <c r="AJ65">
        <v>9.3290097808762813E-3</v>
      </c>
      <c r="AK65">
        <v>1.9590487413955193E-2</v>
      </c>
      <c r="AL65">
        <v>1.2540706273327033E-2</v>
      </c>
      <c r="AM65">
        <v>2.686329535574105E-2</v>
      </c>
      <c r="AN65">
        <v>3.8369437935748534E-2</v>
      </c>
      <c r="AO65">
        <v>4.2606548916694492E-2</v>
      </c>
      <c r="AP65">
        <v>4.3603523561704285E-2</v>
      </c>
      <c r="AQ65">
        <v>1.9114588935281944E-2</v>
      </c>
      <c r="AR65">
        <v>9.2623010598361036E-3</v>
      </c>
      <c r="AS65">
        <v>1.0704063107884763E-2</v>
      </c>
      <c r="AU65" t="s">
        <v>350</v>
      </c>
      <c r="AV65" t="s">
        <v>102</v>
      </c>
      <c r="AW65">
        <v>5.4569045411436486E-2</v>
      </c>
      <c r="AX65">
        <v>6.5117968147478736E-2</v>
      </c>
      <c r="AY65">
        <v>6.7236345220868202E-2</v>
      </c>
      <c r="AZ65">
        <v>0.11907604821562189</v>
      </c>
      <c r="BA65">
        <v>0.13346540858282213</v>
      </c>
      <c r="BB65">
        <v>0.10313569733567779</v>
      </c>
      <c r="BC65">
        <v>0.13843943801913153</v>
      </c>
      <c r="BD65">
        <v>0.15181756805398727</v>
      </c>
      <c r="BE65">
        <v>0.14831157526071448</v>
      </c>
      <c r="BF65">
        <v>7.3743575362607811E-2</v>
      </c>
      <c r="BG65">
        <v>8.6621668101419053E-2</v>
      </c>
      <c r="BH65">
        <v>7.3988996259784848E-2</v>
      </c>
      <c r="BR65" t="s">
        <v>350</v>
      </c>
      <c r="BS65">
        <v>0.69681749496911993</v>
      </c>
      <c r="BT65">
        <v>0.68585390260810486</v>
      </c>
      <c r="BU65">
        <v>0.68157081797584196</v>
      </c>
      <c r="BV65">
        <v>0.56342808790838395</v>
      </c>
      <c r="BW65">
        <v>0.532044677439521</v>
      </c>
      <c r="BX65">
        <v>0.56697759383991053</v>
      </c>
      <c r="BY65">
        <v>0.36483297331782238</v>
      </c>
      <c r="BZ65">
        <v>0.35725099179400582</v>
      </c>
      <c r="CA65">
        <v>0.37574959348904435</v>
      </c>
      <c r="CB65">
        <v>0.64604614236251645</v>
      </c>
      <c r="CC65">
        <v>0.63404799970161518</v>
      </c>
      <c r="CD65">
        <v>0.66480752641149488</v>
      </c>
      <c r="CF65" t="s">
        <v>320</v>
      </c>
      <c r="CG65" t="s">
        <v>108</v>
      </c>
      <c r="CH65" t="s">
        <v>109</v>
      </c>
      <c r="CI65">
        <v>0.76283055714665104</v>
      </c>
    </row>
    <row r="66" spans="2:87" x14ac:dyDescent="0.45">
      <c r="B66" t="s">
        <v>297</v>
      </c>
      <c r="C66" t="s">
        <v>99</v>
      </c>
      <c r="D66">
        <v>0.2095292500639318</v>
      </c>
      <c r="E66">
        <v>0.22483777138451708</v>
      </c>
      <c r="F66">
        <v>0.21234420380039171</v>
      </c>
      <c r="G66">
        <v>0.26427778229428051</v>
      </c>
      <c r="H66">
        <v>0.26156770547460811</v>
      </c>
      <c r="I66">
        <v>0.24183639428653067</v>
      </c>
      <c r="J66">
        <v>0.36871384047482564</v>
      </c>
      <c r="K66">
        <v>0.36694512171105226</v>
      </c>
      <c r="L66">
        <v>0.34025385022395849</v>
      </c>
      <c r="M66">
        <v>0.22743730336847653</v>
      </c>
      <c r="N66">
        <v>0.25703742682122782</v>
      </c>
      <c r="O66">
        <v>0.23496691827122251</v>
      </c>
      <c r="Q66" t="s">
        <v>297</v>
      </c>
      <c r="R66" t="s">
        <v>100</v>
      </c>
      <c r="S66">
        <v>7.2327959365025328E-3</v>
      </c>
      <c r="T66">
        <v>1.5818121412075458E-2</v>
      </c>
      <c r="U66">
        <v>8.3865980367789812E-3</v>
      </c>
      <c r="V66">
        <v>1.3690903336030442E-2</v>
      </c>
      <c r="W66">
        <v>9.2687264738359424E-3</v>
      </c>
      <c r="X66">
        <v>1.0627362506365612E-2</v>
      </c>
      <c r="Y66">
        <v>1.2592410299851149E-2</v>
      </c>
      <c r="Z66">
        <v>2.5958458925322205E-2</v>
      </c>
      <c r="AA66">
        <v>3.2890853554974973E-2</v>
      </c>
      <c r="AB66">
        <v>1.7321632524392186E-2</v>
      </c>
      <c r="AC66">
        <v>2.0569450284983734E-2</v>
      </c>
      <c r="AD66">
        <v>1.0801467127675367E-2</v>
      </c>
      <c r="AF66" t="s">
        <v>297</v>
      </c>
      <c r="AG66" t="s">
        <v>101</v>
      </c>
      <c r="AH66">
        <v>9.7220836676948832E-3</v>
      </c>
      <c r="AI66">
        <v>1.4206531067417018E-2</v>
      </c>
      <c r="AJ66">
        <v>1.5007749595120887E-2</v>
      </c>
      <c r="AK66">
        <v>1.4803008566804856E-2</v>
      </c>
      <c r="AL66">
        <v>1.7871633415838542E-2</v>
      </c>
      <c r="AM66">
        <v>6.5457092494744847E-3</v>
      </c>
      <c r="AN66">
        <v>2.8126415133023115E-2</v>
      </c>
      <c r="AO66">
        <v>1.9118954129807828E-2</v>
      </c>
      <c r="AP66">
        <v>2.8132997128307007E-2</v>
      </c>
      <c r="AQ66">
        <v>1.7090109106195923E-2</v>
      </c>
      <c r="AR66">
        <v>2.9782275897711007E-2</v>
      </c>
      <c r="AS66">
        <v>1.3109567551484885E-2</v>
      </c>
      <c r="AU66" t="s">
        <v>297</v>
      </c>
      <c r="AV66" t="s">
        <v>102</v>
      </c>
      <c r="AW66">
        <v>8.5247990451992731E-2</v>
      </c>
      <c r="AX66">
        <v>7.6374017599030036E-2</v>
      </c>
      <c r="AY66">
        <v>7.340151377120338E-2</v>
      </c>
      <c r="AZ66">
        <v>0.10133813337388359</v>
      </c>
      <c r="BA66">
        <v>0.10424773360701446</v>
      </c>
      <c r="BB66">
        <v>0.10480328253112328</v>
      </c>
      <c r="BC66">
        <v>0.19275493966130539</v>
      </c>
      <c r="BD66">
        <v>0.19210013068627324</v>
      </c>
      <c r="BE66">
        <v>0.14838824663394592</v>
      </c>
      <c r="BF66">
        <v>8.0781081554583689E-2</v>
      </c>
      <c r="BG66">
        <v>8.1489076903370206E-2</v>
      </c>
      <c r="BH66">
        <v>8.8890747963688801E-2</v>
      </c>
      <c r="BR66" t="s">
        <v>297</v>
      </c>
      <c r="BS66">
        <v>0.66531769691425413</v>
      </c>
      <c r="BT66">
        <v>0.64245262197919806</v>
      </c>
      <c r="BU66">
        <v>0.67381037983442449</v>
      </c>
      <c r="BV66">
        <v>0.58464837679865134</v>
      </c>
      <c r="BW66">
        <v>0.59333792860835544</v>
      </c>
      <c r="BX66">
        <v>0.59655622923977059</v>
      </c>
      <c r="BY66">
        <v>0.35359881716849667</v>
      </c>
      <c r="BZ66">
        <v>0.34914620916277017</v>
      </c>
      <c r="CA66">
        <v>0.38435745603019977</v>
      </c>
      <c r="CB66">
        <v>0.59147464548473105</v>
      </c>
      <c r="CC66">
        <v>0.58406348278210563</v>
      </c>
      <c r="CD66">
        <v>0.6106978847484259</v>
      </c>
      <c r="CF66" t="s">
        <v>322</v>
      </c>
      <c r="CG66" t="s">
        <v>108</v>
      </c>
      <c r="CH66" t="s">
        <v>109</v>
      </c>
      <c r="CI66">
        <v>0.78976673571418332</v>
      </c>
    </row>
    <row r="67" spans="2:87" x14ac:dyDescent="0.45">
      <c r="B67" t="s">
        <v>299</v>
      </c>
      <c r="C67" t="s">
        <v>99</v>
      </c>
      <c r="D67">
        <v>0.23483424696635294</v>
      </c>
      <c r="E67">
        <v>0.26564691617998332</v>
      </c>
      <c r="F67">
        <v>0.24240103973052676</v>
      </c>
      <c r="G67">
        <v>0.30401464164216446</v>
      </c>
      <c r="H67">
        <v>0.29389077985116607</v>
      </c>
      <c r="I67">
        <v>0.29195854616643002</v>
      </c>
      <c r="J67">
        <v>0.35609240609156712</v>
      </c>
      <c r="K67">
        <v>0.36240212305139441</v>
      </c>
      <c r="L67">
        <v>0.3375810716098529</v>
      </c>
      <c r="M67">
        <v>0.2959451786201896</v>
      </c>
      <c r="N67">
        <v>0.30710597461132744</v>
      </c>
      <c r="O67">
        <v>0.30040785794629454</v>
      </c>
      <c r="Q67" t="s">
        <v>299</v>
      </c>
      <c r="R67" t="s">
        <v>100</v>
      </c>
      <c r="S67">
        <v>1.2588018593281685E-2</v>
      </c>
      <c r="T67">
        <v>1.2596876578228984E-2</v>
      </c>
      <c r="U67">
        <v>8.8521440284200347E-3</v>
      </c>
      <c r="V67">
        <v>1.5434437703499925E-2</v>
      </c>
      <c r="W67">
        <v>1.4310358925851448E-2</v>
      </c>
      <c r="X67">
        <v>1.2905905649747949E-2</v>
      </c>
      <c r="Y67">
        <v>2.2405040668511848E-2</v>
      </c>
      <c r="Z67">
        <v>1.8481985451175839E-2</v>
      </c>
      <c r="AA67">
        <v>1.8328906892947923E-2</v>
      </c>
      <c r="AB67">
        <v>2.2077896480168183E-2</v>
      </c>
      <c r="AC67">
        <v>2.8652738931361357E-2</v>
      </c>
      <c r="AD67">
        <v>1.3214035508399412E-2</v>
      </c>
      <c r="AF67" t="s">
        <v>299</v>
      </c>
      <c r="AG67" t="s">
        <v>101</v>
      </c>
      <c r="AH67">
        <v>1.4292092251285964E-2</v>
      </c>
      <c r="AI67">
        <v>1.993607671397836E-2</v>
      </c>
      <c r="AJ67">
        <v>1.5889849909683975E-2</v>
      </c>
      <c r="AK67">
        <v>2.7047873117107619E-2</v>
      </c>
      <c r="AL67">
        <v>1.7401753228321288E-2</v>
      </c>
      <c r="AM67">
        <v>1.2757525149822094E-2</v>
      </c>
      <c r="AN67">
        <v>3.9329719131430456E-2</v>
      </c>
      <c r="AO67">
        <v>4.2931862544164173E-2</v>
      </c>
      <c r="AP67">
        <v>1.5232951595679896E-2</v>
      </c>
      <c r="AQ67">
        <v>2.3381252443942558E-2</v>
      </c>
      <c r="AR67">
        <v>3.9636568715292676E-2</v>
      </c>
      <c r="AS67">
        <v>1.9946265340634029E-2</v>
      </c>
      <c r="AU67" t="s">
        <v>299</v>
      </c>
      <c r="AV67" t="s">
        <v>102</v>
      </c>
      <c r="AW67">
        <v>0.10292537092636218</v>
      </c>
      <c r="AX67">
        <v>0.11352757576095256</v>
      </c>
      <c r="AY67">
        <v>0.10713906977499404</v>
      </c>
      <c r="AZ67">
        <v>0.13153805588234596</v>
      </c>
      <c r="BA67">
        <v>0.1347671164585128</v>
      </c>
      <c r="BB67">
        <v>0.14437849410934031</v>
      </c>
      <c r="BC67">
        <v>0.17835283039804559</v>
      </c>
      <c r="BD67">
        <v>0.18369396792528345</v>
      </c>
      <c r="BE67">
        <v>0.19716919970798832</v>
      </c>
      <c r="BF67">
        <v>0.13352798562962515</v>
      </c>
      <c r="BG67">
        <v>0.10907674306293562</v>
      </c>
      <c r="BH67">
        <v>0.14417331151195065</v>
      </c>
      <c r="BR67" t="s">
        <v>299</v>
      </c>
      <c r="BS67">
        <v>0.56479474728277401</v>
      </c>
      <c r="BT67">
        <v>0.55281610454084884</v>
      </c>
      <c r="BU67">
        <v>0.57344825206648276</v>
      </c>
      <c r="BV67">
        <v>0.4684351292120566</v>
      </c>
      <c r="BW67">
        <v>0.49767243127196326</v>
      </c>
      <c r="BX67">
        <v>0.46176145149865527</v>
      </c>
      <c r="BY67">
        <v>0.29205582551895537</v>
      </c>
      <c r="BZ67">
        <v>0.29893614293986853</v>
      </c>
      <c r="CA67">
        <v>0.31699649820833514</v>
      </c>
      <c r="CB67">
        <v>0.43618299034548885</v>
      </c>
      <c r="CC67">
        <v>0.46912347494988504</v>
      </c>
      <c r="CD67">
        <v>0.44826027425798687</v>
      </c>
      <c r="CF67" t="s">
        <v>324</v>
      </c>
      <c r="CG67" t="s">
        <v>108</v>
      </c>
      <c r="CH67" t="s">
        <v>109</v>
      </c>
      <c r="CI67">
        <v>0.7787286022630564</v>
      </c>
    </row>
    <row r="68" spans="2:87" x14ac:dyDescent="0.45">
      <c r="B68" t="s">
        <v>301</v>
      </c>
      <c r="C68" t="s">
        <v>99</v>
      </c>
      <c r="D68">
        <v>0.26680290602100526</v>
      </c>
      <c r="E68">
        <v>0.28042372839672258</v>
      </c>
      <c r="F68">
        <v>0.25818604042687099</v>
      </c>
      <c r="G68">
        <v>0.28061080908915692</v>
      </c>
      <c r="H68">
        <v>0.29881433375578137</v>
      </c>
      <c r="I68">
        <v>0.26303585877742031</v>
      </c>
      <c r="J68">
        <v>0.36268736188660811</v>
      </c>
      <c r="K68">
        <v>0.38082884269759582</v>
      </c>
      <c r="L68">
        <v>0.33325518891270633</v>
      </c>
      <c r="M68">
        <v>0.25785416923347132</v>
      </c>
      <c r="N68">
        <v>0.28475685927295419</v>
      </c>
      <c r="O68">
        <v>0.27542315238727194</v>
      </c>
      <c r="Q68" t="s">
        <v>301</v>
      </c>
      <c r="R68" t="s">
        <v>100</v>
      </c>
      <c r="S68">
        <v>7.7292018196944198E-3</v>
      </c>
      <c r="T68">
        <v>1.3914651189990348E-2</v>
      </c>
      <c r="U68">
        <v>1.1498842358229761E-2</v>
      </c>
      <c r="V68">
        <v>9.0489378293620651E-3</v>
      </c>
      <c r="W68">
        <v>1.7176239401783984E-2</v>
      </c>
      <c r="X68">
        <v>1.169645629513341E-2</v>
      </c>
      <c r="Y68">
        <v>2.6520953123826164E-2</v>
      </c>
      <c r="Z68">
        <v>2.5437736488527651E-2</v>
      </c>
      <c r="AA68">
        <v>4.7082836716994007E-3</v>
      </c>
      <c r="AB68">
        <v>1.5287400253864696E-2</v>
      </c>
      <c r="AC68">
        <v>3.1753197147855544E-2</v>
      </c>
      <c r="AD68">
        <v>7.1433964402647784E-3</v>
      </c>
      <c r="AF68" t="s">
        <v>301</v>
      </c>
      <c r="AG68" t="s">
        <v>101</v>
      </c>
      <c r="AH68">
        <v>1.5657202681717483E-2</v>
      </c>
      <c r="AI68">
        <v>1.6729602153478726E-2</v>
      </c>
      <c r="AJ68">
        <v>1.4095848265722299E-2</v>
      </c>
      <c r="AK68">
        <v>6.9018919686940818E-3</v>
      </c>
      <c r="AL68">
        <v>2.0412968951074729E-2</v>
      </c>
      <c r="AM68">
        <v>1.7449117762873272E-2</v>
      </c>
      <c r="AN68">
        <v>2.0405761924334753E-2</v>
      </c>
      <c r="AO68">
        <v>5.951777749100725E-2</v>
      </c>
      <c r="AP68">
        <v>1.905614800528432E-2</v>
      </c>
      <c r="AQ68">
        <v>1.1892016711854896E-2</v>
      </c>
      <c r="AR68">
        <v>3.5124364428232302E-2</v>
      </c>
      <c r="AS68">
        <v>3.477097674457099E-2</v>
      </c>
      <c r="AU68" t="s">
        <v>301</v>
      </c>
      <c r="AV68" t="s">
        <v>102</v>
      </c>
      <c r="AW68">
        <v>0.12620228317444099</v>
      </c>
      <c r="AX68">
        <v>0.13225842875978613</v>
      </c>
      <c r="AY68">
        <v>0.11909709904488057</v>
      </c>
      <c r="AZ68">
        <v>0.15524756402531281</v>
      </c>
      <c r="BA68">
        <v>0.13371691622346107</v>
      </c>
      <c r="BB68">
        <v>0.13259941429840072</v>
      </c>
      <c r="BC68">
        <v>0.18583143042603553</v>
      </c>
      <c r="BD68">
        <v>0.16581206360337539</v>
      </c>
      <c r="BE68">
        <v>0.20430098293856291</v>
      </c>
      <c r="BF68">
        <v>0.1279196070694846</v>
      </c>
      <c r="BG68">
        <v>0.10449938944929792</v>
      </c>
      <c r="BH68">
        <v>0.12181498978880548</v>
      </c>
      <c r="BR68" t="s">
        <v>301</v>
      </c>
      <c r="BS68">
        <v>0.54065804560306296</v>
      </c>
      <c r="BT68">
        <v>0.52068186938794103</v>
      </c>
      <c r="BU68">
        <v>0.55609613786558276</v>
      </c>
      <c r="BV68">
        <v>0.43360516774166691</v>
      </c>
      <c r="BW68">
        <v>0.47962491281083086</v>
      </c>
      <c r="BX68">
        <v>0.4445665416603693</v>
      </c>
      <c r="BY68">
        <v>0.25720130766356458</v>
      </c>
      <c r="BZ68">
        <v>0.2798163515132952</v>
      </c>
      <c r="CA68">
        <v>0.27892063060176442</v>
      </c>
      <c r="CB68">
        <v>0.47382159658095241</v>
      </c>
      <c r="CC68">
        <v>0.46631833671611228</v>
      </c>
      <c r="CD68">
        <v>0.48950550971805745</v>
      </c>
      <c r="CF68" t="s">
        <v>326</v>
      </c>
      <c r="CG68" t="s">
        <v>108</v>
      </c>
      <c r="CH68" t="s">
        <v>109</v>
      </c>
      <c r="CI68">
        <v>0.75734940167823339</v>
      </c>
    </row>
    <row r="69" spans="2:87" x14ac:dyDescent="0.45">
      <c r="B69" t="s">
        <v>303</v>
      </c>
      <c r="C69" t="s">
        <v>99</v>
      </c>
      <c r="D69">
        <v>0.27564271758857151</v>
      </c>
      <c r="E69">
        <v>0.29607298827572903</v>
      </c>
      <c r="F69">
        <v>0.27000604416685153</v>
      </c>
      <c r="G69">
        <v>0.30863743015588824</v>
      </c>
      <c r="H69">
        <v>0.31598541803105601</v>
      </c>
      <c r="I69">
        <v>0.29228691940372892</v>
      </c>
      <c r="J69">
        <v>0.3563840433806662</v>
      </c>
      <c r="K69">
        <v>0.38614415118489837</v>
      </c>
      <c r="L69">
        <v>0.34120499684710776</v>
      </c>
      <c r="M69">
        <v>0.28519649611899855</v>
      </c>
      <c r="N69">
        <v>0.31099006576101662</v>
      </c>
      <c r="O69">
        <v>0.30330176360386607</v>
      </c>
      <c r="Q69" t="s">
        <v>303</v>
      </c>
      <c r="R69" t="s">
        <v>100</v>
      </c>
      <c r="S69">
        <v>8.1148639721033197E-3</v>
      </c>
      <c r="T69">
        <v>1.1147706098481459E-2</v>
      </c>
      <c r="U69">
        <v>1.5366987922854266E-2</v>
      </c>
      <c r="V69">
        <v>9.5043826916496443E-3</v>
      </c>
      <c r="W69">
        <v>1.9183178975481757E-2</v>
      </c>
      <c r="X69">
        <v>8.4928344467459244E-3</v>
      </c>
      <c r="Y69">
        <v>3.9125996730666454E-2</v>
      </c>
      <c r="Z69">
        <v>2.3368837553186309E-2</v>
      </c>
      <c r="AA69">
        <v>1.5145162794536584E-2</v>
      </c>
      <c r="AB69">
        <v>2.3170123036495873E-2</v>
      </c>
      <c r="AC69">
        <v>3.6090722672878411E-2</v>
      </c>
      <c r="AD69">
        <v>1.186658730642875E-2</v>
      </c>
      <c r="AF69" t="s">
        <v>303</v>
      </c>
      <c r="AG69" t="s">
        <v>101</v>
      </c>
      <c r="AH69">
        <v>2.0779681185556058E-2</v>
      </c>
      <c r="AI69">
        <v>2.0052591043384242E-2</v>
      </c>
      <c r="AJ69">
        <v>7.8274609493884737E-3</v>
      </c>
      <c r="AK69">
        <v>7.7983995555910308E-3</v>
      </c>
      <c r="AL69">
        <v>2.7252839359850355E-2</v>
      </c>
      <c r="AM69">
        <v>1.2356795363933222E-2</v>
      </c>
      <c r="AN69">
        <v>3.7763645432379256E-2</v>
      </c>
      <c r="AO69">
        <v>5.3010347600891274E-2</v>
      </c>
      <c r="AP69">
        <v>2.5531343444503921E-2</v>
      </c>
      <c r="AQ69">
        <v>2.7530085649575764E-2</v>
      </c>
      <c r="AR69">
        <v>4.3737450833256482E-2</v>
      </c>
      <c r="AS69">
        <v>3.2069748837055573E-2</v>
      </c>
      <c r="AU69" t="s">
        <v>303</v>
      </c>
      <c r="AV69" t="s">
        <v>102</v>
      </c>
      <c r="AW69">
        <v>0.12717722257031877</v>
      </c>
      <c r="AX69">
        <v>0.141540708330853</v>
      </c>
      <c r="AY69">
        <v>0.13158124820190636</v>
      </c>
      <c r="AZ69">
        <v>0.17099716308200621</v>
      </c>
      <c r="BA69">
        <v>0.13513139123186318</v>
      </c>
      <c r="BB69">
        <v>0.15339095531064831</v>
      </c>
      <c r="BC69">
        <v>0.15111871411776551</v>
      </c>
      <c r="BD69">
        <v>0.1763881916874441</v>
      </c>
      <c r="BE69">
        <v>0.19781711521121156</v>
      </c>
      <c r="BF69">
        <v>0.12154270335746944</v>
      </c>
      <c r="BG69">
        <v>0.10384095498096389</v>
      </c>
      <c r="BH69">
        <v>0.13581055251650068</v>
      </c>
      <c r="BR69" t="s">
        <v>303</v>
      </c>
      <c r="BS69">
        <v>0.51362032898157917</v>
      </c>
      <c r="BT69">
        <v>0.49739473800422918</v>
      </c>
      <c r="BU69">
        <v>0.53207695332559668</v>
      </c>
      <c r="BV69">
        <v>0.41619552989291292</v>
      </c>
      <c r="BW69">
        <v>0.47217090638356923</v>
      </c>
      <c r="BX69">
        <v>0.44434805076148792</v>
      </c>
      <c r="BY69">
        <v>0.24831004264367521</v>
      </c>
      <c r="BZ69">
        <v>0.26860978087491666</v>
      </c>
      <c r="CA69">
        <v>0.26647418984396121</v>
      </c>
      <c r="CB69">
        <v>0.43541925440925722</v>
      </c>
      <c r="CC69">
        <v>0.43676224847243333</v>
      </c>
      <c r="CD69">
        <v>0.45237533704764749</v>
      </c>
      <c r="CF69" t="s">
        <v>328</v>
      </c>
      <c r="CG69" t="s">
        <v>108</v>
      </c>
      <c r="CH69" t="s">
        <v>109</v>
      </c>
      <c r="CI69">
        <v>0.77373862265100235</v>
      </c>
    </row>
    <row r="70" spans="2:87" x14ac:dyDescent="0.45">
      <c r="B70" t="s">
        <v>305</v>
      </c>
      <c r="C70" t="s">
        <v>99</v>
      </c>
      <c r="D70">
        <v>0.29552874701275977</v>
      </c>
      <c r="E70">
        <v>0.3162576782654184</v>
      </c>
      <c r="F70">
        <v>0.29772800053747445</v>
      </c>
      <c r="G70">
        <v>0.3437323361128507</v>
      </c>
      <c r="H70">
        <v>0.33660133999442621</v>
      </c>
      <c r="I70">
        <v>0.31594552107151963</v>
      </c>
      <c r="J70">
        <v>0.37721452727587229</v>
      </c>
      <c r="K70">
        <v>0.37474116512140693</v>
      </c>
      <c r="L70">
        <v>0.34553381328471811</v>
      </c>
      <c r="M70">
        <v>0.32232281779650601</v>
      </c>
      <c r="N70">
        <v>0.34074715146383661</v>
      </c>
      <c r="O70">
        <v>0.32885897086252941</v>
      </c>
      <c r="Q70" t="s">
        <v>305</v>
      </c>
      <c r="R70" t="s">
        <v>100</v>
      </c>
      <c r="S70">
        <v>1.9735652045528899E-2</v>
      </c>
      <c r="T70">
        <v>2.1568447731192777E-2</v>
      </c>
      <c r="U70">
        <v>2.069963962652004E-2</v>
      </c>
      <c r="V70">
        <v>1.3437099579987335E-2</v>
      </c>
      <c r="W70">
        <v>2.4622735364982204E-2</v>
      </c>
      <c r="X70">
        <v>6.730059342654463E-3</v>
      </c>
      <c r="Y70">
        <v>2.2403072990574507E-2</v>
      </c>
      <c r="Z70">
        <v>2.6265771418918255E-2</v>
      </c>
      <c r="AA70">
        <v>1.5484973860233828E-2</v>
      </c>
      <c r="AB70">
        <v>2.8016875228108511E-2</v>
      </c>
      <c r="AC70">
        <v>5.2033412042021741E-2</v>
      </c>
      <c r="AD70">
        <v>1.1319875831385759E-2</v>
      </c>
      <c r="AF70" t="s">
        <v>305</v>
      </c>
      <c r="AG70" t="s">
        <v>101</v>
      </c>
      <c r="AH70">
        <v>3.1754611884568885E-2</v>
      </c>
      <c r="AI70">
        <v>3.4402429395098369E-2</v>
      </c>
      <c r="AJ70">
        <v>1.6519003188291342E-2</v>
      </c>
      <c r="AK70">
        <v>1.5805620945127021E-2</v>
      </c>
      <c r="AL70">
        <v>2.4912378056434703E-2</v>
      </c>
      <c r="AM70">
        <v>1.2909726871491882E-2</v>
      </c>
      <c r="AN70">
        <v>3.4217179073345191E-2</v>
      </c>
      <c r="AO70">
        <v>4.2447600381285644E-2</v>
      </c>
      <c r="AP70">
        <v>1.5571295821182708E-2</v>
      </c>
      <c r="AQ70">
        <v>2.524212586319155E-2</v>
      </c>
      <c r="AR70">
        <v>5.9953668670478369E-2</v>
      </c>
      <c r="AS70">
        <v>4.3312108403571338E-2</v>
      </c>
      <c r="AU70" t="s">
        <v>305</v>
      </c>
      <c r="AV70" t="s">
        <v>102</v>
      </c>
      <c r="AW70">
        <v>0.13182175060734821</v>
      </c>
      <c r="AX70">
        <v>0.14464350250438751</v>
      </c>
      <c r="AY70">
        <v>0.14618562118152068</v>
      </c>
      <c r="AZ70">
        <v>0.19510351630895839</v>
      </c>
      <c r="BA70">
        <v>0.15587107268914246</v>
      </c>
      <c r="BB70">
        <v>0.18754062606016458</v>
      </c>
      <c r="BC70">
        <v>0.19816434453011253</v>
      </c>
      <c r="BD70">
        <v>0.18065991374650919</v>
      </c>
      <c r="BE70">
        <v>0.21771904423205821</v>
      </c>
      <c r="BF70">
        <v>0.16234212422319241</v>
      </c>
      <c r="BG70">
        <v>0.10596804487792441</v>
      </c>
      <c r="BH70">
        <v>0.1514093901601149</v>
      </c>
      <c r="BR70" t="s">
        <v>305</v>
      </c>
      <c r="BS70">
        <v>0.4513481658054736</v>
      </c>
      <c r="BT70">
        <v>0.45204376389882228</v>
      </c>
      <c r="BU70">
        <v>0.46550745194507959</v>
      </c>
      <c r="BV70">
        <v>0.35612156549429441</v>
      </c>
      <c r="BW70">
        <v>0.41926041753511051</v>
      </c>
      <c r="BX70">
        <v>0.3757741819424178</v>
      </c>
      <c r="BY70">
        <v>0.20034151315935131</v>
      </c>
      <c r="BZ70">
        <v>0.23744826857951457</v>
      </c>
      <c r="CA70">
        <v>0.23614126602476093</v>
      </c>
      <c r="CB70">
        <v>0.3313552790047532</v>
      </c>
      <c r="CC70">
        <v>0.37292441283866262</v>
      </c>
      <c r="CD70">
        <v>0.35626069921816761</v>
      </c>
      <c r="CF70" t="s">
        <v>330</v>
      </c>
      <c r="CG70" t="s">
        <v>108</v>
      </c>
      <c r="CH70" t="s">
        <v>109</v>
      </c>
      <c r="CI70">
        <v>0.77309386135074776</v>
      </c>
    </row>
    <row r="71" spans="2:87" x14ac:dyDescent="0.45">
      <c r="B71" t="s">
        <v>307</v>
      </c>
      <c r="C71" t="s">
        <v>99</v>
      </c>
      <c r="D71">
        <v>0.23861642435512037</v>
      </c>
      <c r="E71">
        <v>0.26541894159068019</v>
      </c>
      <c r="F71">
        <v>0.26055528196476146</v>
      </c>
      <c r="G71">
        <v>0.30019276739172246</v>
      </c>
      <c r="H71">
        <v>0.27991024571568751</v>
      </c>
      <c r="I71">
        <v>0.26748703473947255</v>
      </c>
      <c r="J71">
        <v>0.34645218527424176</v>
      </c>
      <c r="K71">
        <v>0.35026922980510944</v>
      </c>
      <c r="L71">
        <v>0.31122258727530677</v>
      </c>
      <c r="M71">
        <v>0.30835048447804797</v>
      </c>
      <c r="N71">
        <v>0.31364114900675522</v>
      </c>
      <c r="O71">
        <v>0.30935041544797925</v>
      </c>
      <c r="Q71" t="s">
        <v>307</v>
      </c>
      <c r="R71" t="s">
        <v>100</v>
      </c>
      <c r="S71">
        <v>8.4494819463033187E-3</v>
      </c>
      <c r="T71">
        <v>2.0857354998194595E-2</v>
      </c>
      <c r="U71">
        <v>1.1352790724133486E-2</v>
      </c>
      <c r="V71">
        <v>1.562323150940757E-2</v>
      </c>
      <c r="W71">
        <v>1.2628396374434732E-2</v>
      </c>
      <c r="X71">
        <v>1.0856539042126937E-2</v>
      </c>
      <c r="Y71">
        <v>2.0289899669572613E-2</v>
      </c>
      <c r="Z71">
        <v>2.9788196053971226E-2</v>
      </c>
      <c r="AA71">
        <v>1.522362723424367E-2</v>
      </c>
      <c r="AB71">
        <v>2.2714299198400605E-2</v>
      </c>
      <c r="AC71">
        <v>2.326606177489304E-2</v>
      </c>
      <c r="AD71">
        <v>1.2597495178838285E-2</v>
      </c>
      <c r="AF71" t="s">
        <v>307</v>
      </c>
      <c r="AG71" t="s">
        <v>101</v>
      </c>
      <c r="AH71">
        <v>1.3059317913661828E-2</v>
      </c>
      <c r="AI71">
        <v>2.2913785388731081E-2</v>
      </c>
      <c r="AJ71">
        <v>2.2943590660782155E-2</v>
      </c>
      <c r="AK71">
        <v>1.7338953012075484E-2</v>
      </c>
      <c r="AL71">
        <v>2.2197958535952259E-2</v>
      </c>
      <c r="AM71">
        <v>1.1798582178869319E-2</v>
      </c>
      <c r="AN71">
        <v>3.1064249646631063E-2</v>
      </c>
      <c r="AO71">
        <v>3.6535981278423328E-2</v>
      </c>
      <c r="AP71">
        <v>1.8234967247635736E-2</v>
      </c>
      <c r="AQ71">
        <v>2.1523056772745332E-2</v>
      </c>
      <c r="AR71">
        <v>3.9097846552598077E-2</v>
      </c>
      <c r="AS71">
        <v>2.4677185557895057E-2</v>
      </c>
      <c r="AU71" t="s">
        <v>307</v>
      </c>
      <c r="AV71" t="s">
        <v>102</v>
      </c>
      <c r="AW71">
        <v>0.11417485679210176</v>
      </c>
      <c r="AX71">
        <v>0.10386089965762792</v>
      </c>
      <c r="AY71">
        <v>0.1076825604371859</v>
      </c>
      <c r="AZ71">
        <v>0.1316759132172432</v>
      </c>
      <c r="BA71">
        <v>0.11994129727625016</v>
      </c>
      <c r="BB71">
        <v>0.12955456347854497</v>
      </c>
      <c r="BC71">
        <v>0.17100749331990181</v>
      </c>
      <c r="BD71">
        <v>0.15888750409454175</v>
      </c>
      <c r="BE71">
        <v>0.16474003563760936</v>
      </c>
      <c r="BF71">
        <v>0.13890887721530717</v>
      </c>
      <c r="BG71">
        <v>0.12152489639599401</v>
      </c>
      <c r="BH71">
        <v>0.14358241120631757</v>
      </c>
      <c r="BR71" t="s">
        <v>307</v>
      </c>
      <c r="BS71">
        <v>0.55896575552301042</v>
      </c>
      <c r="BT71">
        <v>0.54277742136370577</v>
      </c>
      <c r="BU71">
        <v>0.56223877140690759</v>
      </c>
      <c r="BV71">
        <v>0.48346681934645497</v>
      </c>
      <c r="BW71">
        <v>0.5183646120268367</v>
      </c>
      <c r="BX71">
        <v>0.50194793610413868</v>
      </c>
      <c r="BY71">
        <v>0.32411316761859105</v>
      </c>
      <c r="BZ71">
        <v>0.32254826155627725</v>
      </c>
      <c r="CA71">
        <v>0.34231619143968894</v>
      </c>
      <c r="CB71">
        <v>0.44022488151748052</v>
      </c>
      <c r="CC71">
        <v>0.47184385178275867</v>
      </c>
      <c r="CD71">
        <v>0.46330671786999905</v>
      </c>
      <c r="CF71" t="s">
        <v>332</v>
      </c>
      <c r="CG71" t="s">
        <v>108</v>
      </c>
      <c r="CH71" t="s">
        <v>109</v>
      </c>
      <c r="CI71">
        <v>0.7164571123233574</v>
      </c>
    </row>
    <row r="72" spans="2:87" x14ac:dyDescent="0.45">
      <c r="B72" t="s">
        <v>309</v>
      </c>
      <c r="C72" t="s">
        <v>99</v>
      </c>
      <c r="D72">
        <v>0.25719836415098141</v>
      </c>
      <c r="E72">
        <v>0.28407365838105797</v>
      </c>
      <c r="F72">
        <v>0.2737449012792989</v>
      </c>
      <c r="G72">
        <v>0.30261963927126295</v>
      </c>
      <c r="H72">
        <v>0.31622582135654898</v>
      </c>
      <c r="I72">
        <v>0.28024367183203985</v>
      </c>
      <c r="J72">
        <v>0.31453711992126804</v>
      </c>
      <c r="K72">
        <v>0.34679868273779196</v>
      </c>
      <c r="L72">
        <v>0.28008620705180953</v>
      </c>
      <c r="M72">
        <v>0.3260282720476898</v>
      </c>
      <c r="N72">
        <v>0.32761512791957892</v>
      </c>
      <c r="O72">
        <v>0.31516585326249014</v>
      </c>
      <c r="Q72" t="s">
        <v>309</v>
      </c>
      <c r="R72" t="s">
        <v>100</v>
      </c>
      <c r="S72">
        <v>1.2697563908856504E-2</v>
      </c>
      <c r="T72">
        <v>1.9683503413112782E-2</v>
      </c>
      <c r="U72">
        <v>2.371036157027424E-2</v>
      </c>
      <c r="V72">
        <v>1.7117111137404585E-2</v>
      </c>
      <c r="W72">
        <v>1.6578313865033525E-2</v>
      </c>
      <c r="X72">
        <v>1.3538713131575085E-2</v>
      </c>
      <c r="Y72">
        <v>2.2363203968796892E-2</v>
      </c>
      <c r="Z72">
        <v>3.0133469529922449E-2</v>
      </c>
      <c r="AA72">
        <v>1.0164509987323543E-2</v>
      </c>
      <c r="AB72">
        <v>2.0988614038083137E-2</v>
      </c>
      <c r="AC72">
        <v>3.0779983869008945E-2</v>
      </c>
      <c r="AD72">
        <v>2.0965334473320003E-2</v>
      </c>
      <c r="AF72" t="s">
        <v>309</v>
      </c>
      <c r="AG72" t="s">
        <v>101</v>
      </c>
      <c r="AH72">
        <v>2.3646137366899175E-2</v>
      </c>
      <c r="AI72">
        <v>3.0362972390417724E-2</v>
      </c>
      <c r="AJ72">
        <v>1.4337221823347266E-2</v>
      </c>
      <c r="AK72">
        <v>1.8125293605725706E-2</v>
      </c>
      <c r="AL72">
        <v>2.4242507330477614E-2</v>
      </c>
      <c r="AM72">
        <v>8.7806055565233E-3</v>
      </c>
      <c r="AN72">
        <v>1.3081180729014333E-2</v>
      </c>
      <c r="AO72">
        <v>4.1078871520913142E-2</v>
      </c>
      <c r="AP72">
        <v>1.345691631806468E-2</v>
      </c>
      <c r="AQ72">
        <v>2.1191549519534988E-2</v>
      </c>
      <c r="AR72">
        <v>4.0696075755422799E-2</v>
      </c>
      <c r="AS72">
        <v>3.2525863782853534E-2</v>
      </c>
      <c r="AU72" t="s">
        <v>309</v>
      </c>
      <c r="AV72" t="s">
        <v>102</v>
      </c>
      <c r="AW72">
        <v>0.11422168913817005</v>
      </c>
      <c r="AX72">
        <v>0.12256124509270483</v>
      </c>
      <c r="AY72">
        <v>0.12038168823663056</v>
      </c>
      <c r="AZ72">
        <v>0.1454675688935059</v>
      </c>
      <c r="BA72">
        <v>0.15154902500520498</v>
      </c>
      <c r="BB72">
        <v>0.14556044568374574</v>
      </c>
      <c r="BC72">
        <v>0.16110337348359749</v>
      </c>
      <c r="BD72">
        <v>0.15293982673141396</v>
      </c>
      <c r="BE72">
        <v>0.15585248642227362</v>
      </c>
      <c r="BF72">
        <v>0.16113687931304244</v>
      </c>
      <c r="BG72">
        <v>0.13554368843062103</v>
      </c>
      <c r="BH72">
        <v>0.13762691155245765</v>
      </c>
      <c r="BR72" t="s">
        <v>309</v>
      </c>
      <c r="BS72">
        <v>0.4989146154762199</v>
      </c>
      <c r="BT72">
        <v>0.47935195276986092</v>
      </c>
      <c r="BU72">
        <v>0.50346222173355215</v>
      </c>
      <c r="BV72">
        <v>0.42294968365407037</v>
      </c>
      <c r="BW72">
        <v>0.44579965697556223</v>
      </c>
      <c r="BX72">
        <v>0.44344166871999918</v>
      </c>
      <c r="BY72">
        <v>0.28629593691546179</v>
      </c>
      <c r="BZ72">
        <v>0.29561028920860982</v>
      </c>
      <c r="CA72">
        <v>0.32030613775762595</v>
      </c>
      <c r="CB72">
        <v>0.39558678590445601</v>
      </c>
      <c r="CC72">
        <v>0.41262882282834323</v>
      </c>
      <c r="CD72">
        <v>0.42090845051014308</v>
      </c>
      <c r="CF72" t="s">
        <v>334</v>
      </c>
      <c r="CG72" t="s">
        <v>108</v>
      </c>
      <c r="CH72" t="s">
        <v>109</v>
      </c>
      <c r="CI72">
        <v>0.70985793183984314</v>
      </c>
    </row>
    <row r="73" spans="2:87" x14ac:dyDescent="0.45">
      <c r="B73" t="s">
        <v>311</v>
      </c>
      <c r="C73" t="s">
        <v>99</v>
      </c>
      <c r="D73">
        <v>0.23607370288824561</v>
      </c>
      <c r="E73">
        <v>0.26743040452636707</v>
      </c>
      <c r="F73">
        <v>0.24135648878599392</v>
      </c>
      <c r="G73">
        <v>0.26669098573651184</v>
      </c>
      <c r="H73">
        <v>0.30414326003859488</v>
      </c>
      <c r="I73">
        <v>0.26576028482986896</v>
      </c>
      <c r="J73">
        <v>0.31947226738578377</v>
      </c>
      <c r="K73">
        <v>0.3424023873305051</v>
      </c>
      <c r="L73">
        <v>0.29126013060952</v>
      </c>
      <c r="M73">
        <v>0.31223256044615244</v>
      </c>
      <c r="N73">
        <v>0.30365107449898227</v>
      </c>
      <c r="O73">
        <v>0.25978421583206346</v>
      </c>
      <c r="Q73" t="s">
        <v>311</v>
      </c>
      <c r="R73" t="s">
        <v>100</v>
      </c>
      <c r="S73">
        <v>1.1500144862255072E-2</v>
      </c>
      <c r="T73">
        <v>1.5293897617740878E-2</v>
      </c>
      <c r="U73">
        <v>2.1481624446158074E-2</v>
      </c>
      <c r="V73">
        <v>1.4955648084312495E-2</v>
      </c>
      <c r="W73">
        <v>1.0138549531482806E-2</v>
      </c>
      <c r="X73">
        <v>1.5849684869197075E-2</v>
      </c>
      <c r="Y73">
        <v>1.9856821855412585E-2</v>
      </c>
      <c r="Z73">
        <v>2.3038932129986971E-2</v>
      </c>
      <c r="AA73">
        <v>1.9583888008125321E-2</v>
      </c>
      <c r="AB73">
        <v>1.6479502238513542E-2</v>
      </c>
      <c r="AC73">
        <v>2.389355127051675E-2</v>
      </c>
      <c r="AD73">
        <v>1.6482917754717011E-2</v>
      </c>
      <c r="AF73" t="s">
        <v>311</v>
      </c>
      <c r="AG73" t="s">
        <v>101</v>
      </c>
      <c r="AH73">
        <v>2.111676189412854E-2</v>
      </c>
      <c r="AI73">
        <v>2.300633975990295E-2</v>
      </c>
      <c r="AJ73">
        <v>1.048178778006386E-2</v>
      </c>
      <c r="AK73">
        <v>1.759314656570754E-2</v>
      </c>
      <c r="AL73">
        <v>1.7496717343420811E-2</v>
      </c>
      <c r="AM73">
        <v>9.2136066561157495E-3</v>
      </c>
      <c r="AN73">
        <v>3.1510522460937967E-2</v>
      </c>
      <c r="AO73">
        <v>1.6069874182246556E-2</v>
      </c>
      <c r="AP73">
        <v>2.4254892703523628E-2</v>
      </c>
      <c r="AQ73">
        <v>1.8717499648844258E-2</v>
      </c>
      <c r="AR73">
        <v>3.2124488249319579E-2</v>
      </c>
      <c r="AS73">
        <v>1.7271141359917096E-2</v>
      </c>
      <c r="AU73" t="s">
        <v>311</v>
      </c>
      <c r="AV73" t="s">
        <v>102</v>
      </c>
      <c r="AW73">
        <v>9.7118861142693358E-2</v>
      </c>
      <c r="AX73">
        <v>0.11375845679877104</v>
      </c>
      <c r="AY73">
        <v>9.617984958949688E-2</v>
      </c>
      <c r="AZ73">
        <v>0.11869021207004123</v>
      </c>
      <c r="BA73">
        <v>0.15924019573378698</v>
      </c>
      <c r="BB73">
        <v>0.13123029828894917</v>
      </c>
      <c r="BC73">
        <v>0.14900722259192223</v>
      </c>
      <c r="BD73">
        <v>0.16612815783214283</v>
      </c>
      <c r="BE73">
        <v>0.13528413354477359</v>
      </c>
      <c r="BF73">
        <v>0.13847153367315071</v>
      </c>
      <c r="BG73">
        <v>0.11478217102701281</v>
      </c>
      <c r="BH73">
        <v>0.1108682372913672</v>
      </c>
      <c r="BR73" t="s">
        <v>311</v>
      </c>
      <c r="BS73">
        <v>0.56126619268986488</v>
      </c>
      <c r="BT73">
        <v>0.54034599200487532</v>
      </c>
      <c r="BU73">
        <v>0.57074306409433917</v>
      </c>
      <c r="BV73">
        <v>0.496107092565018</v>
      </c>
      <c r="BW73">
        <v>0.4745364221626277</v>
      </c>
      <c r="BX73">
        <v>0.50481790443624075</v>
      </c>
      <c r="BY73">
        <v>0.38294674757564218</v>
      </c>
      <c r="BZ73">
        <v>0.37538495369558789</v>
      </c>
      <c r="CA73">
        <v>0.41981096016957958</v>
      </c>
      <c r="CB73">
        <v>0.48668674776145399</v>
      </c>
      <c r="CC73">
        <v>0.48944554370111049</v>
      </c>
      <c r="CD73">
        <v>0.52594782993706146</v>
      </c>
      <c r="CF73" t="s">
        <v>336</v>
      </c>
      <c r="CG73" t="s">
        <v>108</v>
      </c>
      <c r="CH73" t="s">
        <v>109</v>
      </c>
      <c r="CI73">
        <v>0.68121668617732012</v>
      </c>
    </row>
    <row r="74" spans="2:87" x14ac:dyDescent="0.45">
      <c r="B74" t="s">
        <v>313</v>
      </c>
      <c r="C74" t="s">
        <v>99</v>
      </c>
      <c r="D74">
        <v>0.25705596873221032</v>
      </c>
      <c r="E74">
        <v>0.29485329857949272</v>
      </c>
      <c r="F74">
        <v>0.26946182387947981</v>
      </c>
      <c r="G74">
        <v>0.30134609635533116</v>
      </c>
      <c r="H74">
        <v>0.32911282553403759</v>
      </c>
      <c r="I74">
        <v>0.28923635526638447</v>
      </c>
      <c r="J74">
        <v>0.31085404302723374</v>
      </c>
      <c r="K74">
        <v>0.35540237596002744</v>
      </c>
      <c r="L74">
        <v>0.30030986913125696</v>
      </c>
      <c r="M74">
        <v>0.3065533750708696</v>
      </c>
      <c r="N74">
        <v>0.3431935152292217</v>
      </c>
      <c r="O74">
        <v>0.28833203178808414</v>
      </c>
      <c r="Q74" t="s">
        <v>313</v>
      </c>
      <c r="R74" t="s">
        <v>100</v>
      </c>
      <c r="S74">
        <v>1.2281515070862663E-2</v>
      </c>
      <c r="T74">
        <v>2.102581260008515E-2</v>
      </c>
      <c r="U74">
        <v>2.4509514950781488E-2</v>
      </c>
      <c r="V74">
        <v>7.2874491250244462E-3</v>
      </c>
      <c r="W74">
        <v>1.8636288044964328E-2</v>
      </c>
      <c r="X74">
        <v>6.5811471686387625E-3</v>
      </c>
      <c r="Y74">
        <v>1.3039517905520128E-2</v>
      </c>
      <c r="Z74">
        <v>2.8566104464497342E-2</v>
      </c>
      <c r="AA74">
        <v>1.6108292689666428E-2</v>
      </c>
      <c r="AB74">
        <v>1.7846985238212015E-2</v>
      </c>
      <c r="AC74">
        <v>3.4442856171885083E-2</v>
      </c>
      <c r="AD74">
        <v>1.8739219010913528E-2</v>
      </c>
      <c r="AF74" t="s">
        <v>313</v>
      </c>
      <c r="AG74" t="s">
        <v>101</v>
      </c>
      <c r="AH74">
        <v>2.3267794437343548E-2</v>
      </c>
      <c r="AI74">
        <v>2.7334899821850916E-2</v>
      </c>
      <c r="AJ74">
        <v>2.1204996718287579E-2</v>
      </c>
      <c r="AK74">
        <v>4.1802661287480116E-3</v>
      </c>
      <c r="AL74">
        <v>2.1776909675715751E-2</v>
      </c>
      <c r="AM74">
        <v>3.0537474888288403E-2</v>
      </c>
      <c r="AN74">
        <v>2.7117563634736792E-2</v>
      </c>
      <c r="AO74">
        <v>2.9673060962796233E-2</v>
      </c>
      <c r="AP74">
        <v>3.0413767659050232E-2</v>
      </c>
      <c r="AQ74">
        <v>1.9390192346464483E-2</v>
      </c>
      <c r="AR74">
        <v>3.8928563059861192E-2</v>
      </c>
      <c r="AS74">
        <v>3.5778946429332395E-2</v>
      </c>
      <c r="AU74" t="s">
        <v>313</v>
      </c>
      <c r="AV74" t="s">
        <v>102</v>
      </c>
      <c r="AW74">
        <v>0.12235297228496675</v>
      </c>
      <c r="AX74">
        <v>0.1361685255127926</v>
      </c>
      <c r="AY74">
        <v>0.11916100383664019</v>
      </c>
      <c r="AZ74">
        <v>0.17331120861270061</v>
      </c>
      <c r="BA74">
        <v>0.16598446451525706</v>
      </c>
      <c r="BB74">
        <v>0.1494626364383497</v>
      </c>
      <c r="BC74">
        <v>0.16367644609530005</v>
      </c>
      <c r="BD74">
        <v>0.17291546154260887</v>
      </c>
      <c r="BE74">
        <v>0.14519530328566885</v>
      </c>
      <c r="BF74">
        <v>0.14979994879663613</v>
      </c>
      <c r="BG74">
        <v>0.14331519041811411</v>
      </c>
      <c r="BH74">
        <v>0.12935201579074096</v>
      </c>
      <c r="BR74" t="s">
        <v>313</v>
      </c>
      <c r="BS74">
        <v>0.4844679214998624</v>
      </c>
      <c r="BT74">
        <v>0.45982577759326437</v>
      </c>
      <c r="BU74">
        <v>0.49238786290647463</v>
      </c>
      <c r="BV74">
        <v>0.4029211982583269</v>
      </c>
      <c r="BW74">
        <v>0.41323800268328081</v>
      </c>
      <c r="BX74">
        <v>0.41823261438569026</v>
      </c>
      <c r="BY74">
        <v>0.28150274669748759</v>
      </c>
      <c r="BZ74">
        <v>0.27019388551768042</v>
      </c>
      <c r="CA74">
        <v>0.29903632006207337</v>
      </c>
      <c r="CB74">
        <v>0.41631348857253486</v>
      </c>
      <c r="CC74">
        <v>0.39573450810555355</v>
      </c>
      <c r="CD74">
        <v>0.42909004320561445</v>
      </c>
      <c r="CF74" t="s">
        <v>338</v>
      </c>
      <c r="CG74" t="s">
        <v>108</v>
      </c>
      <c r="CH74" t="s">
        <v>109</v>
      </c>
      <c r="CI74">
        <v>0.69134601919035898</v>
      </c>
    </row>
    <row r="75" spans="2:87" x14ac:dyDescent="0.45">
      <c r="B75" t="s">
        <v>315</v>
      </c>
      <c r="C75" t="s">
        <v>99</v>
      </c>
      <c r="D75">
        <v>0.25439108039937824</v>
      </c>
      <c r="E75">
        <v>0.26009151131750713</v>
      </c>
      <c r="F75">
        <v>0.24865286856353944</v>
      </c>
      <c r="G75">
        <v>0.29552428675326015</v>
      </c>
      <c r="H75">
        <v>0.28937188101452171</v>
      </c>
      <c r="I75">
        <v>0.3020597736479953</v>
      </c>
      <c r="J75">
        <v>0.39359551546030885</v>
      </c>
      <c r="K75">
        <v>0.40405496155087212</v>
      </c>
      <c r="L75">
        <v>0.37399949864720816</v>
      </c>
      <c r="M75">
        <v>0.29581485798024731</v>
      </c>
      <c r="N75">
        <v>0.3032242793438657</v>
      </c>
      <c r="O75">
        <v>0.28845804609420667</v>
      </c>
      <c r="Q75" t="s">
        <v>315</v>
      </c>
      <c r="R75" t="s">
        <v>100</v>
      </c>
      <c r="S75">
        <v>1.3095927347475084E-2</v>
      </c>
      <c r="T75">
        <v>1.7434854465415598E-2</v>
      </c>
      <c r="U75">
        <v>1.875014652742836E-2</v>
      </c>
      <c r="V75">
        <v>2.1221671220310372E-2</v>
      </c>
      <c r="W75">
        <v>1.8586032948810588E-2</v>
      </c>
      <c r="X75">
        <v>1.5156323718604847E-2</v>
      </c>
      <c r="Y75">
        <v>2.084616776046511E-2</v>
      </c>
      <c r="Z75">
        <v>1.616575621188707E-2</v>
      </c>
      <c r="AA75">
        <v>3.0185097681495587E-2</v>
      </c>
      <c r="AB75">
        <v>2.6378708218888099E-2</v>
      </c>
      <c r="AC75">
        <v>3.0103563613038928E-2</v>
      </c>
      <c r="AD75">
        <v>2.5023657620009056E-2</v>
      </c>
      <c r="AF75" t="s">
        <v>315</v>
      </c>
      <c r="AG75" t="s">
        <v>101</v>
      </c>
      <c r="AH75">
        <v>2.4447184498734606E-2</v>
      </c>
      <c r="AI75">
        <v>1.3032600802460327E-2</v>
      </c>
      <c r="AJ75">
        <v>1.7320779612053361E-2</v>
      </c>
      <c r="AK75">
        <v>1.9450192669576847E-2</v>
      </c>
      <c r="AL75">
        <v>2.4668778574482509E-2</v>
      </c>
      <c r="AM75">
        <v>1.4957569670189156E-2</v>
      </c>
      <c r="AN75">
        <v>4.5605170503426856E-2</v>
      </c>
      <c r="AO75">
        <v>3.5109896049486826E-2</v>
      </c>
      <c r="AP75">
        <v>3.6044945902709048E-2</v>
      </c>
      <c r="AQ75">
        <v>4.1987866243345891E-2</v>
      </c>
      <c r="AR75">
        <v>4.4786807990640561E-2</v>
      </c>
      <c r="AS75">
        <v>9.9302545540592823E-3</v>
      </c>
      <c r="AU75" t="s">
        <v>315</v>
      </c>
      <c r="AV75" t="s">
        <v>102</v>
      </c>
      <c r="AW75">
        <v>0.10387304299382265</v>
      </c>
      <c r="AX75">
        <v>0.11623207752239613</v>
      </c>
      <c r="AY75">
        <v>9.9985780464298749E-2</v>
      </c>
      <c r="AZ75">
        <v>0.13430165505203998</v>
      </c>
      <c r="BA75">
        <v>0.12154586674537435</v>
      </c>
      <c r="BB75">
        <v>0.14848821634477061</v>
      </c>
      <c r="BC75">
        <v>0.2119826291234517</v>
      </c>
      <c r="BD75">
        <v>0.22272209774764901</v>
      </c>
      <c r="BE75">
        <v>0.19176383363427776</v>
      </c>
      <c r="BF75">
        <v>0.1157196578075053</v>
      </c>
      <c r="BG75">
        <v>0.11295631349649174</v>
      </c>
      <c r="BH75">
        <v>0.15210133298372325</v>
      </c>
      <c r="BR75" t="s">
        <v>315</v>
      </c>
      <c r="BS75">
        <v>0.52711983669501761</v>
      </c>
      <c r="BT75">
        <v>0.53194033975379951</v>
      </c>
      <c r="BU75">
        <v>0.55828499246971708</v>
      </c>
      <c r="BV75">
        <v>0.42927428413870272</v>
      </c>
      <c r="BW75">
        <v>0.47247556136222102</v>
      </c>
      <c r="BX75">
        <v>0.42817433273584776</v>
      </c>
      <c r="BY75">
        <v>0.2139106881874866</v>
      </c>
      <c r="BZ75">
        <v>0.24406709909080393</v>
      </c>
      <c r="CA75">
        <v>0.2093550634033115</v>
      </c>
      <c r="CB75">
        <v>0.3788915080012894</v>
      </c>
      <c r="CC75">
        <v>0.41007389926855581</v>
      </c>
      <c r="CD75">
        <v>0.37325224867765183</v>
      </c>
      <c r="CF75" t="s">
        <v>339</v>
      </c>
      <c r="CG75" t="s">
        <v>108</v>
      </c>
      <c r="CH75" t="s">
        <v>109</v>
      </c>
      <c r="CI75">
        <v>0.64856645582454986</v>
      </c>
    </row>
    <row r="76" spans="2:87" x14ac:dyDescent="0.45">
      <c r="B76" t="s">
        <v>317</v>
      </c>
      <c r="C76" t="s">
        <v>99</v>
      </c>
      <c r="D76">
        <v>0.16347385692597785</v>
      </c>
      <c r="E76">
        <v>0.18991699904779588</v>
      </c>
      <c r="F76">
        <v>0.17055545397167923</v>
      </c>
      <c r="G76">
        <v>0.24549410729834778</v>
      </c>
      <c r="H76">
        <v>0.23756915811999002</v>
      </c>
      <c r="I76">
        <v>0.22838279919717913</v>
      </c>
      <c r="J76">
        <v>0.35484390627125117</v>
      </c>
      <c r="K76">
        <v>0.35729679831151956</v>
      </c>
      <c r="L76">
        <v>0.32911303785787277</v>
      </c>
      <c r="M76">
        <v>0.23828042079220219</v>
      </c>
      <c r="N76">
        <v>0.23602768045144443</v>
      </c>
      <c r="O76">
        <v>0.22104983969177747</v>
      </c>
      <c r="Q76" t="s">
        <v>317</v>
      </c>
      <c r="R76" t="s">
        <v>100</v>
      </c>
      <c r="S76">
        <v>9.6165359439327296E-3</v>
      </c>
      <c r="T76">
        <v>1.1233273487181197E-2</v>
      </c>
      <c r="U76">
        <v>6.5442248594433927E-3</v>
      </c>
      <c r="V76">
        <v>1.0669603845090619E-2</v>
      </c>
      <c r="W76">
        <v>1.2067860688873363E-2</v>
      </c>
      <c r="X76">
        <v>8.2591288734180316E-3</v>
      </c>
      <c r="Y76">
        <v>1.995226869429011E-2</v>
      </c>
      <c r="Z76">
        <v>1.209566341042881E-2</v>
      </c>
      <c r="AA76">
        <v>3.131836963810232E-2</v>
      </c>
      <c r="AB76">
        <v>1.273176270038656E-2</v>
      </c>
      <c r="AC76">
        <v>1.3809245197363531E-2</v>
      </c>
      <c r="AD76">
        <v>1.4590780489914336E-2</v>
      </c>
      <c r="AF76" t="s">
        <v>317</v>
      </c>
      <c r="AG76" t="s">
        <v>101</v>
      </c>
      <c r="AH76">
        <v>1.1202146695403512E-2</v>
      </c>
      <c r="AI76">
        <v>1.0674067787916651E-2</v>
      </c>
      <c r="AJ76">
        <v>8.4836009048069941E-3</v>
      </c>
      <c r="AK76">
        <v>1.2728856622731986E-2</v>
      </c>
      <c r="AL76">
        <v>1.5574232767735516E-2</v>
      </c>
      <c r="AM76">
        <v>1.3681421525846634E-2</v>
      </c>
      <c r="AN76">
        <v>3.8611316897949201E-2</v>
      </c>
      <c r="AO76">
        <v>2.6628230777856234E-2</v>
      </c>
      <c r="AP76">
        <v>2.6025623274112144E-2</v>
      </c>
      <c r="AQ76">
        <v>2.3309179482341947E-2</v>
      </c>
      <c r="AR76">
        <v>1.8120982366080573E-2</v>
      </c>
      <c r="AS76">
        <v>1.1240603303464608E-2</v>
      </c>
      <c r="AU76" t="s">
        <v>317</v>
      </c>
      <c r="AV76" t="s">
        <v>102</v>
      </c>
      <c r="AW76">
        <v>5.9019353565181114E-2</v>
      </c>
      <c r="AX76">
        <v>6.2180733626771983E-2</v>
      </c>
      <c r="AY76">
        <v>6.1173926009194406E-2</v>
      </c>
      <c r="AZ76">
        <v>9.8944683905284991E-2</v>
      </c>
      <c r="BA76">
        <v>9.3711031550526361E-2</v>
      </c>
      <c r="BB76">
        <v>0.10049741988784712</v>
      </c>
      <c r="BC76">
        <v>0.16958832021577647</v>
      </c>
      <c r="BD76">
        <v>0.1956265679861757</v>
      </c>
      <c r="BE76">
        <v>0.15530341910192247</v>
      </c>
      <c r="BF76">
        <v>8.881540669527363E-2</v>
      </c>
      <c r="BG76">
        <v>9.5043507984117342E-2</v>
      </c>
      <c r="BH76">
        <v>9.3281773567798792E-2</v>
      </c>
      <c r="BR76" t="s">
        <v>317</v>
      </c>
      <c r="BS76">
        <v>0.70363168153788991</v>
      </c>
      <c r="BT76">
        <v>0.68825608185089704</v>
      </c>
      <c r="BU76">
        <v>0.71091163937348145</v>
      </c>
      <c r="BV76">
        <v>0.57830725764660951</v>
      </c>
      <c r="BW76">
        <v>0.58723006950681356</v>
      </c>
      <c r="BX76">
        <v>0.58746104570479063</v>
      </c>
      <c r="BY76">
        <v>0.33035675214495641</v>
      </c>
      <c r="BZ76">
        <v>0.33520391350567486</v>
      </c>
      <c r="CA76">
        <v>0.33066424682420947</v>
      </c>
      <c r="CB76">
        <v>0.56448881143062557</v>
      </c>
      <c r="CC76">
        <v>0.57437093080918467</v>
      </c>
      <c r="CD76">
        <v>0.57043131567484906</v>
      </c>
      <c r="CF76" t="s">
        <v>340</v>
      </c>
      <c r="CG76" t="s">
        <v>108</v>
      </c>
      <c r="CH76" t="s">
        <v>109</v>
      </c>
      <c r="CI76">
        <v>0.63610434713637543</v>
      </c>
    </row>
    <row r="77" spans="2:87" x14ac:dyDescent="0.45">
      <c r="B77" t="s">
        <v>319</v>
      </c>
      <c r="C77" t="s">
        <v>99</v>
      </c>
      <c r="D77">
        <v>0.26353198063551508</v>
      </c>
      <c r="E77">
        <v>0.26550016193116049</v>
      </c>
      <c r="F77">
        <v>0.26913070789901861</v>
      </c>
      <c r="G77">
        <v>0.30966287013297428</v>
      </c>
      <c r="H77">
        <v>0.30344583955830845</v>
      </c>
      <c r="I77">
        <v>0.29894138176451523</v>
      </c>
      <c r="J77">
        <v>0.3862382096484393</v>
      </c>
      <c r="K77">
        <v>0.4015623201168898</v>
      </c>
      <c r="L77">
        <v>0.33080353417367159</v>
      </c>
      <c r="M77">
        <v>0.2557266633669133</v>
      </c>
      <c r="N77">
        <v>0.27082516611382845</v>
      </c>
      <c r="O77">
        <v>0.23526486528014129</v>
      </c>
      <c r="Q77" t="s">
        <v>319</v>
      </c>
      <c r="R77" t="s">
        <v>100</v>
      </c>
      <c r="S77">
        <v>9.5072232991555861E-3</v>
      </c>
      <c r="T77">
        <v>1.2823478981364357E-2</v>
      </c>
      <c r="U77">
        <v>1.3661161237122868E-2</v>
      </c>
      <c r="V77">
        <v>1.7436984758325325E-2</v>
      </c>
      <c r="W77">
        <v>1.6651523687286455E-2</v>
      </c>
      <c r="X77">
        <v>1.7234140835853538E-2</v>
      </c>
      <c r="Y77">
        <v>4.350357850433309E-2</v>
      </c>
      <c r="Z77">
        <v>1.876704978194027E-2</v>
      </c>
      <c r="AA77">
        <v>1.0915025209962582E-2</v>
      </c>
      <c r="AB77">
        <v>2.1600233031868223E-2</v>
      </c>
      <c r="AC77">
        <v>1.9256164810067374E-2</v>
      </c>
      <c r="AD77">
        <v>1.3804484181573116E-2</v>
      </c>
      <c r="AF77" t="s">
        <v>319</v>
      </c>
      <c r="AG77" t="s">
        <v>101</v>
      </c>
      <c r="AH77">
        <v>2.0579495130317659E-2</v>
      </c>
      <c r="AI77">
        <v>1.3940321435959534E-2</v>
      </c>
      <c r="AJ77">
        <v>1.5813900288782837E-2</v>
      </c>
      <c r="AK77">
        <v>2.8663784412035022E-2</v>
      </c>
      <c r="AL77">
        <v>1.7056593216784866E-2</v>
      </c>
      <c r="AM77">
        <v>2.260020932289597E-2</v>
      </c>
      <c r="AN77">
        <v>3.7547967981552487E-2</v>
      </c>
      <c r="AO77">
        <v>2.7143773625454698E-2</v>
      </c>
      <c r="AP77">
        <v>2.6932859835764031E-2</v>
      </c>
      <c r="AQ77">
        <v>2.6977760374362773E-2</v>
      </c>
      <c r="AR77">
        <v>1.8891993740738675E-2</v>
      </c>
      <c r="AS77">
        <v>1.5898477762676177E-2</v>
      </c>
      <c r="AU77" t="s">
        <v>319</v>
      </c>
      <c r="AV77" t="s">
        <v>102</v>
      </c>
      <c r="AW77">
        <v>0.10777408408136242</v>
      </c>
      <c r="AX77">
        <v>0.11226188853821742</v>
      </c>
      <c r="AY77">
        <v>0.10006165718372441</v>
      </c>
      <c r="AZ77">
        <v>0.13658618242303366</v>
      </c>
      <c r="BA77">
        <v>0.14239190927925974</v>
      </c>
      <c r="BB77">
        <v>0.14120358109174116</v>
      </c>
      <c r="BC77">
        <v>0.16217771353549021</v>
      </c>
      <c r="BD77">
        <v>0.22288401265538579</v>
      </c>
      <c r="BE77">
        <v>0.18239024145788538</v>
      </c>
      <c r="BF77">
        <v>9.440445479454318E-2</v>
      </c>
      <c r="BG77">
        <v>0.11009929920428611</v>
      </c>
      <c r="BH77">
        <v>0.10192287706348428</v>
      </c>
      <c r="BR77" t="s">
        <v>319</v>
      </c>
      <c r="BS77">
        <v>0.57374757555405842</v>
      </c>
      <c r="BT77">
        <v>0.56709211456228992</v>
      </c>
      <c r="BU77">
        <v>0.58395755832735652</v>
      </c>
      <c r="BV77">
        <v>0.44462691219815714</v>
      </c>
      <c r="BW77">
        <v>0.48314706892470738</v>
      </c>
      <c r="BX77">
        <v>0.43916629855056766</v>
      </c>
      <c r="BY77">
        <v>0.23106390092715678</v>
      </c>
      <c r="BZ77">
        <v>0.26754077644963437</v>
      </c>
      <c r="CA77">
        <v>0.2660144634819821</v>
      </c>
      <c r="CB77">
        <v>0.49619505146274046</v>
      </c>
      <c r="CC77">
        <v>0.50220147541727622</v>
      </c>
      <c r="CD77">
        <v>0.51231065769340534</v>
      </c>
      <c r="CF77" t="s">
        <v>341</v>
      </c>
      <c r="CG77" t="s">
        <v>108</v>
      </c>
      <c r="CH77" t="s">
        <v>109</v>
      </c>
      <c r="CI77">
        <v>0.67282971827125659</v>
      </c>
    </row>
    <row r="78" spans="2:87" x14ac:dyDescent="0.45">
      <c r="B78" t="s">
        <v>321</v>
      </c>
      <c r="C78" t="s">
        <v>99</v>
      </c>
      <c r="D78">
        <v>0.28439875427422973</v>
      </c>
      <c r="E78">
        <v>0.28600369708661133</v>
      </c>
      <c r="F78">
        <v>0.29835686703222242</v>
      </c>
      <c r="G78">
        <v>0.37264544465564164</v>
      </c>
      <c r="H78">
        <v>0.33660930062413846</v>
      </c>
      <c r="I78">
        <v>0.36542349824283632</v>
      </c>
      <c r="J78">
        <v>0.39867330133708384</v>
      </c>
      <c r="K78">
        <v>0.40884007534960826</v>
      </c>
      <c r="L78">
        <v>0.36795121843904771</v>
      </c>
      <c r="M78">
        <v>0.30434190187613774</v>
      </c>
      <c r="N78">
        <v>0.31277299067979236</v>
      </c>
      <c r="O78">
        <v>0.2938112431854713</v>
      </c>
      <c r="Q78" t="s">
        <v>321</v>
      </c>
      <c r="R78" t="s">
        <v>100</v>
      </c>
      <c r="S78">
        <v>1.5460945772370184E-2</v>
      </c>
      <c r="T78">
        <v>1.8077719527595414E-2</v>
      </c>
      <c r="U78">
        <v>1.4694868737149822E-2</v>
      </c>
      <c r="V78">
        <v>1.8162673835510845E-2</v>
      </c>
      <c r="W78">
        <v>3.0724275335937416E-2</v>
      </c>
      <c r="X78">
        <v>1.6997763043122959E-2</v>
      </c>
      <c r="Y78">
        <v>4.0699447961315922E-2</v>
      </c>
      <c r="Z78">
        <v>3.5564071699572923E-2</v>
      </c>
      <c r="AA78">
        <v>2.1172481846223206E-2</v>
      </c>
      <c r="AB78">
        <v>3.0130183170975121E-2</v>
      </c>
      <c r="AC78">
        <v>2.7555050275514748E-2</v>
      </c>
      <c r="AD78">
        <v>2.3721825865844974E-2</v>
      </c>
      <c r="AF78" t="s">
        <v>321</v>
      </c>
      <c r="AG78" t="s">
        <v>101</v>
      </c>
      <c r="AH78">
        <v>1.8143280355029504E-2</v>
      </c>
      <c r="AI78">
        <v>2.1882213496939348E-2</v>
      </c>
      <c r="AJ78">
        <v>1.5983728899786456E-2</v>
      </c>
      <c r="AK78">
        <v>2.5433527260569574E-2</v>
      </c>
      <c r="AL78">
        <v>1.9723025511094738E-2</v>
      </c>
      <c r="AM78">
        <v>6.0897080817123715E-2</v>
      </c>
      <c r="AN78">
        <v>5.5890766306934549E-2</v>
      </c>
      <c r="AO78">
        <v>6.0245235280738878E-2</v>
      </c>
      <c r="AP78">
        <v>2.6988125419392332E-2</v>
      </c>
      <c r="AQ78">
        <v>3.7801744576768333E-2</v>
      </c>
      <c r="AR78">
        <v>3.0468038748081828E-2</v>
      </c>
      <c r="AS78">
        <v>2.5717701799232755E-2</v>
      </c>
      <c r="AU78" t="s">
        <v>321</v>
      </c>
      <c r="AV78" t="s">
        <v>102</v>
      </c>
      <c r="AW78">
        <v>0.12200530362009754</v>
      </c>
      <c r="AX78">
        <v>0.11960848468137533</v>
      </c>
      <c r="AY78">
        <v>0.1357117254321184</v>
      </c>
      <c r="AZ78">
        <v>0.18497417601978272</v>
      </c>
      <c r="BA78">
        <v>0.15817422228168165</v>
      </c>
      <c r="BB78">
        <v>0.1500299299923516</v>
      </c>
      <c r="BC78">
        <v>0.17568235677415869</v>
      </c>
      <c r="BD78">
        <v>0.19111841643073671</v>
      </c>
      <c r="BE78">
        <v>0.21493743045267519</v>
      </c>
      <c r="BF78">
        <v>0.11252566033679023</v>
      </c>
      <c r="BG78">
        <v>0.12730248636692343</v>
      </c>
      <c r="BH78">
        <v>0.12187282008494309</v>
      </c>
      <c r="BR78" t="s">
        <v>321</v>
      </c>
      <c r="BS78">
        <v>0.53504600609792763</v>
      </c>
      <c r="BT78">
        <v>0.5078739008371681</v>
      </c>
      <c r="BU78">
        <v>0.52075844713769237</v>
      </c>
      <c r="BV78">
        <v>0.35836761676327239</v>
      </c>
      <c r="BW78">
        <v>0.3887691097020281</v>
      </c>
      <c r="BX78">
        <v>0.35746152095209005</v>
      </c>
      <c r="BY78">
        <v>0.16053186758472873</v>
      </c>
      <c r="BZ78">
        <v>0.20942975043153558</v>
      </c>
      <c r="CA78">
        <v>0.17774683087066986</v>
      </c>
      <c r="CB78">
        <v>0.41860299896613529</v>
      </c>
      <c r="CC78">
        <v>0.42761929358584866</v>
      </c>
      <c r="CD78">
        <v>0.42563693584557044</v>
      </c>
      <c r="CF78" t="s">
        <v>342</v>
      </c>
      <c r="CG78" t="s">
        <v>108</v>
      </c>
      <c r="CH78" t="s">
        <v>109</v>
      </c>
      <c r="CI78">
        <v>0.66041555120354622</v>
      </c>
    </row>
    <row r="79" spans="2:87" x14ac:dyDescent="0.45">
      <c r="B79" t="s">
        <v>323</v>
      </c>
      <c r="C79" t="s">
        <v>99</v>
      </c>
      <c r="D79">
        <v>0.26654177524349065</v>
      </c>
      <c r="E79">
        <v>0.2748298516690752</v>
      </c>
      <c r="F79">
        <v>0.2618604237306823</v>
      </c>
      <c r="G79">
        <v>0.30556860046690049</v>
      </c>
      <c r="H79">
        <v>0.3029577982741552</v>
      </c>
      <c r="I79">
        <v>0.28333002223517245</v>
      </c>
      <c r="J79">
        <v>0.39180164653766864</v>
      </c>
      <c r="K79">
        <v>0.40359282224284754</v>
      </c>
      <c r="L79">
        <v>0.36753708092888954</v>
      </c>
      <c r="M79">
        <v>0.27433417660304249</v>
      </c>
      <c r="N79">
        <v>0.26960570425615732</v>
      </c>
      <c r="O79">
        <v>0.24752219086197333</v>
      </c>
      <c r="Q79" t="s">
        <v>323</v>
      </c>
      <c r="R79" t="s">
        <v>100</v>
      </c>
      <c r="S79">
        <v>7.1469904493518558E-3</v>
      </c>
      <c r="T79">
        <v>8.7325413960706085E-3</v>
      </c>
      <c r="U79">
        <v>1.6502755423377587E-2</v>
      </c>
      <c r="V79">
        <v>1.1506650324842172E-2</v>
      </c>
      <c r="W79">
        <v>1.67590929211744E-2</v>
      </c>
      <c r="X79">
        <v>8.0042417627205868E-3</v>
      </c>
      <c r="Y79">
        <v>3.486480606439199E-2</v>
      </c>
      <c r="Z79">
        <v>1.2901240295164184E-2</v>
      </c>
      <c r="AA79">
        <v>2.0833713174736649E-2</v>
      </c>
      <c r="AB79">
        <v>2.1255108771238929E-2</v>
      </c>
      <c r="AC79">
        <v>2.6300148374034889E-2</v>
      </c>
      <c r="AD79">
        <v>2.2813267735413194E-2</v>
      </c>
      <c r="AF79" t="s">
        <v>323</v>
      </c>
      <c r="AG79" t="s">
        <v>101</v>
      </c>
      <c r="AH79">
        <v>1.9555522481716648E-2</v>
      </c>
      <c r="AI79">
        <v>1.1616883163719748E-2</v>
      </c>
      <c r="AJ79">
        <v>1.3332069114721436E-2</v>
      </c>
      <c r="AK79">
        <v>2.0034925868761964E-2</v>
      </c>
      <c r="AL79">
        <v>1.9477304523392639E-2</v>
      </c>
      <c r="AM79">
        <v>1.5337978993297122E-2</v>
      </c>
      <c r="AN79">
        <v>5.8006391160601189E-2</v>
      </c>
      <c r="AO79">
        <v>4.3183548709848987E-2</v>
      </c>
      <c r="AP79">
        <v>1.3657590541454767E-2</v>
      </c>
      <c r="AQ79">
        <v>3.7493270082054428E-2</v>
      </c>
      <c r="AR79">
        <v>2.2708920755261718E-2</v>
      </c>
      <c r="AS79">
        <v>1.2722361930653868E-2</v>
      </c>
      <c r="AU79" t="s">
        <v>323</v>
      </c>
      <c r="AV79" t="s">
        <v>102</v>
      </c>
      <c r="AW79">
        <v>0.1186994314108155</v>
      </c>
      <c r="AX79">
        <v>0.12968234827214906</v>
      </c>
      <c r="AY79">
        <v>0.10963141598296812</v>
      </c>
      <c r="AZ79">
        <v>0.15469330895586109</v>
      </c>
      <c r="BA79">
        <v>0.13429796522170334</v>
      </c>
      <c r="BB79">
        <v>0.1498328487380865</v>
      </c>
      <c r="BC79">
        <v>0.17532367275844538</v>
      </c>
      <c r="BD79">
        <v>0.22397400354561536</v>
      </c>
      <c r="BE79">
        <v>0.21585865093551515</v>
      </c>
      <c r="BF79">
        <v>9.7727212655181167E-2</v>
      </c>
      <c r="BG79">
        <v>0.1089808389505581</v>
      </c>
      <c r="BH79">
        <v>0.10685749322003622</v>
      </c>
      <c r="BR79" t="s">
        <v>323</v>
      </c>
      <c r="BS79">
        <v>0.54827588965790941</v>
      </c>
      <c r="BT79">
        <v>0.54040208311959081</v>
      </c>
      <c r="BU79">
        <v>0.56154518708604018</v>
      </c>
      <c r="BV79">
        <v>0.42905828255765144</v>
      </c>
      <c r="BW79">
        <v>0.47764717242600441</v>
      </c>
      <c r="BX79">
        <v>0.44139696358092723</v>
      </c>
      <c r="BY79">
        <v>0.21456440979164745</v>
      </c>
      <c r="BZ79">
        <v>0.26474730675337604</v>
      </c>
      <c r="CA79">
        <v>0.23558550227037664</v>
      </c>
      <c r="CB79">
        <v>0.43873539358233055</v>
      </c>
      <c r="CC79">
        <v>0.46510791154612574</v>
      </c>
      <c r="CD79">
        <v>0.45868495491535105</v>
      </c>
      <c r="CF79" t="s">
        <v>343</v>
      </c>
      <c r="CG79" t="s">
        <v>108</v>
      </c>
      <c r="CH79" t="s">
        <v>109</v>
      </c>
      <c r="CI79">
        <v>0.66750330974853023</v>
      </c>
    </row>
    <row r="80" spans="2:87" x14ac:dyDescent="0.45">
      <c r="B80" t="s">
        <v>325</v>
      </c>
      <c r="C80" t="s">
        <v>99</v>
      </c>
      <c r="D80">
        <v>0.30290123038576494</v>
      </c>
      <c r="E80">
        <v>0.29876343162048813</v>
      </c>
      <c r="F80">
        <v>0.28171705677058601</v>
      </c>
      <c r="G80">
        <v>0.32023794722251342</v>
      </c>
      <c r="H80">
        <v>0.31655760090606805</v>
      </c>
      <c r="I80">
        <v>0.30450864226858593</v>
      </c>
      <c r="J80">
        <v>0.39052236187906747</v>
      </c>
      <c r="K80">
        <v>0.40359785560554473</v>
      </c>
      <c r="L80">
        <v>0.36496388024730397</v>
      </c>
      <c r="M80">
        <v>0.2897544470000451</v>
      </c>
      <c r="N80">
        <v>0.29683746122913995</v>
      </c>
      <c r="O80">
        <v>0.27430802271284854</v>
      </c>
      <c r="Q80" t="s">
        <v>325</v>
      </c>
      <c r="R80" t="s">
        <v>100</v>
      </c>
      <c r="S80">
        <v>1.3021953304457833E-2</v>
      </c>
      <c r="T80">
        <v>6.8542138921447136E-3</v>
      </c>
      <c r="U80">
        <v>1.0954417295751922E-2</v>
      </c>
      <c r="V80">
        <v>1.9847089499467618E-2</v>
      </c>
      <c r="W80">
        <v>2.1573625280295966E-2</v>
      </c>
      <c r="X80">
        <v>1.2998473015883558E-2</v>
      </c>
      <c r="Y80">
        <v>4.1278906529830628E-2</v>
      </c>
      <c r="Z80">
        <v>2.6141700038346462E-2</v>
      </c>
      <c r="AA80">
        <v>9.933498965093171E-3</v>
      </c>
      <c r="AB80">
        <v>2.328289185883653E-2</v>
      </c>
      <c r="AC80">
        <v>3.1505196843449254E-2</v>
      </c>
      <c r="AD80">
        <v>1.4094148593133271E-2</v>
      </c>
      <c r="AF80" t="s">
        <v>325</v>
      </c>
      <c r="AG80" t="s">
        <v>101</v>
      </c>
      <c r="AH80">
        <v>1.8405636716518538E-2</v>
      </c>
      <c r="AI80">
        <v>1.3436319975710213E-2</v>
      </c>
      <c r="AJ80">
        <v>1.1615653897195705E-2</v>
      </c>
      <c r="AK80">
        <v>1.0853973593420012E-2</v>
      </c>
      <c r="AL80">
        <v>2.9796126255557553E-2</v>
      </c>
      <c r="AM80">
        <v>2.3380592498794411E-2</v>
      </c>
      <c r="AN80">
        <v>3.7804196213212286E-2</v>
      </c>
      <c r="AO80">
        <v>5.9102626134077588E-2</v>
      </c>
      <c r="AP80">
        <v>1.4368226173618321E-2</v>
      </c>
      <c r="AQ80">
        <v>2.1899426241439892E-2</v>
      </c>
      <c r="AR80">
        <v>3.5746247543866079E-2</v>
      </c>
      <c r="AS80">
        <v>3.1209132218234452E-2</v>
      </c>
      <c r="AU80" t="s">
        <v>325</v>
      </c>
      <c r="AV80" t="s">
        <v>102</v>
      </c>
      <c r="AW80">
        <v>0.14447803090187639</v>
      </c>
      <c r="AX80">
        <v>0.14954228561193342</v>
      </c>
      <c r="AY80">
        <v>0.13569045681836958</v>
      </c>
      <c r="AZ80">
        <v>0.17560128977016307</v>
      </c>
      <c r="BA80">
        <v>0.12606411265203574</v>
      </c>
      <c r="BB80">
        <v>0.15775444643335829</v>
      </c>
      <c r="BC80">
        <v>0.18050883882871707</v>
      </c>
      <c r="BD80">
        <v>0.18555122049332046</v>
      </c>
      <c r="BE80">
        <v>0.23850649206811647</v>
      </c>
      <c r="BF80">
        <v>0.12680488872517631</v>
      </c>
      <c r="BG80">
        <v>0.10325619505547277</v>
      </c>
      <c r="BH80">
        <v>0.11635632145755601</v>
      </c>
      <c r="BR80" t="s">
        <v>325</v>
      </c>
      <c r="BS80">
        <v>0.50342796690690927</v>
      </c>
      <c r="BT80">
        <v>0.50246712537947957</v>
      </c>
      <c r="BU80">
        <v>0.52433177977581458</v>
      </c>
      <c r="BV80">
        <v>0.38372366784742457</v>
      </c>
      <c r="BW80">
        <v>0.46100517108342715</v>
      </c>
      <c r="BX80">
        <v>0.39259390959584922</v>
      </c>
      <c r="BY80">
        <v>0.18466030869847</v>
      </c>
      <c r="BZ80">
        <v>0.25143602467863874</v>
      </c>
      <c r="CA80">
        <v>0.21401657961411716</v>
      </c>
      <c r="CB80">
        <v>0.42049757143178534</v>
      </c>
      <c r="CC80">
        <v>0.44457814266870382</v>
      </c>
      <c r="CD80">
        <v>0.44425162088894826</v>
      </c>
      <c r="CF80" t="s">
        <v>344</v>
      </c>
      <c r="CG80" t="s">
        <v>108</v>
      </c>
      <c r="CH80" t="s">
        <v>109</v>
      </c>
      <c r="CI80">
        <v>0.69163507097860866</v>
      </c>
    </row>
    <row r="81" spans="2:87" x14ac:dyDescent="0.45">
      <c r="B81" t="s">
        <v>327</v>
      </c>
      <c r="C81" t="s">
        <v>99</v>
      </c>
      <c r="D81">
        <v>0.34219130752748517</v>
      </c>
      <c r="E81">
        <v>0.33443857610784278</v>
      </c>
      <c r="F81">
        <v>0.3493296189084531</v>
      </c>
      <c r="G81">
        <v>0.38410516878548323</v>
      </c>
      <c r="H81">
        <v>0.33833961844442212</v>
      </c>
      <c r="I81">
        <v>0.35001450451873023</v>
      </c>
      <c r="J81">
        <v>0.43335610320085455</v>
      </c>
      <c r="K81">
        <v>0.41068807721689005</v>
      </c>
      <c r="L81">
        <v>0.38982014061295844</v>
      </c>
      <c r="M81">
        <v>0.36102458063351711</v>
      </c>
      <c r="N81">
        <v>0.33792047540050696</v>
      </c>
      <c r="O81">
        <v>0.337800728974609</v>
      </c>
      <c r="Q81" t="s">
        <v>327</v>
      </c>
      <c r="R81" t="s">
        <v>100</v>
      </c>
      <c r="S81">
        <v>1.3914798023224827E-2</v>
      </c>
      <c r="T81">
        <v>2.3087434225532496E-2</v>
      </c>
      <c r="U81">
        <v>2.6094552249450231E-2</v>
      </c>
      <c r="V81">
        <v>1.9826627085714827E-2</v>
      </c>
      <c r="W81">
        <v>2.4612477777267185E-2</v>
      </c>
      <c r="X81">
        <v>2.3716204509855496E-2</v>
      </c>
      <c r="Y81">
        <v>3.1767991260424733E-2</v>
      </c>
      <c r="Z81">
        <v>1.9380915022147487E-2</v>
      </c>
      <c r="AA81">
        <v>9.9500310234521758E-3</v>
      </c>
      <c r="AB81">
        <v>3.3657111987379508E-2</v>
      </c>
      <c r="AC81">
        <v>2.278944979681782E-2</v>
      </c>
      <c r="AD81">
        <v>2.2405585458776626E-2</v>
      </c>
      <c r="AF81" t="s">
        <v>327</v>
      </c>
      <c r="AG81" t="s">
        <v>101</v>
      </c>
      <c r="AH81">
        <v>2.7784787026038725E-2</v>
      </c>
      <c r="AI81">
        <v>1.9672276316550795E-2</v>
      </c>
      <c r="AJ81">
        <v>3.2893057658945089E-2</v>
      </c>
      <c r="AK81">
        <v>3.7920672792833385E-2</v>
      </c>
      <c r="AL81">
        <v>2.3300232495467352E-2</v>
      </c>
      <c r="AM81">
        <v>4.2856776635228938E-2</v>
      </c>
      <c r="AN81">
        <v>2.1616342380359664E-2</v>
      </c>
      <c r="AO81">
        <v>5.7927989105693418E-2</v>
      </c>
      <c r="AP81">
        <v>1.2931625193834369E-2</v>
      </c>
      <c r="AQ81">
        <v>4.2905966546642374E-2</v>
      </c>
      <c r="AR81">
        <v>2.5731069936411041E-2</v>
      </c>
      <c r="AS81">
        <v>2.5693796255131171E-2</v>
      </c>
      <c r="AU81" t="s">
        <v>327</v>
      </c>
      <c r="AV81" t="s">
        <v>102</v>
      </c>
      <c r="AW81">
        <v>0.16192124918251782</v>
      </c>
      <c r="AX81">
        <v>0.15608907619225024</v>
      </c>
      <c r="AY81">
        <v>0.14230881404803175</v>
      </c>
      <c r="AZ81">
        <v>0.20177524333933849</v>
      </c>
      <c r="BA81">
        <v>0.1749285733520628</v>
      </c>
      <c r="BB81">
        <v>0.1649186535461068</v>
      </c>
      <c r="BC81">
        <v>0.25184989533698166</v>
      </c>
      <c r="BD81">
        <v>0.20296822957756744</v>
      </c>
      <c r="BE81">
        <v>0.2623133363151266</v>
      </c>
      <c r="BF81">
        <v>0.15187693689632711</v>
      </c>
      <c r="BG81">
        <v>0.15289973252627026</v>
      </c>
      <c r="BH81">
        <v>0.1583426480637504</v>
      </c>
      <c r="BR81" t="s">
        <v>327</v>
      </c>
      <c r="BS81">
        <v>0.41768730319820491</v>
      </c>
      <c r="BT81">
        <v>0.40188055787224963</v>
      </c>
      <c r="BU81">
        <v>0.41675940078038803</v>
      </c>
      <c r="BV81">
        <v>0.28900002365714517</v>
      </c>
      <c r="BW81">
        <v>0.36178598023168285</v>
      </c>
      <c r="BX81">
        <v>0.31717803854957149</v>
      </c>
      <c r="BY81">
        <v>0.12950545897121582</v>
      </c>
      <c r="BZ81">
        <v>0.20632423181420306</v>
      </c>
      <c r="CA81">
        <v>0.15856544359216107</v>
      </c>
      <c r="CB81">
        <v>0.30519432366531879</v>
      </c>
      <c r="CC81">
        <v>0.3542082073725199</v>
      </c>
      <c r="CD81">
        <v>0.31466918874184935</v>
      </c>
      <c r="CF81" t="s">
        <v>345</v>
      </c>
      <c r="CG81" t="s">
        <v>108</v>
      </c>
      <c r="CH81" t="s">
        <v>109</v>
      </c>
      <c r="CI81">
        <v>0.68291436572973663</v>
      </c>
    </row>
    <row r="82" spans="2:87" x14ac:dyDescent="0.45">
      <c r="B82" t="s">
        <v>329</v>
      </c>
      <c r="C82" t="s">
        <v>99</v>
      </c>
      <c r="D82">
        <v>0.30591545057931491</v>
      </c>
      <c r="E82">
        <v>0.31370192117502893</v>
      </c>
      <c r="F82">
        <v>0.31300783695772405</v>
      </c>
      <c r="G82">
        <v>0.3913254997743823</v>
      </c>
      <c r="H82">
        <v>0.35629542660244939</v>
      </c>
      <c r="I82">
        <v>0.35105977626397061</v>
      </c>
      <c r="J82">
        <v>0.41159148122602002</v>
      </c>
      <c r="K82">
        <v>0.4070240429802649</v>
      </c>
      <c r="L82">
        <v>0.40158630306101156</v>
      </c>
      <c r="M82">
        <v>0.34893676766011344</v>
      </c>
      <c r="N82">
        <v>0.32503989272029149</v>
      </c>
      <c r="O82">
        <v>0.31758327585892726</v>
      </c>
      <c r="Q82" t="s">
        <v>329</v>
      </c>
      <c r="R82" t="s">
        <v>100</v>
      </c>
      <c r="S82">
        <v>9.9034182585521682E-3</v>
      </c>
      <c r="T82">
        <v>2.1083945182712793E-2</v>
      </c>
      <c r="U82">
        <v>1.5912649888130567E-2</v>
      </c>
      <c r="V82">
        <v>1.2822242110900458E-2</v>
      </c>
      <c r="W82">
        <v>2.7243364625113783E-2</v>
      </c>
      <c r="X82">
        <v>1.9236664376829117E-2</v>
      </c>
      <c r="Y82">
        <v>2.499520400265624E-2</v>
      </c>
      <c r="Z82">
        <v>1.2899534076196512E-2</v>
      </c>
      <c r="AA82">
        <v>8.0866944973241386E-3</v>
      </c>
      <c r="AB82">
        <v>2.2022821642762858E-2</v>
      </c>
      <c r="AC82">
        <v>1.8336383939754317E-2</v>
      </c>
      <c r="AD82">
        <v>2.5458697452808179E-2</v>
      </c>
      <c r="AF82" t="s">
        <v>329</v>
      </c>
      <c r="AG82" t="s">
        <v>101</v>
      </c>
      <c r="AH82">
        <v>1.9090721704802079E-2</v>
      </c>
      <c r="AI82">
        <v>1.3122446581841843E-2</v>
      </c>
      <c r="AJ82">
        <v>3.079622645770981E-2</v>
      </c>
      <c r="AK82">
        <v>2.769815190112505E-2</v>
      </c>
      <c r="AL82">
        <v>2.0101423853042769E-2</v>
      </c>
      <c r="AM82">
        <v>3.6898886169163717E-2</v>
      </c>
      <c r="AN82">
        <v>1.7061184974840545E-2</v>
      </c>
      <c r="AO82">
        <v>2.8054061742793519E-2</v>
      </c>
      <c r="AP82">
        <v>2.7252656232353246E-3</v>
      </c>
      <c r="AQ82">
        <v>4.965247154448265E-2</v>
      </c>
      <c r="AR82">
        <v>1.7626514107950235E-2</v>
      </c>
      <c r="AS82">
        <v>2.7448653001054247E-2</v>
      </c>
      <c r="AU82" t="s">
        <v>329</v>
      </c>
      <c r="AV82" t="s">
        <v>102</v>
      </c>
      <c r="AW82">
        <v>0.14613134204126926</v>
      </c>
      <c r="AX82">
        <v>0.14628738488579726</v>
      </c>
      <c r="AY82">
        <v>0.12280912816301795</v>
      </c>
      <c r="AZ82">
        <v>0.21902693112229468</v>
      </c>
      <c r="BA82">
        <v>0.18232367724794252</v>
      </c>
      <c r="BB82">
        <v>0.17243146166383538</v>
      </c>
      <c r="BC82">
        <v>0.24327414730990279</v>
      </c>
      <c r="BD82">
        <v>0.24154959458169897</v>
      </c>
      <c r="BE82">
        <v>0.28471290202725552</v>
      </c>
      <c r="BF82">
        <v>0.14986105124775093</v>
      </c>
      <c r="BG82">
        <v>0.15842454861219121</v>
      </c>
      <c r="BH82">
        <v>0.13773035998291205</v>
      </c>
      <c r="BR82" t="s">
        <v>329</v>
      </c>
      <c r="BS82">
        <v>0.47286443206116224</v>
      </c>
      <c r="BT82">
        <v>0.44412026306005103</v>
      </c>
      <c r="BU82">
        <v>0.47327230017284277</v>
      </c>
      <c r="BV82">
        <v>0.3020763575518986</v>
      </c>
      <c r="BW82">
        <v>0.36373339595418708</v>
      </c>
      <c r="BX82">
        <v>0.3419494774961368</v>
      </c>
      <c r="BY82">
        <v>0.19190556807047127</v>
      </c>
      <c r="BZ82">
        <v>0.26343110390451119</v>
      </c>
      <c r="CA82">
        <v>0.20692906299054936</v>
      </c>
      <c r="CB82">
        <v>0.35804690827035057</v>
      </c>
      <c r="CC82">
        <v>0.39921646378111714</v>
      </c>
      <c r="CD82">
        <v>0.3731304473277825</v>
      </c>
      <c r="CF82" t="s">
        <v>346</v>
      </c>
      <c r="CG82" t="s">
        <v>108</v>
      </c>
      <c r="CH82" t="s">
        <v>109</v>
      </c>
      <c r="CI82">
        <v>0.66919882021584787</v>
      </c>
    </row>
    <row r="83" spans="2:87" x14ac:dyDescent="0.45">
      <c r="B83" t="s">
        <v>331</v>
      </c>
      <c r="C83" t="s">
        <v>99</v>
      </c>
      <c r="D83">
        <v>0.23098868545076814</v>
      </c>
      <c r="E83">
        <v>0.23394006521491909</v>
      </c>
      <c r="F83">
        <v>0.23143392483292954</v>
      </c>
      <c r="G83">
        <v>0.34184385199799977</v>
      </c>
      <c r="H83">
        <v>0.33817837634883596</v>
      </c>
      <c r="I83">
        <v>0.29054852662308306</v>
      </c>
      <c r="J83">
        <v>0.31806301354439209</v>
      </c>
      <c r="K83">
        <v>0.33514975042867928</v>
      </c>
      <c r="L83">
        <v>0.3279006823239296</v>
      </c>
      <c r="M83">
        <v>0.26295297496180992</v>
      </c>
      <c r="N83">
        <v>0.25365333507027166</v>
      </c>
      <c r="O83">
        <v>0.23896130317077532</v>
      </c>
      <c r="Q83" t="s">
        <v>331</v>
      </c>
      <c r="R83" t="s">
        <v>100</v>
      </c>
      <c r="S83">
        <v>1.0964381949027576E-2</v>
      </c>
      <c r="T83">
        <v>1.2768091162395818E-2</v>
      </c>
      <c r="U83">
        <v>1.363099331329976E-2</v>
      </c>
      <c r="V83">
        <v>1.3460484817338402E-2</v>
      </c>
      <c r="W83">
        <v>2.066871806668891E-2</v>
      </c>
      <c r="X83">
        <v>1.4226145551651548E-2</v>
      </c>
      <c r="Y83">
        <v>1.9408170119809897E-2</v>
      </c>
      <c r="Z83">
        <v>1.203357785673342E-2</v>
      </c>
      <c r="AA83">
        <v>2.0498772123314246E-2</v>
      </c>
      <c r="AB83">
        <v>9.8090665547871467E-3</v>
      </c>
      <c r="AC83">
        <v>1.1884830157514377E-2</v>
      </c>
      <c r="AD83">
        <v>1.5056355599418227E-2</v>
      </c>
      <c r="AF83" t="s">
        <v>331</v>
      </c>
      <c r="AG83" t="s">
        <v>101</v>
      </c>
      <c r="AH83">
        <v>1.1432446035987821E-2</v>
      </c>
      <c r="AI83">
        <v>1.1906894303481672E-2</v>
      </c>
      <c r="AJ83">
        <v>1.4090980499508894E-2</v>
      </c>
      <c r="AK83">
        <v>2.3603795713693698E-2</v>
      </c>
      <c r="AL83">
        <v>1.6865251672874105E-2</v>
      </c>
      <c r="AM83">
        <v>3.4879862873971518E-2</v>
      </c>
      <c r="AN83">
        <v>2.2775774015097054E-2</v>
      </c>
      <c r="AO83">
        <v>2.7219756249527056E-2</v>
      </c>
      <c r="AP83">
        <v>2.5318391082601626E-2</v>
      </c>
      <c r="AQ83">
        <v>2.4427209671119592E-2</v>
      </c>
      <c r="AR83">
        <v>1.0020154660339823E-2</v>
      </c>
      <c r="AS83">
        <v>1.0880314783695819E-2</v>
      </c>
      <c r="AU83" t="s">
        <v>331</v>
      </c>
      <c r="AV83" t="s">
        <v>102</v>
      </c>
      <c r="AW83">
        <v>8.3447915440328022E-2</v>
      </c>
      <c r="AX83">
        <v>8.9957818397962019E-2</v>
      </c>
      <c r="AY83">
        <v>8.0809203950469241E-2</v>
      </c>
      <c r="AZ83">
        <v>0.16624038336043867</v>
      </c>
      <c r="BA83">
        <v>0.1552824480389399</v>
      </c>
      <c r="BB83">
        <v>0.11945111583944625</v>
      </c>
      <c r="BC83">
        <v>0.16303262560484014</v>
      </c>
      <c r="BD83">
        <v>0.17019131009761193</v>
      </c>
      <c r="BE83">
        <v>0.17837286687393161</v>
      </c>
      <c r="BF83">
        <v>0.10097930294628074</v>
      </c>
      <c r="BG83">
        <v>0.11302738199730841</v>
      </c>
      <c r="BH83">
        <v>9.4398161794683605E-2</v>
      </c>
      <c r="BR83" t="s">
        <v>331</v>
      </c>
      <c r="BS83">
        <v>0.65334920765359061</v>
      </c>
      <c r="BT83">
        <v>0.62585976304880153</v>
      </c>
      <c r="BU83">
        <v>0.64538656042375331</v>
      </c>
      <c r="BV83">
        <v>0.45746037242211007</v>
      </c>
      <c r="BW83">
        <v>0.48610385423321384</v>
      </c>
      <c r="BX83">
        <v>0.5126891874895898</v>
      </c>
      <c r="BY83">
        <v>0.36510974290313269</v>
      </c>
      <c r="BZ83">
        <v>0.3941726537604861</v>
      </c>
      <c r="CA83">
        <v>0.35808076168533337</v>
      </c>
      <c r="CB83">
        <v>0.57691778882744238</v>
      </c>
      <c r="CC83">
        <v>0.58082207179795386</v>
      </c>
      <c r="CD83">
        <v>0.59795185173732535</v>
      </c>
      <c r="CF83" t="s">
        <v>347</v>
      </c>
      <c r="CG83" t="s">
        <v>108</v>
      </c>
      <c r="CH83" t="s">
        <v>109</v>
      </c>
      <c r="CI83">
        <v>0.67191489119797065</v>
      </c>
    </row>
    <row r="84" spans="2:87" x14ac:dyDescent="0.45">
      <c r="B84" t="s">
        <v>333</v>
      </c>
      <c r="C84" t="s">
        <v>99</v>
      </c>
      <c r="D84">
        <v>0.19770132841876989</v>
      </c>
      <c r="E84">
        <v>0.19045079278754923</v>
      </c>
      <c r="F84">
        <v>0.17822868900204566</v>
      </c>
      <c r="G84">
        <v>0.29222885578179825</v>
      </c>
      <c r="H84">
        <v>0.30283982555981159</v>
      </c>
      <c r="I84">
        <v>0.26837902254967172</v>
      </c>
      <c r="J84">
        <v>0.28586841545281255</v>
      </c>
      <c r="K84">
        <v>0.29267603417032823</v>
      </c>
      <c r="L84">
        <v>0.30553861270012111</v>
      </c>
      <c r="M84">
        <v>0.20788342791370609</v>
      </c>
      <c r="N84">
        <v>0.2177834340407776</v>
      </c>
      <c r="O84">
        <v>0.20607098059059764</v>
      </c>
      <c r="Q84" t="s">
        <v>333</v>
      </c>
      <c r="R84" t="s">
        <v>100</v>
      </c>
      <c r="S84">
        <v>9.3672289199037174E-3</v>
      </c>
      <c r="T84">
        <v>9.2422306955098239E-3</v>
      </c>
      <c r="U84">
        <v>1.3899772391458501E-2</v>
      </c>
      <c r="V84">
        <v>1.1740309356730374E-2</v>
      </c>
      <c r="W84">
        <v>1.5863626169629368E-2</v>
      </c>
      <c r="X84">
        <v>1.5253079634533519E-2</v>
      </c>
      <c r="Y84">
        <v>1.5003450882701526E-2</v>
      </c>
      <c r="Z84">
        <v>1.5616098342694028E-2</v>
      </c>
      <c r="AA84">
        <v>1.2714311638717293E-2</v>
      </c>
      <c r="AB84">
        <v>5.8508125816445818E-3</v>
      </c>
      <c r="AC84">
        <v>7.7731493757796956E-3</v>
      </c>
      <c r="AD84">
        <v>1.2615072001644323E-2</v>
      </c>
      <c r="AF84" t="s">
        <v>333</v>
      </c>
      <c r="AG84" t="s">
        <v>101</v>
      </c>
      <c r="AH84">
        <v>1.5091010167715056E-2</v>
      </c>
      <c r="AI84">
        <v>1.1226578910515239E-2</v>
      </c>
      <c r="AJ84">
        <v>7.8635244798749577E-3</v>
      </c>
      <c r="AK84">
        <v>1.7467932230087725E-2</v>
      </c>
      <c r="AL84">
        <v>1.4301838932497712E-2</v>
      </c>
      <c r="AM84">
        <v>2.4997558998002083E-2</v>
      </c>
      <c r="AN84">
        <v>1.5956988568561356E-2</v>
      </c>
      <c r="AO84">
        <v>2.3634209904304249E-2</v>
      </c>
      <c r="AP84">
        <v>2.3903529551712113E-2</v>
      </c>
      <c r="AQ84">
        <v>1.2293844231400959E-2</v>
      </c>
      <c r="AR84">
        <v>6.8479138643107096E-3</v>
      </c>
      <c r="AS84">
        <v>1.0903839781529732E-2</v>
      </c>
      <c r="AU84" t="s">
        <v>333</v>
      </c>
      <c r="AV84" t="s">
        <v>102</v>
      </c>
      <c r="AW84">
        <v>5.6322892668934865E-2</v>
      </c>
      <c r="AX84">
        <v>5.7550853324313006E-2</v>
      </c>
      <c r="AY84">
        <v>4.967980053710068E-2</v>
      </c>
      <c r="AZ84">
        <v>0.1174602594734577</v>
      </c>
      <c r="BA84">
        <v>0.13071074441321148</v>
      </c>
      <c r="BB84">
        <v>8.9898132228606528E-2</v>
      </c>
      <c r="BC84">
        <v>0.13706229237988127</v>
      </c>
      <c r="BD84">
        <v>0.12692617102002218</v>
      </c>
      <c r="BE84">
        <v>0.14556275494711407</v>
      </c>
      <c r="BF84">
        <v>6.9204166895460939E-2</v>
      </c>
      <c r="BG84">
        <v>8.5373206841554847E-2</v>
      </c>
      <c r="BH84">
        <v>6.6782606684408954E-2</v>
      </c>
      <c r="BR84" t="s">
        <v>333</v>
      </c>
      <c r="BS84">
        <v>0.72625769222514325</v>
      </c>
      <c r="BT84">
        <v>0.72854639313124869</v>
      </c>
      <c r="BU84">
        <v>0.74263257961357831</v>
      </c>
      <c r="BV84">
        <v>0.58648408654203765</v>
      </c>
      <c r="BW84">
        <v>0.56065879172857547</v>
      </c>
      <c r="BX84">
        <v>0.61720243206149561</v>
      </c>
      <c r="BY84">
        <v>0.49466758614161216</v>
      </c>
      <c r="BZ84">
        <v>0.49906080444231016</v>
      </c>
      <c r="CA84">
        <v>0.48398351223842762</v>
      </c>
      <c r="CB84">
        <v>0.70139143126120485</v>
      </c>
      <c r="CC84">
        <v>0.67321600753844757</v>
      </c>
      <c r="CD84">
        <v>0.69932043325497228</v>
      </c>
      <c r="CF84" t="s">
        <v>348</v>
      </c>
      <c r="CG84" t="s">
        <v>108</v>
      </c>
      <c r="CH84" t="s">
        <v>109</v>
      </c>
      <c r="CI84">
        <v>0.65993331887820361</v>
      </c>
    </row>
    <row r="85" spans="2:87" x14ac:dyDescent="0.45">
      <c r="B85" t="s">
        <v>335</v>
      </c>
      <c r="C85" t="s">
        <v>99</v>
      </c>
      <c r="D85">
        <v>0.19246139234857823</v>
      </c>
      <c r="E85">
        <v>0.21881573873525162</v>
      </c>
      <c r="F85">
        <v>0.19062350617071799</v>
      </c>
      <c r="G85">
        <v>0.3223729640413987</v>
      </c>
      <c r="H85">
        <v>0.31852787763863094</v>
      </c>
      <c r="I85">
        <v>0.30399164443198046</v>
      </c>
      <c r="J85">
        <v>0.34327884796366143</v>
      </c>
      <c r="K85">
        <v>0.3529702554944118</v>
      </c>
      <c r="L85">
        <v>0.33739903802212318</v>
      </c>
      <c r="M85">
        <v>0.28169449066987723</v>
      </c>
      <c r="N85">
        <v>0.27763059126610373</v>
      </c>
      <c r="O85">
        <v>0.27426987422528165</v>
      </c>
      <c r="Q85" t="s">
        <v>335</v>
      </c>
      <c r="R85" t="s">
        <v>100</v>
      </c>
      <c r="S85">
        <v>1.059867692657079E-2</v>
      </c>
      <c r="T85">
        <v>1.1888293753505644E-2</v>
      </c>
      <c r="U85">
        <v>8.9888799438154303E-3</v>
      </c>
      <c r="V85">
        <v>9.0776807874175351E-3</v>
      </c>
      <c r="W85">
        <v>1.6396423629777224E-2</v>
      </c>
      <c r="X85">
        <v>1.3522307433326577E-2</v>
      </c>
      <c r="Y85">
        <v>2.1811324417405978E-2</v>
      </c>
      <c r="Z85">
        <v>1.0933095245238354E-2</v>
      </c>
      <c r="AA85">
        <v>1.3698868929057426E-2</v>
      </c>
      <c r="AB85">
        <v>9.7855517349094492E-3</v>
      </c>
      <c r="AC85">
        <v>1.5789463337895916E-2</v>
      </c>
      <c r="AD85">
        <v>1.744199138668617E-2</v>
      </c>
      <c r="AF85" t="s">
        <v>335</v>
      </c>
      <c r="AG85" t="s">
        <v>101</v>
      </c>
      <c r="AH85">
        <v>1.1898276435846991E-2</v>
      </c>
      <c r="AI85">
        <v>1.5617517710305234E-2</v>
      </c>
      <c r="AJ85">
        <v>1.1217175345214258E-2</v>
      </c>
      <c r="AK85">
        <v>1.4240457956096771E-2</v>
      </c>
      <c r="AL85">
        <v>1.3600541523955581E-2</v>
      </c>
      <c r="AM85">
        <v>2.721389386757957E-2</v>
      </c>
      <c r="AN85">
        <v>3.093545498135512E-2</v>
      </c>
      <c r="AO85">
        <v>1.8712634657093663E-2</v>
      </c>
      <c r="AP85">
        <v>1.791816668489701E-2</v>
      </c>
      <c r="AQ85">
        <v>2.2382046114163445E-2</v>
      </c>
      <c r="AR85">
        <v>1.5615586468813097E-2</v>
      </c>
      <c r="AS85">
        <v>1.8407614844867599E-2</v>
      </c>
      <c r="AU85" t="s">
        <v>335</v>
      </c>
      <c r="AV85" t="s">
        <v>102</v>
      </c>
      <c r="AW85">
        <v>6.8786665552158469E-2</v>
      </c>
      <c r="AX85">
        <v>7.568926023718911E-2</v>
      </c>
      <c r="AY85">
        <v>6.7609596897645605E-2</v>
      </c>
      <c r="AZ85">
        <v>0.16022983082179656</v>
      </c>
      <c r="BA85">
        <v>0.14600432846540831</v>
      </c>
      <c r="BB85">
        <v>0.12357017337029327</v>
      </c>
      <c r="BC85">
        <v>0.16050258837401363</v>
      </c>
      <c r="BD85">
        <v>0.19125887181141052</v>
      </c>
      <c r="BE85">
        <v>0.17602576267743103</v>
      </c>
      <c r="BF85">
        <v>0.12190719664200071</v>
      </c>
      <c r="BG85">
        <v>0.10950141586348937</v>
      </c>
      <c r="BH85">
        <v>0.10782361292682613</v>
      </c>
      <c r="BR85" t="s">
        <v>335</v>
      </c>
      <c r="BS85">
        <v>0.69238170796863319</v>
      </c>
      <c r="BT85">
        <v>0.66706305966869672</v>
      </c>
      <c r="BU85">
        <v>0.7088359960919105</v>
      </c>
      <c r="BV85">
        <v>0.498414016472361</v>
      </c>
      <c r="BW85">
        <v>0.52026919160298413</v>
      </c>
      <c r="BX85">
        <v>0.53780193439725488</v>
      </c>
      <c r="BY85">
        <v>0.41844587170970721</v>
      </c>
      <c r="BZ85">
        <v>0.43791245453824912</v>
      </c>
      <c r="CA85">
        <v>0.41754868398371392</v>
      </c>
      <c r="CB85">
        <v>0.56101434590872845</v>
      </c>
      <c r="CC85">
        <v>0.58623613375012074</v>
      </c>
      <c r="CD85">
        <v>0.57870893110030308</v>
      </c>
      <c r="CF85" t="s">
        <v>349</v>
      </c>
      <c r="CG85" t="s">
        <v>108</v>
      </c>
      <c r="CH85" t="s">
        <v>109</v>
      </c>
      <c r="CI85">
        <v>0.6973261438429178</v>
      </c>
    </row>
    <row r="86" spans="2:87" x14ac:dyDescent="0.45">
      <c r="B86" t="s">
        <v>337</v>
      </c>
      <c r="C86" t="s">
        <v>99</v>
      </c>
      <c r="D86">
        <v>0.15655134625454384</v>
      </c>
      <c r="E86">
        <v>0.18076040926818751</v>
      </c>
      <c r="F86">
        <v>0.15729916127041896</v>
      </c>
      <c r="G86">
        <v>0.271483218516618</v>
      </c>
      <c r="H86">
        <v>0.26522772606465927</v>
      </c>
      <c r="I86">
        <v>0.2635293543176675</v>
      </c>
      <c r="J86">
        <v>0.32127802678463491</v>
      </c>
      <c r="K86">
        <v>0.34053678259690595</v>
      </c>
      <c r="L86">
        <v>0.33699397022538746</v>
      </c>
      <c r="M86">
        <v>0.25629184890257672</v>
      </c>
      <c r="N86">
        <v>0.23696225098646623</v>
      </c>
      <c r="O86">
        <v>0.25171174151602405</v>
      </c>
      <c r="Q86" t="s">
        <v>337</v>
      </c>
      <c r="R86" t="s">
        <v>100</v>
      </c>
      <c r="S86">
        <v>7.9704877798572205E-3</v>
      </c>
      <c r="T86">
        <v>1.0484923472713353E-2</v>
      </c>
      <c r="U86">
        <v>8.5978253491276243E-3</v>
      </c>
      <c r="V86">
        <v>8.2491858805872793E-3</v>
      </c>
      <c r="W86">
        <v>1.2269488289863103E-2</v>
      </c>
      <c r="X86">
        <v>1.2557618945333464E-2</v>
      </c>
      <c r="Y86">
        <v>1.9428964079713312E-2</v>
      </c>
      <c r="Z86">
        <v>1.5204522615884446E-2</v>
      </c>
      <c r="AA86">
        <v>2.0512555239841208E-2</v>
      </c>
      <c r="AB86">
        <v>9.961730448769213E-3</v>
      </c>
      <c r="AC86">
        <v>1.0872724198055019E-2</v>
      </c>
      <c r="AD86">
        <v>9.6695751140093052E-3</v>
      </c>
      <c r="AF86" t="s">
        <v>337</v>
      </c>
      <c r="AG86" t="s">
        <v>101</v>
      </c>
      <c r="AH86">
        <v>7.401277767453261E-3</v>
      </c>
      <c r="AI86">
        <v>1.0901540991206646E-2</v>
      </c>
      <c r="AJ86">
        <v>8.5764585427287252E-3</v>
      </c>
      <c r="AK86">
        <v>1.4696787330764086E-2</v>
      </c>
      <c r="AL86">
        <v>1.1019625415752682E-2</v>
      </c>
      <c r="AM86">
        <v>1.736099405802774E-2</v>
      </c>
      <c r="AN86">
        <v>3.4352230188053473E-2</v>
      </c>
      <c r="AO86">
        <v>1.720247893618199E-2</v>
      </c>
      <c r="AP86">
        <v>2.7676334089862163E-2</v>
      </c>
      <c r="AQ86">
        <v>1.0306342522335312E-2</v>
      </c>
      <c r="AR86">
        <v>1.3492864642067986E-2</v>
      </c>
      <c r="AS86">
        <v>2.1207336486133269E-2</v>
      </c>
      <c r="AU86" t="s">
        <v>337</v>
      </c>
      <c r="AV86" t="s">
        <v>102</v>
      </c>
      <c r="AW86">
        <v>4.9703517284785545E-2</v>
      </c>
      <c r="AX86">
        <v>5.3549672866087701E-2</v>
      </c>
      <c r="AY86">
        <v>4.4606989905204751E-2</v>
      </c>
      <c r="AZ86">
        <v>0.12412724195604365</v>
      </c>
      <c r="BA86">
        <v>0.11501660577195619</v>
      </c>
      <c r="BB86">
        <v>0.10214189223306613</v>
      </c>
      <c r="BC86">
        <v>0.14297827851360062</v>
      </c>
      <c r="BD86">
        <v>0.16926167636860159</v>
      </c>
      <c r="BE86">
        <v>0.15948455822679569</v>
      </c>
      <c r="BF86">
        <v>0.10888449642645828</v>
      </c>
      <c r="BG86">
        <v>8.6972070264483073E-2</v>
      </c>
      <c r="BH86">
        <v>9.2599794344308414E-2</v>
      </c>
      <c r="BR86" t="s">
        <v>337</v>
      </c>
      <c r="BS86">
        <v>0.75745970678456509</v>
      </c>
      <c r="BT86">
        <v>0.7311631879110142</v>
      </c>
      <c r="BU86">
        <v>0.76733751424275054</v>
      </c>
      <c r="BV86">
        <v>0.5592773931839643</v>
      </c>
      <c r="BW86">
        <v>0.57877927990202938</v>
      </c>
      <c r="BX86">
        <v>0.59062138421713506</v>
      </c>
      <c r="BY86">
        <v>0.44431089400911683</v>
      </c>
      <c r="BZ86">
        <v>0.44801110075497946</v>
      </c>
      <c r="CA86">
        <v>0.43178799149369612</v>
      </c>
      <c r="CB86">
        <v>0.61523582582674274</v>
      </c>
      <c r="CC86">
        <v>0.64958311896794951</v>
      </c>
      <c r="CD86">
        <v>0.62643385285143549</v>
      </c>
      <c r="CF86" t="s">
        <v>350</v>
      </c>
      <c r="CG86" t="s">
        <v>108</v>
      </c>
      <c r="CH86" t="s">
        <v>109</v>
      </c>
      <c r="CI86">
        <v>0.68228358378750253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448A-49DF-4D7B-A845-68AF232E197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0.31610666575664381</v>
      </c>
      <c r="P11">
        <v>2020</v>
      </c>
      <c r="Q11" t="s">
        <v>193</v>
      </c>
      <c r="R11">
        <v>0.31829999999999997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9.3183157032511676E-2</v>
      </c>
      <c r="P12">
        <v>2020</v>
      </c>
      <c r="Q12" t="s">
        <v>195</v>
      </c>
      <c r="R12">
        <v>0.20230000000000001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0.15881870353437355</v>
      </c>
      <c r="P13">
        <v>2020</v>
      </c>
      <c r="Q13" t="s">
        <v>196</v>
      </c>
      <c r="R13">
        <v>0.14046666666666666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0.36246334707551475</v>
      </c>
      <c r="P14">
        <v>2020</v>
      </c>
      <c r="Q14" t="s">
        <v>197</v>
      </c>
      <c r="R14">
        <v>0.23416666666666663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0.12723259457231983</v>
      </c>
      <c r="P15">
        <v>2021</v>
      </c>
      <c r="Q15" t="s">
        <v>193</v>
      </c>
      <c r="R15">
        <v>0.21483333333333332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0.20698304603065476</v>
      </c>
      <c r="P16">
        <v>2021</v>
      </c>
      <c r="Q16" t="s">
        <v>195</v>
      </c>
      <c r="R16">
        <v>0.18423333333333333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0.23142936001540071</v>
      </c>
      <c r="P17">
        <v>2021</v>
      </c>
      <c r="Q17" t="s">
        <v>196</v>
      </c>
      <c r="R17">
        <v>7.2433333333333336E-2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9.0873794118897289E-2</v>
      </c>
      <c r="P18">
        <v>2021</v>
      </c>
      <c r="Q18" t="s">
        <v>197</v>
      </c>
      <c r="R18">
        <v>0.20033333333333334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0.11956241628869568</v>
      </c>
      <c r="P19">
        <v>2022</v>
      </c>
      <c r="Q19" t="s">
        <v>193</v>
      </c>
      <c r="R19">
        <v>0.23490000000000003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0.36666693007870998</v>
      </c>
      <c r="P20">
        <v>2022</v>
      </c>
      <c r="Q20" t="s">
        <v>195</v>
      </c>
      <c r="R20">
        <v>0.16093333333333334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0.18435776096720669</v>
      </c>
      <c r="P21">
        <v>2022</v>
      </c>
      <c r="Q21" t="s">
        <v>196</v>
      </c>
      <c r="R21">
        <v>0.10766666666666667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0.23665167194360004</v>
      </c>
      <c r="P22">
        <v>2022</v>
      </c>
      <c r="Q22" t="s">
        <v>197</v>
      </c>
      <c r="R22">
        <v>0.19613333333333335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0.44616666666666666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0.34959999999999997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0.22736666666666669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0.31419999999999998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0.46543333333333337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0.33890000000000003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0.18806666666666669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0.32076666666666664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0.46616666666666667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0.2591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0.25046666666666667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0.37133333333333329</v>
      </c>
      <c r="S34" t="s">
        <v>194</v>
      </c>
    </row>
    <row r="35" spans="8:19" x14ac:dyDescent="0.45">
      <c r="P35">
        <v>2028</v>
      </c>
      <c r="Q35" t="s">
        <v>193</v>
      </c>
      <c r="R35">
        <v>0.48456666666666665</v>
      </c>
      <c r="S35" t="s">
        <v>194</v>
      </c>
    </row>
    <row r="36" spans="8:19" x14ac:dyDescent="0.45">
      <c r="P36">
        <v>2028</v>
      </c>
      <c r="Q36" t="s">
        <v>195</v>
      </c>
      <c r="R36">
        <v>0.29560000000000003</v>
      </c>
      <c r="S36" t="s">
        <v>194</v>
      </c>
    </row>
    <row r="37" spans="8:19" x14ac:dyDescent="0.45">
      <c r="P37">
        <v>2028</v>
      </c>
      <c r="Q37" t="s">
        <v>196</v>
      </c>
      <c r="R37">
        <v>0.18820000000000001</v>
      </c>
      <c r="S37" t="s">
        <v>194</v>
      </c>
    </row>
    <row r="38" spans="8:19" x14ac:dyDescent="0.45">
      <c r="P38">
        <v>2028</v>
      </c>
      <c r="Q38" t="s">
        <v>197</v>
      </c>
      <c r="R38">
        <v>0.35716666666666663</v>
      </c>
      <c r="S38" t="s">
        <v>194</v>
      </c>
    </row>
    <row r="39" spans="8:19" x14ac:dyDescent="0.45">
      <c r="P39">
        <v>2029</v>
      </c>
      <c r="Q39" t="s">
        <v>193</v>
      </c>
      <c r="R39">
        <v>0.4956666666666667</v>
      </c>
      <c r="S39" t="s">
        <v>194</v>
      </c>
    </row>
    <row r="40" spans="8:19" x14ac:dyDescent="0.45">
      <c r="P40">
        <v>2029</v>
      </c>
      <c r="Q40" t="s">
        <v>195</v>
      </c>
      <c r="R40">
        <v>0.30980000000000002</v>
      </c>
      <c r="S40" t="s">
        <v>194</v>
      </c>
    </row>
    <row r="41" spans="8:19" x14ac:dyDescent="0.45">
      <c r="P41">
        <v>2029</v>
      </c>
      <c r="Q41" t="s">
        <v>196</v>
      </c>
      <c r="R41">
        <v>0.16796666666666668</v>
      </c>
      <c r="S41" t="s">
        <v>194</v>
      </c>
    </row>
    <row r="42" spans="8:19" x14ac:dyDescent="0.45">
      <c r="P42">
        <v>2029</v>
      </c>
      <c r="Q42" t="s">
        <v>197</v>
      </c>
      <c r="R42">
        <v>0.36343333333333333</v>
      </c>
      <c r="S42" t="s">
        <v>194</v>
      </c>
    </row>
    <row r="43" spans="8:19" x14ac:dyDescent="0.45">
      <c r="P43">
        <v>2030</v>
      </c>
      <c r="Q43" t="s">
        <v>193</v>
      </c>
      <c r="R43">
        <v>0.48489999999999994</v>
      </c>
      <c r="S43" t="s">
        <v>194</v>
      </c>
    </row>
    <row r="44" spans="8:19" x14ac:dyDescent="0.45">
      <c r="P44">
        <v>2030</v>
      </c>
      <c r="Q44" t="s">
        <v>195</v>
      </c>
      <c r="R44">
        <v>0.35726666666666668</v>
      </c>
      <c r="S44" t="s">
        <v>194</v>
      </c>
    </row>
    <row r="45" spans="8:19" x14ac:dyDescent="0.45">
      <c r="P45">
        <v>2030</v>
      </c>
      <c r="Q45" t="s">
        <v>196</v>
      </c>
      <c r="R45">
        <v>0.20366666666666666</v>
      </c>
      <c r="S45" t="s">
        <v>194</v>
      </c>
    </row>
    <row r="46" spans="8:19" x14ac:dyDescent="0.45">
      <c r="P46">
        <v>2030</v>
      </c>
      <c r="Q46" t="s">
        <v>197</v>
      </c>
      <c r="R46">
        <v>0.39660000000000001</v>
      </c>
      <c r="S46" t="s">
        <v>194</v>
      </c>
    </row>
    <row r="47" spans="8:19" x14ac:dyDescent="0.45">
      <c r="P47">
        <v>2031</v>
      </c>
      <c r="Q47" t="s">
        <v>193</v>
      </c>
      <c r="R47">
        <v>0.41359999999999997</v>
      </c>
      <c r="S47" t="s">
        <v>194</v>
      </c>
    </row>
    <row r="48" spans="8:19" x14ac:dyDescent="0.45">
      <c r="P48">
        <v>2031</v>
      </c>
      <c r="Q48" t="s">
        <v>195</v>
      </c>
      <c r="R48">
        <v>0.28076666666666666</v>
      </c>
      <c r="S48" t="s">
        <v>194</v>
      </c>
    </row>
    <row r="49" spans="16:19" x14ac:dyDescent="0.45">
      <c r="P49">
        <v>2031</v>
      </c>
      <c r="Q49" t="s">
        <v>196</v>
      </c>
      <c r="R49">
        <v>0.18770000000000001</v>
      </c>
      <c r="S49" t="s">
        <v>194</v>
      </c>
    </row>
    <row r="50" spans="16:19" x14ac:dyDescent="0.45">
      <c r="P50">
        <v>2031</v>
      </c>
      <c r="Q50" t="s">
        <v>197</v>
      </c>
      <c r="R50">
        <v>0.32346666666666668</v>
      </c>
      <c r="S50" t="s">
        <v>194</v>
      </c>
    </row>
    <row r="51" spans="16:19" x14ac:dyDescent="0.45">
      <c r="P51">
        <v>2032</v>
      </c>
      <c r="Q51" t="s">
        <v>193</v>
      </c>
      <c r="R51">
        <v>0.40599999999999997</v>
      </c>
      <c r="S51" t="s">
        <v>194</v>
      </c>
    </row>
    <row r="52" spans="16:19" x14ac:dyDescent="0.45">
      <c r="P52">
        <v>2032</v>
      </c>
      <c r="Q52" t="s">
        <v>195</v>
      </c>
      <c r="R52">
        <v>0.22276666666666667</v>
      </c>
      <c r="S52" t="s">
        <v>194</v>
      </c>
    </row>
    <row r="53" spans="16:19" x14ac:dyDescent="0.45">
      <c r="P53">
        <v>2032</v>
      </c>
      <c r="Q53" t="s">
        <v>196</v>
      </c>
      <c r="R53">
        <v>0.18836666666666668</v>
      </c>
      <c r="S53" t="s">
        <v>194</v>
      </c>
    </row>
    <row r="54" spans="16:19" x14ac:dyDescent="0.45">
      <c r="P54">
        <v>2032</v>
      </c>
      <c r="Q54" t="s">
        <v>197</v>
      </c>
      <c r="R54">
        <v>0.31570000000000004</v>
      </c>
      <c r="S54" t="s">
        <v>194</v>
      </c>
    </row>
    <row r="55" spans="16:19" x14ac:dyDescent="0.45">
      <c r="P55">
        <v>2033</v>
      </c>
      <c r="Q55" t="s">
        <v>193</v>
      </c>
      <c r="R55">
        <v>0.3318666666666667</v>
      </c>
      <c r="S55" t="s">
        <v>194</v>
      </c>
    </row>
    <row r="56" spans="16:19" x14ac:dyDescent="0.45">
      <c r="P56">
        <v>2033</v>
      </c>
      <c r="Q56" t="s">
        <v>195</v>
      </c>
      <c r="R56">
        <v>0.19993333333333332</v>
      </c>
      <c r="S56" t="s">
        <v>194</v>
      </c>
    </row>
    <row r="57" spans="16:19" x14ac:dyDescent="0.45">
      <c r="P57">
        <v>2033</v>
      </c>
      <c r="Q57" t="s">
        <v>196</v>
      </c>
      <c r="R57">
        <v>0.13639999999999999</v>
      </c>
      <c r="S57" t="s">
        <v>194</v>
      </c>
    </row>
    <row r="58" spans="16:19" x14ac:dyDescent="0.45">
      <c r="P58">
        <v>2033</v>
      </c>
      <c r="Q58" t="s">
        <v>197</v>
      </c>
      <c r="R58">
        <v>0.29836666666666667</v>
      </c>
      <c r="S58" t="s">
        <v>194</v>
      </c>
    </row>
    <row r="59" spans="16:19" x14ac:dyDescent="0.45">
      <c r="P59">
        <v>2034</v>
      </c>
      <c r="Q59" t="s">
        <v>193</v>
      </c>
      <c r="R59">
        <v>0.39840000000000003</v>
      </c>
      <c r="S59" t="s">
        <v>194</v>
      </c>
    </row>
    <row r="60" spans="16:19" x14ac:dyDescent="0.45">
      <c r="P60">
        <v>2034</v>
      </c>
      <c r="Q60" t="s">
        <v>195</v>
      </c>
      <c r="R60">
        <v>0.25580000000000003</v>
      </c>
      <c r="S60" t="s">
        <v>194</v>
      </c>
    </row>
    <row r="61" spans="16:19" x14ac:dyDescent="0.45">
      <c r="P61">
        <v>2034</v>
      </c>
      <c r="Q61" t="s">
        <v>196</v>
      </c>
      <c r="R61">
        <v>0.13743333333333332</v>
      </c>
      <c r="S61" t="s">
        <v>194</v>
      </c>
    </row>
    <row r="62" spans="16:19" x14ac:dyDescent="0.45">
      <c r="P62">
        <v>2034</v>
      </c>
      <c r="Q62" t="s">
        <v>197</v>
      </c>
      <c r="R62">
        <v>0.27073333333333333</v>
      </c>
      <c r="S62" t="s">
        <v>194</v>
      </c>
    </row>
    <row r="63" spans="16:19" x14ac:dyDescent="0.45">
      <c r="P63">
        <v>2035</v>
      </c>
      <c r="Q63" t="s">
        <v>193</v>
      </c>
      <c r="R63">
        <v>0.40686666666666671</v>
      </c>
      <c r="S63" t="s">
        <v>194</v>
      </c>
    </row>
    <row r="64" spans="16:19" x14ac:dyDescent="0.45">
      <c r="P64">
        <v>2035</v>
      </c>
      <c r="Q64" t="s">
        <v>195</v>
      </c>
      <c r="R64">
        <v>0.2044</v>
      </c>
      <c r="S64" t="s">
        <v>194</v>
      </c>
    </row>
    <row r="65" spans="16:19" x14ac:dyDescent="0.45">
      <c r="P65">
        <v>2035</v>
      </c>
      <c r="Q65" t="s">
        <v>196</v>
      </c>
      <c r="R65">
        <v>0.17936666666666667</v>
      </c>
      <c r="S65" t="s">
        <v>194</v>
      </c>
    </row>
    <row r="66" spans="16:19" x14ac:dyDescent="0.45">
      <c r="P66">
        <v>2035</v>
      </c>
      <c r="Q66" t="s">
        <v>197</v>
      </c>
      <c r="R66">
        <v>0.27663333333333334</v>
      </c>
      <c r="S66" t="s">
        <v>194</v>
      </c>
    </row>
    <row r="67" spans="16:19" x14ac:dyDescent="0.45">
      <c r="P67">
        <v>2036</v>
      </c>
      <c r="Q67" t="s">
        <v>193</v>
      </c>
      <c r="R67">
        <v>0.35573333333333329</v>
      </c>
      <c r="S67" t="s">
        <v>194</v>
      </c>
    </row>
    <row r="68" spans="16:19" x14ac:dyDescent="0.45">
      <c r="P68">
        <v>2036</v>
      </c>
      <c r="Q68" t="s">
        <v>195</v>
      </c>
      <c r="R68">
        <v>0.20973333333333333</v>
      </c>
      <c r="S68" t="s">
        <v>194</v>
      </c>
    </row>
    <row r="69" spans="16:19" x14ac:dyDescent="0.45">
      <c r="P69">
        <v>2036</v>
      </c>
      <c r="Q69" t="s">
        <v>196</v>
      </c>
      <c r="R69">
        <v>0.21096666666666666</v>
      </c>
      <c r="S69" t="s">
        <v>194</v>
      </c>
    </row>
    <row r="70" spans="16:19" x14ac:dyDescent="0.45">
      <c r="P70">
        <v>2036</v>
      </c>
      <c r="Q70" t="s">
        <v>197</v>
      </c>
      <c r="R70">
        <v>0.34016666666666667</v>
      </c>
      <c r="S70" t="s">
        <v>194</v>
      </c>
    </row>
    <row r="71" spans="16:19" x14ac:dyDescent="0.45">
      <c r="P71">
        <v>2037</v>
      </c>
      <c r="Q71" t="s">
        <v>193</v>
      </c>
      <c r="R71">
        <v>0.34559999999999996</v>
      </c>
      <c r="S71" t="s">
        <v>194</v>
      </c>
    </row>
    <row r="72" spans="16:19" x14ac:dyDescent="0.45">
      <c r="P72">
        <v>2037</v>
      </c>
      <c r="Q72" t="s">
        <v>195</v>
      </c>
      <c r="R72">
        <v>0.2109</v>
      </c>
      <c r="S72" t="s">
        <v>194</v>
      </c>
    </row>
    <row r="73" spans="16:19" x14ac:dyDescent="0.45">
      <c r="P73">
        <v>2037</v>
      </c>
      <c r="Q73" t="s">
        <v>196</v>
      </c>
      <c r="R73">
        <v>0.16183333333333336</v>
      </c>
      <c r="S73" t="s">
        <v>194</v>
      </c>
    </row>
    <row r="74" spans="16:19" x14ac:dyDescent="0.45">
      <c r="P74">
        <v>2037</v>
      </c>
      <c r="Q74" t="s">
        <v>197</v>
      </c>
      <c r="R74">
        <v>0.22196666666666665</v>
      </c>
      <c r="S74" t="s">
        <v>194</v>
      </c>
    </row>
    <row r="75" spans="16:19" x14ac:dyDescent="0.45">
      <c r="P75">
        <v>2038</v>
      </c>
      <c r="Q75" t="s">
        <v>193</v>
      </c>
      <c r="R75">
        <v>0.42173333333333335</v>
      </c>
      <c r="S75" t="s">
        <v>194</v>
      </c>
    </row>
    <row r="76" spans="16:19" x14ac:dyDescent="0.45">
      <c r="P76">
        <v>2038</v>
      </c>
      <c r="Q76" t="s">
        <v>195</v>
      </c>
      <c r="R76">
        <v>0.27389999999999998</v>
      </c>
      <c r="S76" t="s">
        <v>194</v>
      </c>
    </row>
    <row r="77" spans="16:19" x14ac:dyDescent="0.45">
      <c r="P77">
        <v>2038</v>
      </c>
      <c r="Q77" t="s">
        <v>196</v>
      </c>
      <c r="R77">
        <v>0.15846666666666667</v>
      </c>
      <c r="S77" t="s">
        <v>194</v>
      </c>
    </row>
    <row r="78" spans="16:19" x14ac:dyDescent="0.45">
      <c r="P78">
        <v>2038</v>
      </c>
      <c r="Q78" t="s">
        <v>197</v>
      </c>
      <c r="R78">
        <v>0.25323333333333337</v>
      </c>
      <c r="S78" t="s">
        <v>194</v>
      </c>
    </row>
    <row r="79" spans="16:19" x14ac:dyDescent="0.45">
      <c r="P79">
        <v>2039</v>
      </c>
      <c r="Q79" t="s">
        <v>193</v>
      </c>
      <c r="R79">
        <v>0.3681666666666667</v>
      </c>
      <c r="S79" t="s">
        <v>194</v>
      </c>
    </row>
    <row r="80" spans="16:19" x14ac:dyDescent="0.45">
      <c r="P80">
        <v>2039</v>
      </c>
      <c r="Q80" t="s">
        <v>195</v>
      </c>
      <c r="R80">
        <v>0.17446666666666666</v>
      </c>
      <c r="S80" t="s">
        <v>194</v>
      </c>
    </row>
    <row r="81" spans="16:19" x14ac:dyDescent="0.45">
      <c r="P81">
        <v>2039</v>
      </c>
      <c r="Q81" t="s">
        <v>196</v>
      </c>
      <c r="R81">
        <v>0.16873333333333332</v>
      </c>
      <c r="S81" t="s">
        <v>194</v>
      </c>
    </row>
    <row r="82" spans="16:19" x14ac:dyDescent="0.45">
      <c r="P82">
        <v>2039</v>
      </c>
      <c r="Q82" t="s">
        <v>197</v>
      </c>
      <c r="R82">
        <v>0.27656666666666668</v>
      </c>
      <c r="S82" t="s">
        <v>194</v>
      </c>
    </row>
    <row r="83" spans="16:19" x14ac:dyDescent="0.45">
      <c r="P83">
        <v>2040</v>
      </c>
      <c r="Q83" t="s">
        <v>193</v>
      </c>
      <c r="R83">
        <v>0.34093333333333331</v>
      </c>
      <c r="S83" t="s">
        <v>194</v>
      </c>
    </row>
    <row r="84" spans="16:19" x14ac:dyDescent="0.45">
      <c r="P84">
        <v>2040</v>
      </c>
      <c r="Q84" t="s">
        <v>195</v>
      </c>
      <c r="R84">
        <v>0.19736666666666669</v>
      </c>
      <c r="S84" t="s">
        <v>194</v>
      </c>
    </row>
    <row r="85" spans="16:19" x14ac:dyDescent="0.45">
      <c r="P85">
        <v>2040</v>
      </c>
      <c r="Q85" t="s">
        <v>196</v>
      </c>
      <c r="R85">
        <v>0.16566666666666668</v>
      </c>
      <c r="S85" t="s">
        <v>194</v>
      </c>
    </row>
    <row r="86" spans="16:19" x14ac:dyDescent="0.45">
      <c r="P86">
        <v>2040</v>
      </c>
      <c r="Q86" t="s">
        <v>197</v>
      </c>
      <c r="R86">
        <v>0.28623333333333334</v>
      </c>
      <c r="S86" t="s">
        <v>194</v>
      </c>
    </row>
    <row r="87" spans="16:19" x14ac:dyDescent="0.45">
      <c r="P87">
        <v>2041</v>
      </c>
      <c r="Q87" t="s">
        <v>193</v>
      </c>
      <c r="R87">
        <v>0.42363333333333336</v>
      </c>
      <c r="S87" t="s">
        <v>194</v>
      </c>
    </row>
    <row r="88" spans="16:19" x14ac:dyDescent="0.45">
      <c r="P88">
        <v>2041</v>
      </c>
      <c r="Q88" t="s">
        <v>195</v>
      </c>
      <c r="R88">
        <v>0.25426666666666664</v>
      </c>
      <c r="S88" t="s">
        <v>194</v>
      </c>
    </row>
    <row r="89" spans="16:19" x14ac:dyDescent="0.45">
      <c r="P89">
        <v>2041</v>
      </c>
      <c r="Q89" t="s">
        <v>196</v>
      </c>
      <c r="R89">
        <v>0.21049999999999999</v>
      </c>
      <c r="S89" t="s">
        <v>194</v>
      </c>
    </row>
    <row r="90" spans="16:19" x14ac:dyDescent="0.45">
      <c r="P90">
        <v>2041</v>
      </c>
      <c r="Q90" t="s">
        <v>197</v>
      </c>
      <c r="R90">
        <v>0.32973333333333332</v>
      </c>
      <c r="S90" t="s">
        <v>194</v>
      </c>
    </row>
    <row r="91" spans="16:19" x14ac:dyDescent="0.45">
      <c r="P91">
        <v>2042</v>
      </c>
      <c r="Q91" t="s">
        <v>193</v>
      </c>
      <c r="R91">
        <v>0.4463333333333333</v>
      </c>
      <c r="S91" t="s">
        <v>194</v>
      </c>
    </row>
    <row r="92" spans="16:19" x14ac:dyDescent="0.45">
      <c r="P92">
        <v>2042</v>
      </c>
      <c r="Q92" t="s">
        <v>195</v>
      </c>
      <c r="R92">
        <v>0.27553333333333335</v>
      </c>
      <c r="S92" t="s">
        <v>194</v>
      </c>
    </row>
    <row r="93" spans="16:19" x14ac:dyDescent="0.45">
      <c r="P93">
        <v>2042</v>
      </c>
      <c r="Q93" t="s">
        <v>196</v>
      </c>
      <c r="R93">
        <v>0.17826666666666668</v>
      </c>
      <c r="S93" t="s">
        <v>194</v>
      </c>
    </row>
    <row r="94" spans="16:19" x14ac:dyDescent="0.45">
      <c r="P94">
        <v>2042</v>
      </c>
      <c r="Q94" t="s">
        <v>197</v>
      </c>
      <c r="R94">
        <v>0.33363333333333328</v>
      </c>
      <c r="S94" t="s">
        <v>194</v>
      </c>
    </row>
    <row r="95" spans="16:19" x14ac:dyDescent="0.45">
      <c r="P95">
        <v>2043</v>
      </c>
      <c r="Q95" t="s">
        <v>193</v>
      </c>
      <c r="R95">
        <v>0.44593333333333335</v>
      </c>
      <c r="S95" t="s">
        <v>194</v>
      </c>
    </row>
    <row r="96" spans="16:19" x14ac:dyDescent="0.45">
      <c r="P96">
        <v>2043</v>
      </c>
      <c r="Q96" t="s">
        <v>195</v>
      </c>
      <c r="R96">
        <v>0.26879999999999998</v>
      </c>
      <c r="S96" t="s">
        <v>194</v>
      </c>
    </row>
    <row r="97" spans="16:19" x14ac:dyDescent="0.45">
      <c r="P97">
        <v>2043</v>
      </c>
      <c r="Q97" t="s">
        <v>196</v>
      </c>
      <c r="R97">
        <v>0.20633333333333334</v>
      </c>
      <c r="S97" t="s">
        <v>194</v>
      </c>
    </row>
    <row r="98" spans="16:19" x14ac:dyDescent="0.45">
      <c r="P98">
        <v>2043</v>
      </c>
      <c r="Q98" t="s">
        <v>197</v>
      </c>
      <c r="R98">
        <v>0.32190000000000002</v>
      </c>
      <c r="S98" t="s">
        <v>194</v>
      </c>
    </row>
    <row r="99" spans="16:19" x14ac:dyDescent="0.45">
      <c r="P99">
        <v>2044</v>
      </c>
      <c r="Q99" t="s">
        <v>193</v>
      </c>
      <c r="R99">
        <v>0.46713333333333334</v>
      </c>
      <c r="S99" t="s">
        <v>194</v>
      </c>
    </row>
    <row r="100" spans="16:19" x14ac:dyDescent="0.45">
      <c r="P100">
        <v>2044</v>
      </c>
      <c r="Q100" t="s">
        <v>195</v>
      </c>
      <c r="R100">
        <v>0.33363333333333339</v>
      </c>
      <c r="S100" t="s">
        <v>194</v>
      </c>
    </row>
    <row r="101" spans="16:19" x14ac:dyDescent="0.45">
      <c r="P101">
        <v>2044</v>
      </c>
      <c r="Q101" t="s">
        <v>196</v>
      </c>
      <c r="R101">
        <v>0.16406666666666667</v>
      </c>
      <c r="S101" t="s">
        <v>194</v>
      </c>
    </row>
    <row r="102" spans="16:19" x14ac:dyDescent="0.45">
      <c r="P102">
        <v>2044</v>
      </c>
      <c r="Q102" t="s">
        <v>197</v>
      </c>
      <c r="R102">
        <v>0.35766666666666663</v>
      </c>
      <c r="S102" t="s">
        <v>194</v>
      </c>
    </row>
    <row r="103" spans="16:19" x14ac:dyDescent="0.45">
      <c r="P103">
        <v>2045</v>
      </c>
      <c r="Q103" t="s">
        <v>193</v>
      </c>
      <c r="R103">
        <v>0.47876666666666662</v>
      </c>
      <c r="S103" t="s">
        <v>194</v>
      </c>
    </row>
    <row r="104" spans="16:19" x14ac:dyDescent="0.45">
      <c r="P104">
        <v>2045</v>
      </c>
      <c r="Q104" t="s">
        <v>195</v>
      </c>
      <c r="R104">
        <v>0.35499999999999998</v>
      </c>
      <c r="S104" t="s">
        <v>194</v>
      </c>
    </row>
    <row r="105" spans="16:19" x14ac:dyDescent="0.45">
      <c r="P105">
        <v>2045</v>
      </c>
      <c r="Q105" t="s">
        <v>196</v>
      </c>
      <c r="R105">
        <v>0.17576666666666665</v>
      </c>
      <c r="S105" t="s">
        <v>194</v>
      </c>
    </row>
    <row r="106" spans="16:19" x14ac:dyDescent="0.45">
      <c r="P106">
        <v>2045</v>
      </c>
      <c r="Q106" t="s">
        <v>197</v>
      </c>
      <c r="R106">
        <v>0.36703333333333332</v>
      </c>
      <c r="S106" t="s">
        <v>194</v>
      </c>
    </row>
    <row r="107" spans="16:19" x14ac:dyDescent="0.45">
      <c r="P107">
        <v>2046</v>
      </c>
      <c r="Q107" t="s">
        <v>193</v>
      </c>
      <c r="R107">
        <v>0.4017</v>
      </c>
      <c r="S107" t="s">
        <v>194</v>
      </c>
    </row>
    <row r="108" spans="16:19" x14ac:dyDescent="0.45">
      <c r="P108">
        <v>2046</v>
      </c>
      <c r="Q108" t="s">
        <v>195</v>
      </c>
      <c r="R108">
        <v>0.17300000000000001</v>
      </c>
      <c r="S108" t="s">
        <v>194</v>
      </c>
    </row>
    <row r="109" spans="16:19" x14ac:dyDescent="0.45">
      <c r="P109">
        <v>2046</v>
      </c>
      <c r="Q109" t="s">
        <v>196</v>
      </c>
      <c r="R109">
        <v>0.12866666666666668</v>
      </c>
      <c r="S109" t="s">
        <v>194</v>
      </c>
    </row>
    <row r="110" spans="16:19" x14ac:dyDescent="0.45">
      <c r="P110">
        <v>2046</v>
      </c>
      <c r="Q110" t="s">
        <v>197</v>
      </c>
      <c r="R110">
        <v>0.26300000000000001</v>
      </c>
      <c r="S110" t="s">
        <v>194</v>
      </c>
    </row>
    <row r="111" spans="16:19" x14ac:dyDescent="0.45">
      <c r="P111">
        <v>2047</v>
      </c>
      <c r="Q111" t="s">
        <v>193</v>
      </c>
      <c r="R111">
        <v>0.45990000000000003</v>
      </c>
      <c r="S111" t="s">
        <v>194</v>
      </c>
    </row>
    <row r="112" spans="16:19" x14ac:dyDescent="0.45">
      <c r="P112">
        <v>2047</v>
      </c>
      <c r="Q112" t="s">
        <v>195</v>
      </c>
      <c r="R112">
        <v>0.26593333333333335</v>
      </c>
      <c r="S112" t="s">
        <v>194</v>
      </c>
    </row>
    <row r="113" spans="16:19" x14ac:dyDescent="0.45">
      <c r="P113">
        <v>2047</v>
      </c>
      <c r="Q113" t="s">
        <v>196</v>
      </c>
      <c r="R113">
        <v>0.18060000000000001</v>
      </c>
      <c r="S113" t="s">
        <v>194</v>
      </c>
    </row>
    <row r="114" spans="16:19" x14ac:dyDescent="0.45">
      <c r="P114">
        <v>2047</v>
      </c>
      <c r="Q114" t="s">
        <v>197</v>
      </c>
      <c r="R114">
        <v>0.32306666666666667</v>
      </c>
      <c r="S114" t="s">
        <v>194</v>
      </c>
    </row>
    <row r="115" spans="16:19" x14ac:dyDescent="0.45">
      <c r="P115">
        <v>2048</v>
      </c>
      <c r="Q115" t="s">
        <v>193</v>
      </c>
      <c r="R115">
        <v>0.40523333333333333</v>
      </c>
      <c r="S115" t="s">
        <v>194</v>
      </c>
    </row>
    <row r="116" spans="16:19" x14ac:dyDescent="0.45">
      <c r="P116">
        <v>2048</v>
      </c>
      <c r="Q116" t="s">
        <v>195</v>
      </c>
      <c r="R116">
        <v>0.29409999999999997</v>
      </c>
      <c r="S116" t="s">
        <v>194</v>
      </c>
    </row>
    <row r="117" spans="16:19" x14ac:dyDescent="0.45">
      <c r="P117">
        <v>2048</v>
      </c>
      <c r="Q117" t="s">
        <v>196</v>
      </c>
      <c r="R117">
        <v>0.19243333333333335</v>
      </c>
      <c r="S117" t="s">
        <v>194</v>
      </c>
    </row>
    <row r="118" spans="16:19" x14ac:dyDescent="0.45">
      <c r="P118">
        <v>2048</v>
      </c>
      <c r="Q118" t="s">
        <v>197</v>
      </c>
      <c r="R118">
        <v>0.29696666666666666</v>
      </c>
      <c r="S118" t="s">
        <v>194</v>
      </c>
    </row>
    <row r="119" spans="16:19" x14ac:dyDescent="0.45">
      <c r="P119">
        <v>2049</v>
      </c>
      <c r="Q119" t="s">
        <v>193</v>
      </c>
      <c r="R119">
        <v>0.42746666666666666</v>
      </c>
      <c r="S119" t="s">
        <v>194</v>
      </c>
    </row>
    <row r="120" spans="16:19" x14ac:dyDescent="0.45">
      <c r="P120">
        <v>2049</v>
      </c>
      <c r="Q120" t="s">
        <v>195</v>
      </c>
      <c r="R120">
        <v>0.30656666666666665</v>
      </c>
      <c r="S120" t="s">
        <v>194</v>
      </c>
    </row>
    <row r="121" spans="16:19" x14ac:dyDescent="0.45">
      <c r="P121">
        <v>2049</v>
      </c>
      <c r="Q121" t="s">
        <v>196</v>
      </c>
      <c r="R121">
        <v>0.11843333333333333</v>
      </c>
      <c r="S121" t="s">
        <v>194</v>
      </c>
    </row>
    <row r="122" spans="16:19" x14ac:dyDescent="0.45">
      <c r="P122">
        <v>2049</v>
      </c>
      <c r="Q122" t="s">
        <v>197</v>
      </c>
      <c r="R122">
        <v>0.26919999999999999</v>
      </c>
      <c r="S122" t="s">
        <v>194</v>
      </c>
    </row>
    <row r="123" spans="16:19" x14ac:dyDescent="0.45">
      <c r="P123">
        <v>2050</v>
      </c>
      <c r="Q123" t="s">
        <v>193</v>
      </c>
      <c r="R123">
        <v>0.40840000000000004</v>
      </c>
      <c r="S123" t="s">
        <v>194</v>
      </c>
    </row>
    <row r="124" spans="16:19" x14ac:dyDescent="0.45">
      <c r="P124">
        <v>2050</v>
      </c>
      <c r="Q124" t="s">
        <v>195</v>
      </c>
      <c r="R124">
        <v>0.27373333333333333</v>
      </c>
      <c r="S124" t="s">
        <v>194</v>
      </c>
    </row>
    <row r="125" spans="16:19" x14ac:dyDescent="0.45">
      <c r="P125">
        <v>2050</v>
      </c>
      <c r="Q125" t="s">
        <v>196</v>
      </c>
      <c r="R125">
        <v>0.18489999999999998</v>
      </c>
      <c r="S125" t="s">
        <v>194</v>
      </c>
    </row>
    <row r="126" spans="16:19" x14ac:dyDescent="0.45">
      <c r="P126">
        <v>2050</v>
      </c>
      <c r="Q126" t="s">
        <v>197</v>
      </c>
      <c r="R126">
        <v>0.25993333333333335</v>
      </c>
      <c r="S126" t="s">
        <v>194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2EE5-4B25-4F2A-94EA-F3EC75955E13}">
  <dimension ref="B9:O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351</v>
      </c>
      <c r="C11" t="s">
        <v>5</v>
      </c>
      <c r="D11">
        <v>0</v>
      </c>
      <c r="E11" t="s">
        <v>6</v>
      </c>
      <c r="G11" t="s">
        <v>352</v>
      </c>
      <c r="H11" t="s">
        <v>5</v>
      </c>
      <c r="I11">
        <v>0.11387146589718258</v>
      </c>
      <c r="J11" t="s">
        <v>6</v>
      </c>
      <c r="L11" t="s">
        <v>353</v>
      </c>
      <c r="M11" t="s">
        <v>5</v>
      </c>
      <c r="N11">
        <v>9.617948235417198E-2</v>
      </c>
      <c r="O11" t="s">
        <v>6</v>
      </c>
    </row>
    <row r="12" spans="2:15" x14ac:dyDescent="0.45">
      <c r="B12" t="s">
        <v>351</v>
      </c>
      <c r="C12" t="s">
        <v>9</v>
      </c>
      <c r="D12">
        <v>0.11340833857490064</v>
      </c>
      <c r="E12" t="s">
        <v>6</v>
      </c>
      <c r="G12" t="s">
        <v>352</v>
      </c>
      <c r="H12" t="s">
        <v>9</v>
      </c>
      <c r="I12">
        <v>0.12985408095645137</v>
      </c>
      <c r="J12" t="s">
        <v>6</v>
      </c>
      <c r="L12" t="s">
        <v>353</v>
      </c>
      <c r="M12" t="s">
        <v>9</v>
      </c>
      <c r="N12">
        <v>0.11499575206421725</v>
      </c>
      <c r="O12" t="s">
        <v>6</v>
      </c>
    </row>
    <row r="13" spans="2:15" x14ac:dyDescent="0.45">
      <c r="B13" t="s">
        <v>351</v>
      </c>
      <c r="C13" t="s">
        <v>10</v>
      </c>
      <c r="D13">
        <v>4.3539931967028595E-4</v>
      </c>
      <c r="E13" t="s">
        <v>6</v>
      </c>
      <c r="G13" t="s">
        <v>352</v>
      </c>
      <c r="H13" t="s">
        <v>10</v>
      </c>
      <c r="I13">
        <v>8.4286370718328493E-2</v>
      </c>
      <c r="J13" t="s">
        <v>6</v>
      </c>
      <c r="L13" t="s">
        <v>353</v>
      </c>
      <c r="M13" t="s">
        <v>10</v>
      </c>
      <c r="N13">
        <v>7.3994290886606182E-2</v>
      </c>
      <c r="O13" t="s">
        <v>6</v>
      </c>
    </row>
    <row r="14" spans="2:15" x14ac:dyDescent="0.45">
      <c r="B14" t="s">
        <v>351</v>
      </c>
      <c r="C14" t="s">
        <v>11</v>
      </c>
      <c r="D14">
        <v>2.0946770612223454E-3</v>
      </c>
      <c r="E14" t="s">
        <v>6</v>
      </c>
      <c r="G14" t="s">
        <v>352</v>
      </c>
      <c r="H14" t="s">
        <v>11</v>
      </c>
      <c r="I14">
        <v>8.2409155360212524E-2</v>
      </c>
      <c r="J14" t="s">
        <v>6</v>
      </c>
      <c r="L14" t="s">
        <v>353</v>
      </c>
      <c r="M14" t="s">
        <v>11</v>
      </c>
      <c r="N14">
        <v>8.6066726200381805E-2</v>
      </c>
      <c r="O14" t="s">
        <v>6</v>
      </c>
    </row>
    <row r="15" spans="2:15" x14ac:dyDescent="0.45">
      <c r="B15" t="s">
        <v>351</v>
      </c>
      <c r="C15" t="s">
        <v>12</v>
      </c>
      <c r="D15">
        <v>0.31414093391669329</v>
      </c>
      <c r="E15" t="s">
        <v>6</v>
      </c>
      <c r="G15" t="s">
        <v>352</v>
      </c>
      <c r="H15" t="s">
        <v>12</v>
      </c>
      <c r="I15">
        <v>9.6415889830324147E-2</v>
      </c>
      <c r="J15" t="s">
        <v>6</v>
      </c>
      <c r="L15" t="s">
        <v>353</v>
      </c>
      <c r="M15" t="s">
        <v>12</v>
      </c>
      <c r="N15">
        <v>0.10731155362628474</v>
      </c>
      <c r="O15" t="s">
        <v>6</v>
      </c>
    </row>
    <row r="16" spans="2:15" x14ac:dyDescent="0.45">
      <c r="B16" t="s">
        <v>351</v>
      </c>
      <c r="C16" t="s">
        <v>13</v>
      </c>
      <c r="D16">
        <v>1.5706643875186062E-2</v>
      </c>
      <c r="E16" t="s">
        <v>6</v>
      </c>
      <c r="G16" t="s">
        <v>352</v>
      </c>
      <c r="H16" t="s">
        <v>13</v>
      </c>
      <c r="I16">
        <v>6.320536234205211E-2</v>
      </c>
      <c r="J16" t="s">
        <v>6</v>
      </c>
      <c r="L16" t="s">
        <v>353</v>
      </c>
      <c r="M16" t="s">
        <v>13</v>
      </c>
      <c r="N16">
        <v>6.9255649925386895E-2</v>
      </c>
      <c r="O16" t="s">
        <v>6</v>
      </c>
    </row>
    <row r="17" spans="2:15" x14ac:dyDescent="0.45">
      <c r="B17" t="s">
        <v>351</v>
      </c>
      <c r="C17" t="s">
        <v>14</v>
      </c>
      <c r="D17">
        <v>4.5386659992243256E-3</v>
      </c>
      <c r="E17" t="s">
        <v>6</v>
      </c>
      <c r="G17" t="s">
        <v>352</v>
      </c>
      <c r="H17" t="s">
        <v>14</v>
      </c>
      <c r="I17">
        <v>5.7933132950663269E-2</v>
      </c>
      <c r="J17" t="s">
        <v>6</v>
      </c>
      <c r="L17" t="s">
        <v>353</v>
      </c>
      <c r="M17" t="s">
        <v>14</v>
      </c>
      <c r="N17">
        <v>6.426211660981955E-2</v>
      </c>
      <c r="O17" t="s">
        <v>6</v>
      </c>
    </row>
    <row r="18" spans="2:15" x14ac:dyDescent="0.45">
      <c r="B18" t="s">
        <v>351</v>
      </c>
      <c r="C18" t="s">
        <v>15</v>
      </c>
      <c r="D18">
        <v>0.34114889468933723</v>
      </c>
      <c r="E18" t="s">
        <v>6</v>
      </c>
      <c r="G18" t="s">
        <v>352</v>
      </c>
      <c r="H18" t="s">
        <v>15</v>
      </c>
      <c r="I18">
        <v>5.8757085922230189E-2</v>
      </c>
      <c r="J18" t="s">
        <v>6</v>
      </c>
      <c r="L18" t="s">
        <v>353</v>
      </c>
      <c r="M18" t="s">
        <v>15</v>
      </c>
      <c r="N18">
        <v>7.2034938583000516E-2</v>
      </c>
      <c r="O18" t="s">
        <v>6</v>
      </c>
    </row>
    <row r="19" spans="2:15" x14ac:dyDescent="0.45">
      <c r="B19" t="s">
        <v>351</v>
      </c>
      <c r="C19" t="s">
        <v>16</v>
      </c>
      <c r="D19">
        <v>2.574142028469097E-2</v>
      </c>
      <c r="E19" t="s">
        <v>6</v>
      </c>
      <c r="G19" t="s">
        <v>352</v>
      </c>
      <c r="H19" t="s">
        <v>16</v>
      </c>
      <c r="I19">
        <v>4.3865785420440125E-2</v>
      </c>
      <c r="J19" t="s">
        <v>6</v>
      </c>
      <c r="L19" t="s">
        <v>353</v>
      </c>
      <c r="M19" t="s">
        <v>16</v>
      </c>
      <c r="N19">
        <v>4.87581303543159E-2</v>
      </c>
      <c r="O19" t="s">
        <v>6</v>
      </c>
    </row>
    <row r="20" spans="2:15" x14ac:dyDescent="0.45">
      <c r="B20" t="s">
        <v>351</v>
      </c>
      <c r="C20" t="s">
        <v>17</v>
      </c>
      <c r="D20">
        <v>5.9352914885557778E-5</v>
      </c>
      <c r="E20" t="s">
        <v>6</v>
      </c>
      <c r="G20" t="s">
        <v>352</v>
      </c>
      <c r="H20" t="s">
        <v>17</v>
      </c>
      <c r="I20">
        <v>9.2353153797036722E-2</v>
      </c>
      <c r="J20" t="s">
        <v>6</v>
      </c>
      <c r="L20" t="s">
        <v>353</v>
      </c>
      <c r="M20" t="s">
        <v>17</v>
      </c>
      <c r="N20">
        <v>8.8523566664209977E-2</v>
      </c>
      <c r="O20" t="s">
        <v>6</v>
      </c>
    </row>
    <row r="21" spans="2:15" x14ac:dyDescent="0.45">
      <c r="B21" t="s">
        <v>351</v>
      </c>
      <c r="C21" t="s">
        <v>18</v>
      </c>
      <c r="D21">
        <v>0.18008124225749719</v>
      </c>
      <c r="E21" t="s">
        <v>6</v>
      </c>
      <c r="G21" t="s">
        <v>352</v>
      </c>
      <c r="H21" t="s">
        <v>18</v>
      </c>
      <c r="I21">
        <v>0.10474318024884249</v>
      </c>
      <c r="J21" t="s">
        <v>6</v>
      </c>
      <c r="L21" t="s">
        <v>353</v>
      </c>
      <c r="M21" t="s">
        <v>18</v>
      </c>
      <c r="N21">
        <v>0.11041544128741358</v>
      </c>
      <c r="O21" t="s">
        <v>6</v>
      </c>
    </row>
    <row r="22" spans="2:15" x14ac:dyDescent="0.45">
      <c r="B22" t="s">
        <v>351</v>
      </c>
      <c r="C22" t="s">
        <v>19</v>
      </c>
      <c r="D22">
        <v>2.6444311066946627E-3</v>
      </c>
      <c r="E22" t="s">
        <v>6</v>
      </c>
      <c r="G22" t="s">
        <v>352</v>
      </c>
      <c r="H22" t="s">
        <v>19</v>
      </c>
      <c r="I22">
        <v>7.2305336556232752E-2</v>
      </c>
      <c r="J22" t="s">
        <v>6</v>
      </c>
      <c r="L22" t="s">
        <v>353</v>
      </c>
      <c r="M22" t="s">
        <v>19</v>
      </c>
      <c r="N22">
        <v>6.8202351444191622E-2</v>
      </c>
      <c r="O22" t="s">
        <v>6</v>
      </c>
    </row>
    <row r="23" spans="2:15" x14ac:dyDescent="0.45">
      <c r="B23" t="s">
        <v>354</v>
      </c>
      <c r="C23" t="s">
        <v>5</v>
      </c>
      <c r="D23">
        <v>0</v>
      </c>
      <c r="E23" t="s">
        <v>6</v>
      </c>
      <c r="G23" t="s">
        <v>355</v>
      </c>
      <c r="H23" t="s">
        <v>5</v>
      </c>
      <c r="I23">
        <v>0.11726646558841236</v>
      </c>
      <c r="J23" t="s">
        <v>6</v>
      </c>
      <c r="L23" t="s">
        <v>356</v>
      </c>
      <c r="M23" t="s">
        <v>5</v>
      </c>
      <c r="N23">
        <v>9.4625125284254513E-2</v>
      </c>
      <c r="O23" t="s">
        <v>6</v>
      </c>
    </row>
    <row r="24" spans="2:15" x14ac:dyDescent="0.45">
      <c r="B24" t="s">
        <v>354</v>
      </c>
      <c r="C24" t="s">
        <v>9</v>
      </c>
      <c r="D24">
        <v>0.10835351517507678</v>
      </c>
      <c r="E24" t="s">
        <v>6</v>
      </c>
      <c r="G24" t="s">
        <v>355</v>
      </c>
      <c r="H24" t="s">
        <v>9</v>
      </c>
      <c r="I24">
        <v>0.13170453042569652</v>
      </c>
      <c r="J24" t="s">
        <v>6</v>
      </c>
      <c r="L24" t="s">
        <v>356</v>
      </c>
      <c r="M24" t="s">
        <v>9</v>
      </c>
      <c r="N24">
        <v>0.11732769977563821</v>
      </c>
      <c r="O24" t="s">
        <v>6</v>
      </c>
    </row>
    <row r="25" spans="2:15" x14ac:dyDescent="0.45">
      <c r="B25" t="s">
        <v>354</v>
      </c>
      <c r="C25" t="s">
        <v>10</v>
      </c>
      <c r="D25">
        <v>2.7711929143330895E-4</v>
      </c>
      <c r="E25" t="s">
        <v>6</v>
      </c>
      <c r="G25" t="s">
        <v>355</v>
      </c>
      <c r="H25" t="s">
        <v>10</v>
      </c>
      <c r="I25">
        <v>8.4508544461736904E-2</v>
      </c>
      <c r="J25" t="s">
        <v>6</v>
      </c>
      <c r="L25" t="s">
        <v>356</v>
      </c>
      <c r="M25" t="s">
        <v>10</v>
      </c>
      <c r="N25">
        <v>7.2789589335372315E-2</v>
      </c>
      <c r="O25" t="s">
        <v>6</v>
      </c>
    </row>
    <row r="26" spans="2:15" x14ac:dyDescent="0.45">
      <c r="B26" t="s">
        <v>354</v>
      </c>
      <c r="C26" t="s">
        <v>11</v>
      </c>
      <c r="D26">
        <v>2.7262841087710228E-3</v>
      </c>
      <c r="E26" t="s">
        <v>6</v>
      </c>
      <c r="G26" t="s">
        <v>355</v>
      </c>
      <c r="H26" t="s">
        <v>11</v>
      </c>
      <c r="I26">
        <v>8.1821385070093761E-2</v>
      </c>
      <c r="J26" t="s">
        <v>6</v>
      </c>
      <c r="L26" t="s">
        <v>356</v>
      </c>
      <c r="M26" t="s">
        <v>11</v>
      </c>
      <c r="N26">
        <v>8.5400278348786204E-2</v>
      </c>
      <c r="O26" t="s">
        <v>6</v>
      </c>
    </row>
    <row r="27" spans="2:15" x14ac:dyDescent="0.45">
      <c r="B27" t="s">
        <v>354</v>
      </c>
      <c r="C27" t="s">
        <v>12</v>
      </c>
      <c r="D27">
        <v>0.30893345605476258</v>
      </c>
      <c r="E27" t="s">
        <v>6</v>
      </c>
      <c r="G27" t="s">
        <v>355</v>
      </c>
      <c r="H27" t="s">
        <v>12</v>
      </c>
      <c r="I27">
        <v>9.2131643694120399E-2</v>
      </c>
      <c r="J27" t="s">
        <v>6</v>
      </c>
      <c r="L27" t="s">
        <v>356</v>
      </c>
      <c r="M27" t="s">
        <v>12</v>
      </c>
      <c r="N27">
        <v>0.11033456893198371</v>
      </c>
      <c r="O27" t="s">
        <v>6</v>
      </c>
    </row>
    <row r="28" spans="2:15" x14ac:dyDescent="0.45">
      <c r="B28" t="s">
        <v>354</v>
      </c>
      <c r="C28" t="s">
        <v>13</v>
      </c>
      <c r="D28">
        <v>1.3686067942225894E-2</v>
      </c>
      <c r="E28" t="s">
        <v>6</v>
      </c>
      <c r="G28" t="s">
        <v>355</v>
      </c>
      <c r="H28" t="s">
        <v>13</v>
      </c>
      <c r="I28">
        <v>6.1080297962851207E-2</v>
      </c>
      <c r="J28" t="s">
        <v>6</v>
      </c>
      <c r="L28" t="s">
        <v>356</v>
      </c>
      <c r="M28" t="s">
        <v>13</v>
      </c>
      <c r="N28">
        <v>6.7797299609908948E-2</v>
      </c>
      <c r="O28" t="s">
        <v>6</v>
      </c>
    </row>
    <row r="29" spans="2:15" x14ac:dyDescent="0.45">
      <c r="B29" t="s">
        <v>354</v>
      </c>
      <c r="C29" t="s">
        <v>14</v>
      </c>
      <c r="D29">
        <v>5.8585256828740393E-3</v>
      </c>
      <c r="E29" t="s">
        <v>6</v>
      </c>
      <c r="G29" t="s">
        <v>355</v>
      </c>
      <c r="H29" t="s">
        <v>14</v>
      </c>
      <c r="I29">
        <v>5.8339112121283281E-2</v>
      </c>
      <c r="J29" t="s">
        <v>6</v>
      </c>
      <c r="L29" t="s">
        <v>356</v>
      </c>
      <c r="M29" t="s">
        <v>14</v>
      </c>
      <c r="N29">
        <v>6.2809407355100474E-2</v>
      </c>
      <c r="O29" t="s">
        <v>6</v>
      </c>
    </row>
    <row r="30" spans="2:15" x14ac:dyDescent="0.45">
      <c r="B30" t="s">
        <v>354</v>
      </c>
      <c r="C30" t="s">
        <v>15</v>
      </c>
      <c r="D30">
        <v>0.34859651541809078</v>
      </c>
      <c r="E30" t="s">
        <v>6</v>
      </c>
      <c r="G30" t="s">
        <v>355</v>
      </c>
      <c r="H30" t="s">
        <v>15</v>
      </c>
      <c r="I30">
        <v>5.5900552214493297E-2</v>
      </c>
      <c r="J30" t="s">
        <v>6</v>
      </c>
      <c r="L30" t="s">
        <v>356</v>
      </c>
      <c r="M30" t="s">
        <v>15</v>
      </c>
      <c r="N30">
        <v>7.0522600297325613E-2</v>
      </c>
      <c r="O30" t="s">
        <v>6</v>
      </c>
    </row>
    <row r="31" spans="2:15" x14ac:dyDescent="0.45">
      <c r="B31" t="s">
        <v>354</v>
      </c>
      <c r="C31" t="s">
        <v>16</v>
      </c>
      <c r="D31">
        <v>2.4535562131164611E-2</v>
      </c>
      <c r="E31" t="s">
        <v>6</v>
      </c>
      <c r="G31" t="s">
        <v>355</v>
      </c>
      <c r="H31" t="s">
        <v>16</v>
      </c>
      <c r="I31">
        <v>4.053446402690869E-2</v>
      </c>
      <c r="J31" t="s">
        <v>6</v>
      </c>
      <c r="L31" t="s">
        <v>356</v>
      </c>
      <c r="M31" t="s">
        <v>16</v>
      </c>
      <c r="N31">
        <v>4.2532783184712E-2</v>
      </c>
      <c r="O31" t="s">
        <v>6</v>
      </c>
    </row>
    <row r="32" spans="2:15" x14ac:dyDescent="0.45">
      <c r="B32" t="s">
        <v>354</v>
      </c>
      <c r="C32" t="s">
        <v>17</v>
      </c>
      <c r="D32">
        <v>1.2319855446847049E-4</v>
      </c>
      <c r="E32" t="s">
        <v>6</v>
      </c>
      <c r="G32" t="s">
        <v>355</v>
      </c>
      <c r="H32" t="s">
        <v>17</v>
      </c>
      <c r="I32">
        <v>9.5643021560567879E-2</v>
      </c>
      <c r="J32" t="s">
        <v>6</v>
      </c>
      <c r="L32" t="s">
        <v>356</v>
      </c>
      <c r="M32" t="s">
        <v>17</v>
      </c>
      <c r="N32">
        <v>9.1895022573176374E-2</v>
      </c>
      <c r="O32" t="s">
        <v>6</v>
      </c>
    </row>
    <row r="33" spans="2:15" x14ac:dyDescent="0.45">
      <c r="B33" t="s">
        <v>354</v>
      </c>
      <c r="C33" t="s">
        <v>18</v>
      </c>
      <c r="D33">
        <v>0.1847029137928497</v>
      </c>
      <c r="E33" t="s">
        <v>6</v>
      </c>
      <c r="G33" t="s">
        <v>355</v>
      </c>
      <c r="H33" t="s">
        <v>18</v>
      </c>
      <c r="I33">
        <v>0.10576906154325151</v>
      </c>
      <c r="J33" t="s">
        <v>6</v>
      </c>
      <c r="L33" t="s">
        <v>356</v>
      </c>
      <c r="M33" t="s">
        <v>18</v>
      </c>
      <c r="N33">
        <v>0.11505267131099631</v>
      </c>
      <c r="O33" t="s">
        <v>6</v>
      </c>
    </row>
    <row r="34" spans="2:15" x14ac:dyDescent="0.45">
      <c r="B34" t="s">
        <v>354</v>
      </c>
      <c r="C34" t="s">
        <v>19</v>
      </c>
      <c r="D34">
        <v>2.206841848280558E-3</v>
      </c>
      <c r="E34" t="s">
        <v>6</v>
      </c>
      <c r="G34" t="s">
        <v>355</v>
      </c>
      <c r="H34" t="s">
        <v>19</v>
      </c>
      <c r="I34">
        <v>7.5300921330584039E-2</v>
      </c>
      <c r="J34" t="s">
        <v>6</v>
      </c>
      <c r="L34" t="s">
        <v>356</v>
      </c>
      <c r="M34" t="s">
        <v>19</v>
      </c>
      <c r="N34">
        <v>6.8912953992745302E-2</v>
      </c>
      <c r="O34" t="s">
        <v>6</v>
      </c>
    </row>
    <row r="35" spans="2:15" x14ac:dyDescent="0.45">
      <c r="B35" t="s">
        <v>357</v>
      </c>
      <c r="C35" t="s">
        <v>5</v>
      </c>
      <c r="D35">
        <v>0</v>
      </c>
      <c r="E35" t="s">
        <v>6</v>
      </c>
      <c r="G35" t="s">
        <v>358</v>
      </c>
      <c r="H35" t="s">
        <v>5</v>
      </c>
      <c r="I35">
        <v>0.11294987999731575</v>
      </c>
      <c r="J35" t="s">
        <v>6</v>
      </c>
      <c r="L35" t="s">
        <v>359</v>
      </c>
      <c r="M35" t="s">
        <v>5</v>
      </c>
      <c r="N35">
        <v>9.4791556991647943E-2</v>
      </c>
      <c r="O35" t="s">
        <v>6</v>
      </c>
    </row>
    <row r="36" spans="2:15" x14ac:dyDescent="0.45">
      <c r="B36" t="s">
        <v>357</v>
      </c>
      <c r="C36" t="s">
        <v>9</v>
      </c>
      <c r="D36">
        <v>0.13252038602722696</v>
      </c>
      <c r="E36" t="s">
        <v>6</v>
      </c>
      <c r="G36" t="s">
        <v>358</v>
      </c>
      <c r="H36" t="s">
        <v>9</v>
      </c>
      <c r="I36">
        <v>0.1289643676983257</v>
      </c>
      <c r="J36" t="s">
        <v>6</v>
      </c>
      <c r="L36" t="s">
        <v>359</v>
      </c>
      <c r="M36" t="s">
        <v>9</v>
      </c>
      <c r="N36">
        <v>0.11718760423670491</v>
      </c>
      <c r="O36" t="s">
        <v>6</v>
      </c>
    </row>
    <row r="37" spans="2:15" x14ac:dyDescent="0.45">
      <c r="B37" t="s">
        <v>357</v>
      </c>
      <c r="C37" t="s">
        <v>10</v>
      </c>
      <c r="D37">
        <v>7.031369505120749E-4</v>
      </c>
      <c r="E37" t="s">
        <v>6</v>
      </c>
      <c r="G37" t="s">
        <v>358</v>
      </c>
      <c r="H37" t="s">
        <v>10</v>
      </c>
      <c r="I37">
        <v>8.2877523749249074E-2</v>
      </c>
      <c r="J37" t="s">
        <v>6</v>
      </c>
      <c r="L37" t="s">
        <v>359</v>
      </c>
      <c r="M37" t="s">
        <v>10</v>
      </c>
      <c r="N37">
        <v>7.1695539438901792E-2</v>
      </c>
      <c r="O37" t="s">
        <v>6</v>
      </c>
    </row>
    <row r="38" spans="2:15" x14ac:dyDescent="0.45">
      <c r="B38" t="s">
        <v>357</v>
      </c>
      <c r="C38" t="s">
        <v>11</v>
      </c>
      <c r="D38">
        <v>1.5117656504823526E-3</v>
      </c>
      <c r="E38" t="s">
        <v>6</v>
      </c>
      <c r="G38" t="s">
        <v>358</v>
      </c>
      <c r="H38" t="s">
        <v>11</v>
      </c>
      <c r="I38">
        <v>8.2848154581423958E-2</v>
      </c>
      <c r="J38" t="s">
        <v>6</v>
      </c>
      <c r="L38" t="s">
        <v>359</v>
      </c>
      <c r="M38" t="s">
        <v>11</v>
      </c>
      <c r="N38">
        <v>8.5478807181075298E-2</v>
      </c>
      <c r="O38" t="s">
        <v>6</v>
      </c>
    </row>
    <row r="39" spans="2:15" x14ac:dyDescent="0.45">
      <c r="B39" t="s">
        <v>357</v>
      </c>
      <c r="C39" t="s">
        <v>12</v>
      </c>
      <c r="D39">
        <v>0.29285763257941688</v>
      </c>
      <c r="E39" t="s">
        <v>6</v>
      </c>
      <c r="G39" t="s">
        <v>358</v>
      </c>
      <c r="H39" t="s">
        <v>12</v>
      </c>
      <c r="I39">
        <v>0.1001784380417886</v>
      </c>
      <c r="J39" t="s">
        <v>6</v>
      </c>
      <c r="L39" t="s">
        <v>359</v>
      </c>
      <c r="M39" t="s">
        <v>12</v>
      </c>
      <c r="N39">
        <v>0.11024253626295995</v>
      </c>
      <c r="O39" t="s">
        <v>6</v>
      </c>
    </row>
    <row r="40" spans="2:15" x14ac:dyDescent="0.45">
      <c r="B40" t="s">
        <v>357</v>
      </c>
      <c r="C40" t="s">
        <v>13</v>
      </c>
      <c r="D40">
        <v>1.5890941787909896E-2</v>
      </c>
      <c r="E40" t="s">
        <v>6</v>
      </c>
      <c r="G40" t="s">
        <v>358</v>
      </c>
      <c r="H40" t="s">
        <v>13</v>
      </c>
      <c r="I40">
        <v>6.3372638374043611E-2</v>
      </c>
      <c r="J40" t="s">
        <v>6</v>
      </c>
      <c r="L40" t="s">
        <v>359</v>
      </c>
      <c r="M40" t="s">
        <v>13</v>
      </c>
      <c r="N40">
        <v>6.7314438508610852E-2</v>
      </c>
      <c r="O40" t="s">
        <v>6</v>
      </c>
    </row>
    <row r="41" spans="2:15" x14ac:dyDescent="0.45">
      <c r="B41" t="s">
        <v>357</v>
      </c>
      <c r="C41" t="s">
        <v>14</v>
      </c>
      <c r="D41">
        <v>3.6727253040702611E-3</v>
      </c>
      <c r="E41" t="s">
        <v>6</v>
      </c>
      <c r="G41" t="s">
        <v>358</v>
      </c>
      <c r="H41" t="s">
        <v>14</v>
      </c>
      <c r="I41">
        <v>5.9546757992851862E-2</v>
      </c>
      <c r="J41" t="s">
        <v>6</v>
      </c>
      <c r="L41" t="s">
        <v>359</v>
      </c>
      <c r="M41" t="s">
        <v>14</v>
      </c>
      <c r="N41">
        <v>6.2724126356032001E-2</v>
      </c>
      <c r="O41" t="s">
        <v>6</v>
      </c>
    </row>
    <row r="42" spans="2:15" x14ac:dyDescent="0.45">
      <c r="B42" t="s">
        <v>357</v>
      </c>
      <c r="C42" t="s">
        <v>15</v>
      </c>
      <c r="D42">
        <v>0.33731868348334154</v>
      </c>
      <c r="E42" t="s">
        <v>6</v>
      </c>
      <c r="G42" t="s">
        <v>358</v>
      </c>
      <c r="H42" t="s">
        <v>15</v>
      </c>
      <c r="I42">
        <v>5.7284667088801977E-2</v>
      </c>
      <c r="J42" t="s">
        <v>6</v>
      </c>
      <c r="L42" t="s">
        <v>359</v>
      </c>
      <c r="M42" t="s">
        <v>15</v>
      </c>
      <c r="N42">
        <v>7.0497733851774269E-2</v>
      </c>
      <c r="O42" t="s">
        <v>6</v>
      </c>
    </row>
    <row r="43" spans="2:15" x14ac:dyDescent="0.45">
      <c r="B43" t="s">
        <v>357</v>
      </c>
      <c r="C43" t="s">
        <v>16</v>
      </c>
      <c r="D43">
        <v>2.7562687841596285E-2</v>
      </c>
      <c r="E43" t="s">
        <v>6</v>
      </c>
      <c r="G43" t="s">
        <v>358</v>
      </c>
      <c r="H43" t="s">
        <v>16</v>
      </c>
      <c r="I43">
        <v>4.4611382354968393E-2</v>
      </c>
      <c r="J43" t="s">
        <v>6</v>
      </c>
      <c r="L43" t="s">
        <v>359</v>
      </c>
      <c r="M43" t="s">
        <v>16</v>
      </c>
      <c r="N43">
        <v>4.2238299807628187E-2</v>
      </c>
      <c r="O43" t="s">
        <v>6</v>
      </c>
    </row>
    <row r="44" spans="2:15" x14ac:dyDescent="0.45">
      <c r="B44" t="s">
        <v>357</v>
      </c>
      <c r="C44" t="s">
        <v>17</v>
      </c>
      <c r="D44">
        <v>5.1859109013847976E-5</v>
      </c>
      <c r="E44" t="s">
        <v>6</v>
      </c>
      <c r="G44" t="s">
        <v>358</v>
      </c>
      <c r="H44" t="s">
        <v>17</v>
      </c>
      <c r="I44">
        <v>9.0508911530154681E-2</v>
      </c>
      <c r="J44" t="s">
        <v>6</v>
      </c>
      <c r="L44" t="s">
        <v>359</v>
      </c>
      <c r="M44" t="s">
        <v>17</v>
      </c>
      <c r="N44">
        <v>9.2509057995431992E-2</v>
      </c>
      <c r="O44" t="s">
        <v>6</v>
      </c>
    </row>
    <row r="45" spans="2:15" x14ac:dyDescent="0.45">
      <c r="B45" t="s">
        <v>357</v>
      </c>
      <c r="C45" t="s">
        <v>18</v>
      </c>
      <c r="D45">
        <v>0.18475199203038697</v>
      </c>
      <c r="E45" t="s">
        <v>6</v>
      </c>
      <c r="G45" t="s">
        <v>358</v>
      </c>
      <c r="H45" t="s">
        <v>18</v>
      </c>
      <c r="I45">
        <v>0.1037109772859935</v>
      </c>
      <c r="J45" t="s">
        <v>6</v>
      </c>
      <c r="L45" t="s">
        <v>359</v>
      </c>
      <c r="M45" t="s">
        <v>18</v>
      </c>
      <c r="N45">
        <v>0.11660364735623741</v>
      </c>
      <c r="O45" t="s">
        <v>6</v>
      </c>
    </row>
    <row r="46" spans="2:15" x14ac:dyDescent="0.45">
      <c r="B46" t="s">
        <v>357</v>
      </c>
      <c r="C46" t="s">
        <v>19</v>
      </c>
      <c r="D46">
        <v>3.1581892360431079E-3</v>
      </c>
      <c r="E46" t="s">
        <v>6</v>
      </c>
      <c r="G46" t="s">
        <v>358</v>
      </c>
      <c r="H46" t="s">
        <v>19</v>
      </c>
      <c r="I46">
        <v>7.3146301305081637E-2</v>
      </c>
      <c r="J46" t="s">
        <v>6</v>
      </c>
      <c r="L46" t="s">
        <v>359</v>
      </c>
      <c r="M46" t="s">
        <v>19</v>
      </c>
      <c r="N46">
        <v>6.8716652012995413E-2</v>
      </c>
      <c r="O46" t="s">
        <v>6</v>
      </c>
    </row>
    <row r="47" spans="2:15" x14ac:dyDescent="0.45">
      <c r="B47" t="s">
        <v>360</v>
      </c>
      <c r="C47" t="s">
        <v>5</v>
      </c>
      <c r="D47">
        <v>0</v>
      </c>
      <c r="E47" t="s">
        <v>6</v>
      </c>
      <c r="G47" t="s">
        <v>361</v>
      </c>
      <c r="H47" t="s">
        <v>5</v>
      </c>
      <c r="I47">
        <v>0.10957208530849313</v>
      </c>
      <c r="J47" t="s">
        <v>6</v>
      </c>
      <c r="L47" t="s">
        <v>362</v>
      </c>
      <c r="M47" t="s">
        <v>5</v>
      </c>
      <c r="N47">
        <v>9.4297434869582128E-2</v>
      </c>
      <c r="O47" t="s">
        <v>6</v>
      </c>
    </row>
    <row r="48" spans="2:15" x14ac:dyDescent="0.45">
      <c r="B48" t="s">
        <v>360</v>
      </c>
      <c r="C48" t="s">
        <v>9</v>
      </c>
      <c r="D48">
        <v>0.13329341106264395</v>
      </c>
      <c r="E48" t="s">
        <v>6</v>
      </c>
      <c r="G48" t="s">
        <v>361</v>
      </c>
      <c r="H48" t="s">
        <v>9</v>
      </c>
      <c r="I48">
        <v>0.12637273936110643</v>
      </c>
      <c r="J48" t="s">
        <v>6</v>
      </c>
      <c r="L48" t="s">
        <v>362</v>
      </c>
      <c r="M48" t="s">
        <v>9</v>
      </c>
      <c r="N48">
        <v>0.11751697212487414</v>
      </c>
      <c r="O48" t="s">
        <v>6</v>
      </c>
    </row>
    <row r="49" spans="2:15" x14ac:dyDescent="0.45">
      <c r="B49" t="s">
        <v>360</v>
      </c>
      <c r="C49" t="s">
        <v>10</v>
      </c>
      <c r="D49">
        <v>7.9708698610308929E-4</v>
      </c>
      <c r="E49" t="s">
        <v>6</v>
      </c>
      <c r="G49" t="s">
        <v>361</v>
      </c>
      <c r="H49" t="s">
        <v>10</v>
      </c>
      <c r="I49">
        <v>8.0694021935634852E-2</v>
      </c>
      <c r="J49" t="s">
        <v>6</v>
      </c>
      <c r="L49" t="s">
        <v>362</v>
      </c>
      <c r="M49" t="s">
        <v>10</v>
      </c>
      <c r="N49">
        <v>7.0547904928170369E-2</v>
      </c>
      <c r="O49" t="s">
        <v>6</v>
      </c>
    </row>
    <row r="50" spans="2:15" x14ac:dyDescent="0.45">
      <c r="B50" t="s">
        <v>360</v>
      </c>
      <c r="C50" t="s">
        <v>11</v>
      </c>
      <c r="D50">
        <v>1.5725186059979408E-3</v>
      </c>
      <c r="E50" t="s">
        <v>6</v>
      </c>
      <c r="G50" t="s">
        <v>361</v>
      </c>
      <c r="H50" t="s">
        <v>11</v>
      </c>
      <c r="I50">
        <v>8.624433763598395E-2</v>
      </c>
      <c r="J50" t="s">
        <v>6</v>
      </c>
      <c r="L50" t="s">
        <v>362</v>
      </c>
      <c r="M50" t="s">
        <v>11</v>
      </c>
      <c r="N50">
        <v>8.4681917469392673E-2</v>
      </c>
      <c r="O50" t="s">
        <v>6</v>
      </c>
    </row>
    <row r="51" spans="2:15" x14ac:dyDescent="0.45">
      <c r="B51" t="s">
        <v>360</v>
      </c>
      <c r="C51" t="s">
        <v>12</v>
      </c>
      <c r="D51">
        <v>0.28515840061777936</v>
      </c>
      <c r="E51" t="s">
        <v>6</v>
      </c>
      <c r="G51" t="s">
        <v>361</v>
      </c>
      <c r="H51" t="s">
        <v>12</v>
      </c>
      <c r="I51">
        <v>0.10195232119863434</v>
      </c>
      <c r="J51" t="s">
        <v>6</v>
      </c>
      <c r="L51" t="s">
        <v>362</v>
      </c>
      <c r="M51" t="s">
        <v>12</v>
      </c>
      <c r="N51">
        <v>0.10659129307032544</v>
      </c>
      <c r="O51" t="s">
        <v>6</v>
      </c>
    </row>
    <row r="52" spans="2:15" x14ac:dyDescent="0.45">
      <c r="B52" t="s">
        <v>360</v>
      </c>
      <c r="C52" t="s">
        <v>13</v>
      </c>
      <c r="D52">
        <v>1.5385887537594936E-2</v>
      </c>
      <c r="E52" t="s">
        <v>6</v>
      </c>
      <c r="G52" t="s">
        <v>361</v>
      </c>
      <c r="H52" t="s">
        <v>13</v>
      </c>
      <c r="I52">
        <v>6.2305820879613345E-2</v>
      </c>
      <c r="J52" t="s">
        <v>6</v>
      </c>
      <c r="L52" t="s">
        <v>362</v>
      </c>
      <c r="M52" t="s">
        <v>13</v>
      </c>
      <c r="N52">
        <v>6.731062175118542E-2</v>
      </c>
      <c r="O52" t="s">
        <v>6</v>
      </c>
    </row>
    <row r="53" spans="2:15" x14ac:dyDescent="0.45">
      <c r="B53" t="s">
        <v>360</v>
      </c>
      <c r="C53" t="s">
        <v>14</v>
      </c>
      <c r="D53">
        <v>3.7703130172106387E-3</v>
      </c>
      <c r="E53" t="s">
        <v>6</v>
      </c>
      <c r="G53" t="s">
        <v>361</v>
      </c>
      <c r="H53" t="s">
        <v>14</v>
      </c>
      <c r="I53">
        <v>6.1114357058824724E-2</v>
      </c>
      <c r="J53" t="s">
        <v>6</v>
      </c>
      <c r="L53" t="s">
        <v>362</v>
      </c>
      <c r="M53" t="s">
        <v>14</v>
      </c>
      <c r="N53">
        <v>6.448675777988247E-2</v>
      </c>
      <c r="O53" t="s">
        <v>6</v>
      </c>
    </row>
    <row r="54" spans="2:15" x14ac:dyDescent="0.45">
      <c r="B54" t="s">
        <v>360</v>
      </c>
      <c r="C54" t="s">
        <v>15</v>
      </c>
      <c r="D54">
        <v>0.33721262520697226</v>
      </c>
      <c r="E54" t="s">
        <v>6</v>
      </c>
      <c r="G54" t="s">
        <v>361</v>
      </c>
      <c r="H54" t="s">
        <v>15</v>
      </c>
      <c r="I54">
        <v>5.8974178706179589E-2</v>
      </c>
      <c r="J54" t="s">
        <v>6</v>
      </c>
      <c r="L54" t="s">
        <v>362</v>
      </c>
      <c r="M54" t="s">
        <v>15</v>
      </c>
      <c r="N54">
        <v>7.7047181487439928E-2</v>
      </c>
      <c r="O54" t="s">
        <v>6</v>
      </c>
    </row>
    <row r="55" spans="2:15" x14ac:dyDescent="0.45">
      <c r="B55" t="s">
        <v>360</v>
      </c>
      <c r="C55" t="s">
        <v>16</v>
      </c>
      <c r="D55">
        <v>2.7212360883060595E-2</v>
      </c>
      <c r="E55" t="s">
        <v>6</v>
      </c>
      <c r="G55" t="s">
        <v>361</v>
      </c>
      <c r="H55" t="s">
        <v>16</v>
      </c>
      <c r="I55">
        <v>4.5760310514356736E-2</v>
      </c>
      <c r="J55" t="s">
        <v>6</v>
      </c>
      <c r="L55" t="s">
        <v>362</v>
      </c>
      <c r="M55" t="s">
        <v>16</v>
      </c>
      <c r="N55">
        <v>4.4357908309497422E-2</v>
      </c>
      <c r="O55" t="s">
        <v>6</v>
      </c>
    </row>
    <row r="56" spans="2:15" x14ac:dyDescent="0.45">
      <c r="B56" t="s">
        <v>360</v>
      </c>
      <c r="C56" t="s">
        <v>17</v>
      </c>
      <c r="D56">
        <v>4.9749477541825413E-5</v>
      </c>
      <c r="E56" t="s">
        <v>6</v>
      </c>
      <c r="G56" t="s">
        <v>361</v>
      </c>
      <c r="H56" t="s">
        <v>17</v>
      </c>
      <c r="I56">
        <v>8.9130952704113114E-2</v>
      </c>
      <c r="J56" t="s">
        <v>6</v>
      </c>
      <c r="L56" t="s">
        <v>362</v>
      </c>
      <c r="M56" t="s">
        <v>17</v>
      </c>
      <c r="N56">
        <v>9.0762239227191843E-2</v>
      </c>
      <c r="O56" t="s">
        <v>6</v>
      </c>
    </row>
    <row r="57" spans="2:15" x14ac:dyDescent="0.45">
      <c r="B57" t="s">
        <v>360</v>
      </c>
      <c r="C57" t="s">
        <v>18</v>
      </c>
      <c r="D57">
        <v>0.19233745811368899</v>
      </c>
      <c r="E57" t="s">
        <v>6</v>
      </c>
      <c r="G57" t="s">
        <v>361</v>
      </c>
      <c r="H57" t="s">
        <v>18</v>
      </c>
      <c r="I57">
        <v>0.10477345661443835</v>
      </c>
      <c r="J57" t="s">
        <v>6</v>
      </c>
      <c r="L57" t="s">
        <v>362</v>
      </c>
      <c r="M57" t="s">
        <v>18</v>
      </c>
      <c r="N57">
        <v>0.11361379151588948</v>
      </c>
      <c r="O57" t="s">
        <v>6</v>
      </c>
    </row>
    <row r="58" spans="2:15" x14ac:dyDescent="0.45">
      <c r="B58" t="s">
        <v>360</v>
      </c>
      <c r="C58" t="s">
        <v>19</v>
      </c>
      <c r="D58">
        <v>3.2101884914063606E-3</v>
      </c>
      <c r="E58" t="s">
        <v>6</v>
      </c>
      <c r="G58" t="s">
        <v>361</v>
      </c>
      <c r="H58" t="s">
        <v>19</v>
      </c>
      <c r="I58">
        <v>7.3105418082621443E-2</v>
      </c>
      <c r="J58" t="s">
        <v>6</v>
      </c>
      <c r="L58" t="s">
        <v>362</v>
      </c>
      <c r="M58" t="s">
        <v>19</v>
      </c>
      <c r="N58">
        <v>6.8785977466568685E-2</v>
      </c>
      <c r="O58" t="s">
        <v>6</v>
      </c>
    </row>
    <row r="59" spans="2:15" x14ac:dyDescent="0.45">
      <c r="B59" t="s">
        <v>363</v>
      </c>
      <c r="C59" t="s">
        <v>5</v>
      </c>
      <c r="D59">
        <v>0</v>
      </c>
      <c r="E59" t="s">
        <v>6</v>
      </c>
      <c r="G59" t="s">
        <v>364</v>
      </c>
      <c r="H59" t="s">
        <v>5</v>
      </c>
      <c r="I59">
        <v>9.8769345617514132E-2</v>
      </c>
      <c r="J59" t="s">
        <v>6</v>
      </c>
      <c r="L59" t="s">
        <v>365</v>
      </c>
      <c r="M59" t="s">
        <v>5</v>
      </c>
      <c r="N59">
        <v>9.3475749520434873E-2</v>
      </c>
      <c r="O59" t="s">
        <v>6</v>
      </c>
    </row>
    <row r="60" spans="2:15" x14ac:dyDescent="0.45">
      <c r="B60" t="s">
        <v>363</v>
      </c>
      <c r="C60" t="s">
        <v>9</v>
      </c>
      <c r="D60">
        <v>0.13012014193578034</v>
      </c>
      <c r="E60" t="s">
        <v>6</v>
      </c>
      <c r="G60" t="s">
        <v>364</v>
      </c>
      <c r="H60" t="s">
        <v>9</v>
      </c>
      <c r="I60">
        <v>0.12095075222755948</v>
      </c>
      <c r="J60" t="s">
        <v>6</v>
      </c>
      <c r="L60" t="s">
        <v>365</v>
      </c>
      <c r="M60" t="s">
        <v>9</v>
      </c>
      <c r="N60">
        <v>0.11725085939809077</v>
      </c>
      <c r="O60" t="s">
        <v>6</v>
      </c>
    </row>
    <row r="61" spans="2:15" x14ac:dyDescent="0.45">
      <c r="B61" t="s">
        <v>363</v>
      </c>
      <c r="C61" t="s">
        <v>10</v>
      </c>
      <c r="D61">
        <v>4.8410822611957095E-4</v>
      </c>
      <c r="E61" t="s">
        <v>6</v>
      </c>
      <c r="G61" t="s">
        <v>364</v>
      </c>
      <c r="H61" t="s">
        <v>10</v>
      </c>
      <c r="I61">
        <v>7.4710747959811433E-2</v>
      </c>
      <c r="J61" t="s">
        <v>6</v>
      </c>
      <c r="L61" t="s">
        <v>365</v>
      </c>
      <c r="M61" t="s">
        <v>10</v>
      </c>
      <c r="N61">
        <v>7.0304546103539783E-2</v>
      </c>
      <c r="O61" t="s">
        <v>6</v>
      </c>
    </row>
    <row r="62" spans="2:15" x14ac:dyDescent="0.45">
      <c r="B62" t="s">
        <v>363</v>
      </c>
      <c r="C62" t="s">
        <v>11</v>
      </c>
      <c r="D62">
        <v>1.8618644764619025E-3</v>
      </c>
      <c r="E62" t="s">
        <v>6</v>
      </c>
      <c r="G62" t="s">
        <v>364</v>
      </c>
      <c r="H62" t="s">
        <v>11</v>
      </c>
      <c r="I62">
        <v>8.4754514889035112E-2</v>
      </c>
      <c r="J62" t="s">
        <v>6</v>
      </c>
      <c r="L62" t="s">
        <v>365</v>
      </c>
      <c r="M62" t="s">
        <v>11</v>
      </c>
      <c r="N62">
        <v>8.4238306285427292E-2</v>
      </c>
      <c r="O62" t="s">
        <v>6</v>
      </c>
    </row>
    <row r="63" spans="2:15" x14ac:dyDescent="0.45">
      <c r="B63" t="s">
        <v>363</v>
      </c>
      <c r="C63" t="s">
        <v>12</v>
      </c>
      <c r="D63">
        <v>0.29557446038970553</v>
      </c>
      <c r="E63" t="s">
        <v>6</v>
      </c>
      <c r="G63" t="s">
        <v>364</v>
      </c>
      <c r="H63" t="s">
        <v>12</v>
      </c>
      <c r="I63">
        <v>9.9887914932890065E-2</v>
      </c>
      <c r="J63" t="s">
        <v>6</v>
      </c>
      <c r="L63" t="s">
        <v>365</v>
      </c>
      <c r="M63" t="s">
        <v>12</v>
      </c>
      <c r="N63">
        <v>0.10752734122594355</v>
      </c>
      <c r="O63" t="s">
        <v>6</v>
      </c>
    </row>
    <row r="64" spans="2:15" x14ac:dyDescent="0.45">
      <c r="B64" t="s">
        <v>363</v>
      </c>
      <c r="C64" t="s">
        <v>13</v>
      </c>
      <c r="D64">
        <v>1.4329858215744199E-2</v>
      </c>
      <c r="E64" t="s">
        <v>6</v>
      </c>
      <c r="G64" t="s">
        <v>364</v>
      </c>
      <c r="H64" t="s">
        <v>13</v>
      </c>
      <c r="I64">
        <v>6.6035130613571649E-2</v>
      </c>
      <c r="J64" t="s">
        <v>6</v>
      </c>
      <c r="L64" t="s">
        <v>365</v>
      </c>
      <c r="M64" t="s">
        <v>13</v>
      </c>
      <c r="N64">
        <v>6.7588861353358953E-2</v>
      </c>
      <c r="O64" t="s">
        <v>6</v>
      </c>
    </row>
    <row r="65" spans="2:15" x14ac:dyDescent="0.45">
      <c r="B65" t="s">
        <v>363</v>
      </c>
      <c r="C65" t="s">
        <v>14</v>
      </c>
      <c r="D65">
        <v>4.480585163462514E-3</v>
      </c>
      <c r="E65" t="s">
        <v>6</v>
      </c>
      <c r="G65" t="s">
        <v>364</v>
      </c>
      <c r="H65" t="s">
        <v>14</v>
      </c>
      <c r="I65">
        <v>6.2261696064780804E-2</v>
      </c>
      <c r="J65" t="s">
        <v>6</v>
      </c>
      <c r="L65" t="s">
        <v>365</v>
      </c>
      <c r="M65" t="s">
        <v>14</v>
      </c>
      <c r="N65">
        <v>6.3884072481544374E-2</v>
      </c>
      <c r="O65" t="s">
        <v>6</v>
      </c>
    </row>
    <row r="66" spans="2:15" x14ac:dyDescent="0.45">
      <c r="B66" t="s">
        <v>363</v>
      </c>
      <c r="C66" t="s">
        <v>15</v>
      </c>
      <c r="D66">
        <v>0.33435149267627512</v>
      </c>
      <c r="E66" t="s">
        <v>6</v>
      </c>
      <c r="G66" t="s">
        <v>364</v>
      </c>
      <c r="H66" t="s">
        <v>15</v>
      </c>
      <c r="I66">
        <v>7.616301500529668E-2</v>
      </c>
      <c r="J66" t="s">
        <v>6</v>
      </c>
      <c r="L66" t="s">
        <v>365</v>
      </c>
      <c r="M66" t="s">
        <v>15</v>
      </c>
      <c r="N66">
        <v>7.7801030134483237E-2</v>
      </c>
      <c r="O66" t="s">
        <v>6</v>
      </c>
    </row>
    <row r="67" spans="2:15" x14ac:dyDescent="0.45">
      <c r="B67" t="s">
        <v>363</v>
      </c>
      <c r="C67" t="s">
        <v>16</v>
      </c>
      <c r="D67">
        <v>2.5622155838376032E-2</v>
      </c>
      <c r="E67" t="s">
        <v>6</v>
      </c>
      <c r="G67" t="s">
        <v>364</v>
      </c>
      <c r="H67" t="s">
        <v>16</v>
      </c>
      <c r="I67">
        <v>4.7482934541626609E-2</v>
      </c>
      <c r="J67" t="s">
        <v>6</v>
      </c>
      <c r="L67" t="s">
        <v>365</v>
      </c>
      <c r="M67" t="s">
        <v>16</v>
      </c>
      <c r="N67">
        <v>4.4194626592536965E-2</v>
      </c>
      <c r="O67" t="s">
        <v>6</v>
      </c>
    </row>
    <row r="68" spans="2:15" x14ac:dyDescent="0.45">
      <c r="B68" t="s">
        <v>363</v>
      </c>
      <c r="C68" t="s">
        <v>17</v>
      </c>
      <c r="D68">
        <v>6.8710506347044396E-5</v>
      </c>
      <c r="E68" t="s">
        <v>6</v>
      </c>
      <c r="G68" t="s">
        <v>364</v>
      </c>
      <c r="H68" t="s">
        <v>17</v>
      </c>
      <c r="I68">
        <v>9.0061770712834791E-2</v>
      </c>
      <c r="J68" t="s">
        <v>6</v>
      </c>
      <c r="L68" t="s">
        <v>365</v>
      </c>
      <c r="M68" t="s">
        <v>17</v>
      </c>
      <c r="N68">
        <v>9.0988082590555075E-2</v>
      </c>
      <c r="O68" t="s">
        <v>6</v>
      </c>
    </row>
    <row r="69" spans="2:15" x14ac:dyDescent="0.45">
      <c r="B69" t="s">
        <v>363</v>
      </c>
      <c r="C69" t="s">
        <v>18</v>
      </c>
      <c r="D69">
        <v>0.19035031982429734</v>
      </c>
      <c r="E69" t="s">
        <v>6</v>
      </c>
      <c r="G69" t="s">
        <v>364</v>
      </c>
      <c r="H69" t="s">
        <v>18</v>
      </c>
      <c r="I69">
        <v>0.11032342327886616</v>
      </c>
      <c r="J69" t="s">
        <v>6</v>
      </c>
      <c r="L69" t="s">
        <v>365</v>
      </c>
      <c r="M69" t="s">
        <v>18</v>
      </c>
      <c r="N69">
        <v>0.11390724864724991</v>
      </c>
      <c r="O69" t="s">
        <v>6</v>
      </c>
    </row>
    <row r="70" spans="2:15" x14ac:dyDescent="0.45">
      <c r="B70" t="s">
        <v>363</v>
      </c>
      <c r="C70" t="s">
        <v>19</v>
      </c>
      <c r="D70">
        <v>2.7563027474273279E-3</v>
      </c>
      <c r="E70" t="s">
        <v>6</v>
      </c>
      <c r="G70" t="s">
        <v>364</v>
      </c>
      <c r="H70" t="s">
        <v>19</v>
      </c>
      <c r="I70">
        <v>6.8598754156214511E-2</v>
      </c>
      <c r="J70" t="s">
        <v>6</v>
      </c>
      <c r="L70" t="s">
        <v>365</v>
      </c>
      <c r="M70" t="s">
        <v>19</v>
      </c>
      <c r="N70">
        <v>6.8839275666835203E-2</v>
      </c>
      <c r="O70" t="s">
        <v>6</v>
      </c>
    </row>
    <row r="71" spans="2:15" x14ac:dyDescent="0.45">
      <c r="B71" t="s">
        <v>366</v>
      </c>
      <c r="C71" t="s">
        <v>5</v>
      </c>
      <c r="D71">
        <v>0</v>
      </c>
      <c r="E71" t="s">
        <v>6</v>
      </c>
      <c r="G71" t="s">
        <v>367</v>
      </c>
      <c r="H71" t="s">
        <v>5</v>
      </c>
      <c r="I71">
        <v>9.4804504553517591E-2</v>
      </c>
      <c r="J71" t="s">
        <v>6</v>
      </c>
    </row>
    <row r="72" spans="2:15" x14ac:dyDescent="0.45">
      <c r="B72" t="s">
        <v>366</v>
      </c>
      <c r="C72" t="s">
        <v>9</v>
      </c>
      <c r="D72">
        <v>0.12604625085650781</v>
      </c>
      <c r="E72" t="s">
        <v>6</v>
      </c>
      <c r="G72" t="s">
        <v>367</v>
      </c>
      <c r="H72" t="s">
        <v>9</v>
      </c>
      <c r="I72">
        <v>0.11552682827687268</v>
      </c>
      <c r="J72" t="s">
        <v>6</v>
      </c>
    </row>
    <row r="73" spans="2:15" x14ac:dyDescent="0.45">
      <c r="B73" t="s">
        <v>366</v>
      </c>
      <c r="C73" t="s">
        <v>10</v>
      </c>
      <c r="D73">
        <v>4.3594961213993654E-4</v>
      </c>
      <c r="E73" t="s">
        <v>6</v>
      </c>
      <c r="G73" t="s">
        <v>367</v>
      </c>
      <c r="H73" t="s">
        <v>10</v>
      </c>
      <c r="I73">
        <v>7.2031478638039242E-2</v>
      </c>
      <c r="J73" t="s">
        <v>6</v>
      </c>
    </row>
    <row r="74" spans="2:15" x14ac:dyDescent="0.45">
      <c r="B74" t="s">
        <v>366</v>
      </c>
      <c r="C74" t="s">
        <v>11</v>
      </c>
      <c r="D74">
        <v>2.0345999284552604E-3</v>
      </c>
      <c r="E74" t="s">
        <v>6</v>
      </c>
      <c r="G74" t="s">
        <v>367</v>
      </c>
      <c r="H74" t="s">
        <v>11</v>
      </c>
      <c r="I74">
        <v>8.5647591190232394E-2</v>
      </c>
      <c r="J74" t="s">
        <v>6</v>
      </c>
    </row>
    <row r="75" spans="2:15" x14ac:dyDescent="0.45">
      <c r="B75" t="s">
        <v>366</v>
      </c>
      <c r="C75" t="s">
        <v>12</v>
      </c>
      <c r="D75">
        <v>0.29930909527897381</v>
      </c>
      <c r="E75" t="s">
        <v>6</v>
      </c>
      <c r="G75" t="s">
        <v>367</v>
      </c>
      <c r="H75" t="s">
        <v>12</v>
      </c>
      <c r="I75">
        <v>0.10406953216150709</v>
      </c>
      <c r="J75" t="s">
        <v>6</v>
      </c>
    </row>
    <row r="76" spans="2:15" x14ac:dyDescent="0.45">
      <c r="B76" t="s">
        <v>366</v>
      </c>
      <c r="C76" t="s">
        <v>13</v>
      </c>
      <c r="D76">
        <v>1.4822580602086643E-2</v>
      </c>
      <c r="E76" t="s">
        <v>6</v>
      </c>
      <c r="G76" t="s">
        <v>367</v>
      </c>
      <c r="H76" t="s">
        <v>13</v>
      </c>
      <c r="I76">
        <v>6.8933605615984037E-2</v>
      </c>
      <c r="J76" t="s">
        <v>6</v>
      </c>
    </row>
    <row r="77" spans="2:15" x14ac:dyDescent="0.45">
      <c r="B77" t="s">
        <v>366</v>
      </c>
      <c r="C77" t="s">
        <v>14</v>
      </c>
      <c r="D77">
        <v>4.5400998151546726E-3</v>
      </c>
      <c r="E77" t="s">
        <v>6</v>
      </c>
      <c r="G77" t="s">
        <v>367</v>
      </c>
      <c r="H77" t="s">
        <v>14</v>
      </c>
      <c r="I77">
        <v>6.5785592971634249E-2</v>
      </c>
      <c r="J77" t="s">
        <v>6</v>
      </c>
    </row>
    <row r="78" spans="2:15" x14ac:dyDescent="0.45">
      <c r="B78" t="s">
        <v>366</v>
      </c>
      <c r="C78" t="s">
        <v>15</v>
      </c>
      <c r="D78">
        <v>0.33814639543269648</v>
      </c>
      <c r="E78" t="s">
        <v>6</v>
      </c>
      <c r="G78" t="s">
        <v>367</v>
      </c>
      <c r="H78" t="s">
        <v>15</v>
      </c>
      <c r="I78">
        <v>7.8197546624705586E-2</v>
      </c>
      <c r="J78" t="s">
        <v>6</v>
      </c>
    </row>
    <row r="79" spans="2:15" x14ac:dyDescent="0.45">
      <c r="B79" t="s">
        <v>366</v>
      </c>
      <c r="C79" t="s">
        <v>16</v>
      </c>
      <c r="D79">
        <v>2.6134180138029137E-2</v>
      </c>
      <c r="E79" t="s">
        <v>6</v>
      </c>
      <c r="G79" t="s">
        <v>367</v>
      </c>
      <c r="H79" t="s">
        <v>16</v>
      </c>
      <c r="I79">
        <v>4.8753447180133309E-2</v>
      </c>
      <c r="J79" t="s">
        <v>6</v>
      </c>
    </row>
    <row r="80" spans="2:15" x14ac:dyDescent="0.45">
      <c r="B80" t="s">
        <v>366</v>
      </c>
      <c r="C80" t="s">
        <v>17</v>
      </c>
      <c r="D80">
        <v>6.6661267199399844E-5</v>
      </c>
      <c r="E80" t="s">
        <v>6</v>
      </c>
      <c r="G80" t="s">
        <v>367</v>
      </c>
      <c r="H80" t="s">
        <v>17</v>
      </c>
      <c r="I80">
        <v>8.7656093207796743E-2</v>
      </c>
      <c r="J80" t="s">
        <v>6</v>
      </c>
    </row>
    <row r="81" spans="2:10" x14ac:dyDescent="0.45">
      <c r="B81" t="s">
        <v>366</v>
      </c>
      <c r="C81" t="s">
        <v>18</v>
      </c>
      <c r="D81">
        <v>0.18582057130560006</v>
      </c>
      <c r="E81" t="s">
        <v>6</v>
      </c>
      <c r="G81" t="s">
        <v>367</v>
      </c>
      <c r="H81" t="s">
        <v>18</v>
      </c>
      <c r="I81">
        <v>0.11012150199356671</v>
      </c>
      <c r="J81" t="s">
        <v>6</v>
      </c>
    </row>
    <row r="82" spans="2:10" x14ac:dyDescent="0.45">
      <c r="B82" t="s">
        <v>366</v>
      </c>
      <c r="C82" t="s">
        <v>19</v>
      </c>
      <c r="D82">
        <v>2.643615763159547E-3</v>
      </c>
      <c r="E82" t="s">
        <v>6</v>
      </c>
      <c r="G82" t="s">
        <v>367</v>
      </c>
      <c r="H82" t="s">
        <v>19</v>
      </c>
      <c r="I82">
        <v>6.8472277586009683E-2</v>
      </c>
      <c r="J82" t="s">
        <v>6</v>
      </c>
    </row>
    <row r="83" spans="2:10" x14ac:dyDescent="0.45">
      <c r="B83" t="s">
        <v>368</v>
      </c>
      <c r="C83" t="s">
        <v>5</v>
      </c>
      <c r="D83">
        <v>0</v>
      </c>
      <c r="E83" t="s">
        <v>6</v>
      </c>
      <c r="G83" t="s">
        <v>369</v>
      </c>
      <c r="H83" t="s">
        <v>5</v>
      </c>
      <c r="I83">
        <v>0.10069440422800749</v>
      </c>
      <c r="J83" t="s">
        <v>6</v>
      </c>
    </row>
    <row r="84" spans="2:10" x14ac:dyDescent="0.45">
      <c r="B84" t="s">
        <v>368</v>
      </c>
      <c r="C84" t="s">
        <v>9</v>
      </c>
      <c r="D84">
        <v>0.11224490130303701</v>
      </c>
      <c r="E84" t="s">
        <v>6</v>
      </c>
      <c r="G84" t="s">
        <v>369</v>
      </c>
      <c r="H84" t="s">
        <v>9</v>
      </c>
      <c r="I84">
        <v>0.11971199636178555</v>
      </c>
      <c r="J84" t="s">
        <v>6</v>
      </c>
    </row>
    <row r="85" spans="2:10" x14ac:dyDescent="0.45">
      <c r="B85" t="s">
        <v>368</v>
      </c>
      <c r="C85" t="s">
        <v>10</v>
      </c>
      <c r="D85">
        <v>2.539140131893842E-4</v>
      </c>
      <c r="E85" t="s">
        <v>6</v>
      </c>
      <c r="G85" t="s">
        <v>369</v>
      </c>
      <c r="H85" t="s">
        <v>10</v>
      </c>
      <c r="I85">
        <v>7.6977695003182647E-2</v>
      </c>
      <c r="J85" t="s">
        <v>6</v>
      </c>
    </row>
    <row r="86" spans="2:10" x14ac:dyDescent="0.45">
      <c r="B86" t="s">
        <v>368</v>
      </c>
      <c r="C86" t="s">
        <v>11</v>
      </c>
      <c r="D86">
        <v>2.7644518466738155E-3</v>
      </c>
      <c r="E86" t="s">
        <v>6</v>
      </c>
      <c r="G86" t="s">
        <v>369</v>
      </c>
      <c r="H86" t="s">
        <v>11</v>
      </c>
      <c r="I86">
        <v>8.5774474185977126E-2</v>
      </c>
      <c r="J86" t="s">
        <v>6</v>
      </c>
    </row>
    <row r="87" spans="2:10" x14ac:dyDescent="0.45">
      <c r="B87" t="s">
        <v>368</v>
      </c>
      <c r="C87" t="s">
        <v>12</v>
      </c>
      <c r="D87">
        <v>0.30790851704030137</v>
      </c>
      <c r="E87" t="s">
        <v>6</v>
      </c>
      <c r="G87" t="s">
        <v>369</v>
      </c>
      <c r="H87" t="s">
        <v>12</v>
      </c>
      <c r="I87">
        <v>0.1011898231780101</v>
      </c>
      <c r="J87" t="s">
        <v>6</v>
      </c>
    </row>
    <row r="88" spans="2:10" x14ac:dyDescent="0.45">
      <c r="B88" t="s">
        <v>368</v>
      </c>
      <c r="C88" t="s">
        <v>13</v>
      </c>
      <c r="D88">
        <v>1.2859558799628159E-2</v>
      </c>
      <c r="E88" t="s">
        <v>6</v>
      </c>
      <c r="G88" t="s">
        <v>369</v>
      </c>
      <c r="H88" t="s">
        <v>13</v>
      </c>
      <c r="I88">
        <v>6.9152439463656637E-2</v>
      </c>
      <c r="J88" t="s">
        <v>6</v>
      </c>
    </row>
    <row r="89" spans="2:10" x14ac:dyDescent="0.45">
      <c r="B89" t="s">
        <v>368</v>
      </c>
      <c r="C89" t="s">
        <v>14</v>
      </c>
      <c r="D89">
        <v>5.8935669196144447E-3</v>
      </c>
      <c r="E89" t="s">
        <v>6</v>
      </c>
      <c r="G89" t="s">
        <v>369</v>
      </c>
      <c r="H89" t="s">
        <v>14</v>
      </c>
      <c r="I89">
        <v>6.259280962101392E-2</v>
      </c>
      <c r="J89" t="s">
        <v>6</v>
      </c>
    </row>
    <row r="90" spans="2:10" x14ac:dyDescent="0.45">
      <c r="B90" t="s">
        <v>368</v>
      </c>
      <c r="C90" t="s">
        <v>15</v>
      </c>
      <c r="D90">
        <v>0.34519255709761004</v>
      </c>
      <c r="E90" t="s">
        <v>6</v>
      </c>
      <c r="G90" t="s">
        <v>369</v>
      </c>
      <c r="H90" t="s">
        <v>15</v>
      </c>
      <c r="I90">
        <v>7.1834223384150922E-2</v>
      </c>
      <c r="J90" t="s">
        <v>6</v>
      </c>
    </row>
    <row r="91" spans="2:10" x14ac:dyDescent="0.45">
      <c r="B91" t="s">
        <v>368</v>
      </c>
      <c r="C91" t="s">
        <v>16</v>
      </c>
      <c r="D91">
        <v>2.3673729376037528E-2</v>
      </c>
      <c r="E91" t="s">
        <v>6</v>
      </c>
      <c r="G91" t="s">
        <v>369</v>
      </c>
      <c r="H91" t="s">
        <v>16</v>
      </c>
      <c r="I91">
        <v>4.7345115005846122E-2</v>
      </c>
      <c r="J91" t="s">
        <v>6</v>
      </c>
    </row>
    <row r="92" spans="2:10" x14ac:dyDescent="0.45">
      <c r="B92" t="s">
        <v>368</v>
      </c>
      <c r="C92" t="s">
        <v>17</v>
      </c>
      <c r="D92">
        <v>1.3747566574218948E-4</v>
      </c>
      <c r="E92" t="s">
        <v>6</v>
      </c>
      <c r="G92" t="s">
        <v>369</v>
      </c>
      <c r="H92" t="s">
        <v>17</v>
      </c>
      <c r="I92">
        <v>8.6496151747414818E-2</v>
      </c>
      <c r="J92" t="s">
        <v>6</v>
      </c>
    </row>
    <row r="93" spans="2:10" x14ac:dyDescent="0.45">
      <c r="B93" t="s">
        <v>368</v>
      </c>
      <c r="C93" t="s">
        <v>18</v>
      </c>
      <c r="D93">
        <v>0.18709844692189881</v>
      </c>
      <c r="E93" t="s">
        <v>6</v>
      </c>
      <c r="G93" t="s">
        <v>369</v>
      </c>
      <c r="H93" t="s">
        <v>18</v>
      </c>
      <c r="I93">
        <v>0.10895185154163517</v>
      </c>
      <c r="J93" t="s">
        <v>6</v>
      </c>
    </row>
    <row r="94" spans="2:10" x14ac:dyDescent="0.45">
      <c r="B94" t="s">
        <v>368</v>
      </c>
      <c r="C94" t="s">
        <v>19</v>
      </c>
      <c r="D94">
        <v>1.972881016268033E-3</v>
      </c>
      <c r="E94" t="s">
        <v>6</v>
      </c>
      <c r="G94" t="s">
        <v>369</v>
      </c>
      <c r="H94" t="s">
        <v>19</v>
      </c>
      <c r="I94">
        <v>6.9279016279318748E-2</v>
      </c>
      <c r="J94" t="s">
        <v>6</v>
      </c>
    </row>
    <row r="95" spans="2:10" x14ac:dyDescent="0.45">
      <c r="B95" t="s">
        <v>370</v>
      </c>
      <c r="C95" t="s">
        <v>5</v>
      </c>
      <c r="D95">
        <v>0</v>
      </c>
      <c r="E95" t="s">
        <v>6</v>
      </c>
      <c r="G95" t="s">
        <v>371</v>
      </c>
      <c r="H95" t="s">
        <v>5</v>
      </c>
      <c r="I95">
        <v>0.10873651990951078</v>
      </c>
      <c r="J95" t="s">
        <v>6</v>
      </c>
    </row>
    <row r="96" spans="2:10" x14ac:dyDescent="0.45">
      <c r="B96" t="s">
        <v>370</v>
      </c>
      <c r="C96" t="s">
        <v>9</v>
      </c>
      <c r="D96">
        <v>0.11863333551211547</v>
      </c>
      <c r="E96" t="s">
        <v>6</v>
      </c>
      <c r="G96" t="s">
        <v>371</v>
      </c>
      <c r="H96" t="s">
        <v>9</v>
      </c>
      <c r="I96">
        <v>0.12928001837175665</v>
      </c>
      <c r="J96" t="s">
        <v>6</v>
      </c>
    </row>
    <row r="97" spans="2:10" x14ac:dyDescent="0.45">
      <c r="B97" t="s">
        <v>370</v>
      </c>
      <c r="C97" t="s">
        <v>10</v>
      </c>
      <c r="D97">
        <v>3.3647938504201708E-4</v>
      </c>
      <c r="E97" t="s">
        <v>6</v>
      </c>
      <c r="G97" t="s">
        <v>371</v>
      </c>
      <c r="H97" t="s">
        <v>10</v>
      </c>
      <c r="I97">
        <v>8.2059184481067415E-2</v>
      </c>
      <c r="J97" t="s">
        <v>6</v>
      </c>
    </row>
    <row r="98" spans="2:10" x14ac:dyDescent="0.45">
      <c r="B98" t="s">
        <v>370</v>
      </c>
      <c r="C98" t="s">
        <v>11</v>
      </c>
      <c r="D98">
        <v>2.4287180668645819E-3</v>
      </c>
      <c r="E98" t="s">
        <v>6</v>
      </c>
      <c r="G98" t="s">
        <v>371</v>
      </c>
      <c r="H98" t="s">
        <v>11</v>
      </c>
      <c r="I98">
        <v>8.4188756032086989E-2</v>
      </c>
      <c r="J98" t="s">
        <v>6</v>
      </c>
    </row>
    <row r="99" spans="2:10" x14ac:dyDescent="0.45">
      <c r="B99" t="s">
        <v>370</v>
      </c>
      <c r="C99" t="s">
        <v>12</v>
      </c>
      <c r="D99">
        <v>0.30273652326432621</v>
      </c>
      <c r="E99" t="s">
        <v>6</v>
      </c>
      <c r="G99" t="s">
        <v>371</v>
      </c>
      <c r="H99" t="s">
        <v>12</v>
      </c>
      <c r="I99">
        <v>9.6712313284185877E-2</v>
      </c>
      <c r="J99" t="s">
        <v>6</v>
      </c>
    </row>
    <row r="100" spans="2:10" x14ac:dyDescent="0.45">
      <c r="B100" t="s">
        <v>370</v>
      </c>
      <c r="C100" t="s">
        <v>13</v>
      </c>
      <c r="D100">
        <v>1.3607820748660602E-2</v>
      </c>
      <c r="E100" t="s">
        <v>6</v>
      </c>
      <c r="G100" t="s">
        <v>371</v>
      </c>
      <c r="H100" t="s">
        <v>13</v>
      </c>
      <c r="I100">
        <v>6.3457357842961817E-2</v>
      </c>
      <c r="J100" t="s">
        <v>6</v>
      </c>
    </row>
    <row r="101" spans="2:10" x14ac:dyDescent="0.45">
      <c r="B101" t="s">
        <v>370</v>
      </c>
      <c r="C101" t="s">
        <v>14</v>
      </c>
      <c r="D101">
        <v>5.3017963318444002E-3</v>
      </c>
      <c r="E101" t="s">
        <v>6</v>
      </c>
      <c r="G101" t="s">
        <v>371</v>
      </c>
      <c r="H101" t="s">
        <v>14</v>
      </c>
      <c r="I101">
        <v>5.7268274120382684E-2</v>
      </c>
      <c r="J101" t="s">
        <v>6</v>
      </c>
    </row>
    <row r="102" spans="2:10" x14ac:dyDescent="0.45">
      <c r="B102" t="s">
        <v>370</v>
      </c>
      <c r="C102" t="s">
        <v>15</v>
      </c>
      <c r="D102">
        <v>0.34111850964623713</v>
      </c>
      <c r="E102" t="s">
        <v>6</v>
      </c>
      <c r="G102" t="s">
        <v>371</v>
      </c>
      <c r="H102" t="s">
        <v>15</v>
      </c>
      <c r="I102">
        <v>6.592632073180521E-2</v>
      </c>
      <c r="J102" t="s">
        <v>6</v>
      </c>
    </row>
    <row r="103" spans="2:10" x14ac:dyDescent="0.45">
      <c r="B103" t="s">
        <v>370</v>
      </c>
      <c r="C103" t="s">
        <v>16</v>
      </c>
      <c r="D103">
        <v>2.4601113623574807E-2</v>
      </c>
      <c r="E103" t="s">
        <v>6</v>
      </c>
      <c r="G103" t="s">
        <v>371</v>
      </c>
      <c r="H103" t="s">
        <v>16</v>
      </c>
      <c r="I103">
        <v>4.37917755596509E-2</v>
      </c>
      <c r="J103" t="s">
        <v>6</v>
      </c>
    </row>
    <row r="104" spans="2:10" x14ac:dyDescent="0.45">
      <c r="B104" t="s">
        <v>370</v>
      </c>
      <c r="C104" t="s">
        <v>17</v>
      </c>
      <c r="D104">
        <v>9.9973128129151521E-5</v>
      </c>
      <c r="E104" t="s">
        <v>6</v>
      </c>
      <c r="G104" t="s">
        <v>371</v>
      </c>
      <c r="H104" t="s">
        <v>17</v>
      </c>
      <c r="I104">
        <v>9.1251121093368068E-2</v>
      </c>
      <c r="J104" t="s">
        <v>6</v>
      </c>
    </row>
    <row r="105" spans="2:10" x14ac:dyDescent="0.45">
      <c r="B105" t="s">
        <v>370</v>
      </c>
      <c r="C105" t="s">
        <v>18</v>
      </c>
      <c r="D105">
        <v>0.18894649000601033</v>
      </c>
      <c r="E105" t="s">
        <v>6</v>
      </c>
      <c r="G105" t="s">
        <v>371</v>
      </c>
      <c r="H105" t="s">
        <v>18</v>
      </c>
      <c r="I105">
        <v>0.1079064320453921</v>
      </c>
      <c r="J105" t="s">
        <v>6</v>
      </c>
    </row>
    <row r="106" spans="2:10" x14ac:dyDescent="0.45">
      <c r="B106" t="s">
        <v>370</v>
      </c>
      <c r="C106" t="s">
        <v>19</v>
      </c>
      <c r="D106">
        <v>2.1892402871964809E-3</v>
      </c>
      <c r="E106" t="s">
        <v>6</v>
      </c>
      <c r="G106" t="s">
        <v>371</v>
      </c>
      <c r="H106" t="s">
        <v>19</v>
      </c>
      <c r="I106">
        <v>6.942192652782983E-2</v>
      </c>
      <c r="J106" t="s">
        <v>6</v>
      </c>
    </row>
    <row r="107" spans="2:10" x14ac:dyDescent="0.45">
      <c r="B107" t="s">
        <v>372</v>
      </c>
      <c r="C107" t="s">
        <v>5</v>
      </c>
      <c r="D107">
        <v>0</v>
      </c>
      <c r="E107" t="s">
        <v>6</v>
      </c>
      <c r="G107" t="s">
        <v>373</v>
      </c>
      <c r="H107" t="s">
        <v>5</v>
      </c>
      <c r="I107">
        <v>0.10857616708125807</v>
      </c>
      <c r="J107" t="s">
        <v>6</v>
      </c>
    </row>
    <row r="108" spans="2:10" x14ac:dyDescent="0.45">
      <c r="B108" t="s">
        <v>372</v>
      </c>
      <c r="C108" t="s">
        <v>9</v>
      </c>
      <c r="D108">
        <v>0.12220205640307465</v>
      </c>
      <c r="E108" t="s">
        <v>6</v>
      </c>
      <c r="G108" t="s">
        <v>373</v>
      </c>
      <c r="H108" t="s">
        <v>9</v>
      </c>
      <c r="I108">
        <v>0.12582923311010655</v>
      </c>
      <c r="J108" t="s">
        <v>6</v>
      </c>
    </row>
    <row r="109" spans="2:10" x14ac:dyDescent="0.45">
      <c r="B109" t="s">
        <v>372</v>
      </c>
      <c r="C109" t="s">
        <v>10</v>
      </c>
      <c r="D109">
        <v>4.3780387854413442E-4</v>
      </c>
      <c r="E109" t="s">
        <v>6</v>
      </c>
      <c r="G109" t="s">
        <v>373</v>
      </c>
      <c r="H109" t="s">
        <v>10</v>
      </c>
      <c r="I109">
        <v>8.1631292005551276E-2</v>
      </c>
      <c r="J109" t="s">
        <v>6</v>
      </c>
    </row>
    <row r="110" spans="2:10" x14ac:dyDescent="0.45">
      <c r="B110" t="s">
        <v>372</v>
      </c>
      <c r="C110" t="s">
        <v>11</v>
      </c>
      <c r="D110">
        <v>1.9345918308733129E-3</v>
      </c>
      <c r="E110" t="s">
        <v>6</v>
      </c>
      <c r="G110" t="s">
        <v>373</v>
      </c>
      <c r="H110" t="s">
        <v>11</v>
      </c>
      <c r="I110">
        <v>8.4800229575527158E-2</v>
      </c>
      <c r="J110" t="s">
        <v>6</v>
      </c>
    </row>
    <row r="111" spans="2:10" x14ac:dyDescent="0.45">
      <c r="B111" t="s">
        <v>372</v>
      </c>
      <c r="C111" t="s">
        <v>12</v>
      </c>
      <c r="D111">
        <v>0.29675281313933921</v>
      </c>
      <c r="E111" t="s">
        <v>6</v>
      </c>
      <c r="G111" t="s">
        <v>373</v>
      </c>
      <c r="H111" t="s">
        <v>12</v>
      </c>
      <c r="I111">
        <v>9.9593735177452555E-2</v>
      </c>
      <c r="J111" t="s">
        <v>6</v>
      </c>
    </row>
    <row r="112" spans="2:10" x14ac:dyDescent="0.45">
      <c r="B112" t="s">
        <v>372</v>
      </c>
      <c r="C112" t="s">
        <v>13</v>
      </c>
      <c r="D112">
        <v>1.3756696151449983E-2</v>
      </c>
      <c r="E112" t="s">
        <v>6</v>
      </c>
      <c r="G112" t="s">
        <v>373</v>
      </c>
      <c r="H112" t="s">
        <v>13</v>
      </c>
      <c r="I112">
        <v>6.6236987283371823E-2</v>
      </c>
      <c r="J112" t="s">
        <v>6</v>
      </c>
    </row>
    <row r="113" spans="2:10" x14ac:dyDescent="0.45">
      <c r="B113" t="s">
        <v>372</v>
      </c>
      <c r="C113" t="s">
        <v>14</v>
      </c>
      <c r="D113">
        <v>4.7001537847461182E-3</v>
      </c>
      <c r="E113" t="s">
        <v>6</v>
      </c>
      <c r="G113" t="s">
        <v>373</v>
      </c>
      <c r="H113" t="s">
        <v>14</v>
      </c>
      <c r="I113">
        <v>5.9150041276118337E-2</v>
      </c>
      <c r="J113" t="s">
        <v>6</v>
      </c>
    </row>
    <row r="114" spans="2:10" x14ac:dyDescent="0.45">
      <c r="B114" t="s">
        <v>372</v>
      </c>
      <c r="C114" t="s">
        <v>15</v>
      </c>
      <c r="D114">
        <v>0.34154353134487137</v>
      </c>
      <c r="E114" t="s">
        <v>6</v>
      </c>
      <c r="G114" t="s">
        <v>373</v>
      </c>
      <c r="H114" t="s">
        <v>15</v>
      </c>
      <c r="I114">
        <v>6.4007880094837391E-2</v>
      </c>
      <c r="J114" t="s">
        <v>6</v>
      </c>
    </row>
    <row r="115" spans="2:10" x14ac:dyDescent="0.45">
      <c r="B115" t="s">
        <v>372</v>
      </c>
      <c r="C115" t="s">
        <v>16</v>
      </c>
      <c r="D115">
        <v>2.4259884094658898E-2</v>
      </c>
      <c r="E115" t="s">
        <v>6</v>
      </c>
      <c r="G115" t="s">
        <v>373</v>
      </c>
      <c r="H115" t="s">
        <v>16</v>
      </c>
      <c r="I115">
        <v>4.4991622678844469E-2</v>
      </c>
      <c r="J115" t="s">
        <v>6</v>
      </c>
    </row>
    <row r="116" spans="2:10" x14ac:dyDescent="0.45">
      <c r="B116" t="s">
        <v>372</v>
      </c>
      <c r="C116" t="s">
        <v>17</v>
      </c>
      <c r="D116">
        <v>8.1260080078374736E-5</v>
      </c>
      <c r="E116" t="s">
        <v>6</v>
      </c>
      <c r="G116" t="s">
        <v>373</v>
      </c>
      <c r="H116" t="s">
        <v>17</v>
      </c>
      <c r="I116">
        <v>8.76098734234739E-2</v>
      </c>
      <c r="J116" t="s">
        <v>6</v>
      </c>
    </row>
    <row r="117" spans="2:10" x14ac:dyDescent="0.45">
      <c r="B117" t="s">
        <v>372</v>
      </c>
      <c r="C117" t="s">
        <v>18</v>
      </c>
      <c r="D117">
        <v>0.19177526723053129</v>
      </c>
      <c r="E117" t="s">
        <v>6</v>
      </c>
      <c r="G117" t="s">
        <v>373</v>
      </c>
      <c r="H117" t="s">
        <v>18</v>
      </c>
      <c r="I117">
        <v>0.10646721524698707</v>
      </c>
      <c r="J117" t="s">
        <v>6</v>
      </c>
    </row>
    <row r="118" spans="2:10" x14ac:dyDescent="0.45">
      <c r="B118" t="s">
        <v>372</v>
      </c>
      <c r="C118" t="s">
        <v>19</v>
      </c>
      <c r="D118">
        <v>2.5559420618333911E-3</v>
      </c>
      <c r="E118" t="s">
        <v>6</v>
      </c>
      <c r="G118" t="s">
        <v>373</v>
      </c>
      <c r="H118" t="s">
        <v>19</v>
      </c>
      <c r="I118">
        <v>7.1105723046473487E-2</v>
      </c>
      <c r="J118" t="s">
        <v>6</v>
      </c>
    </row>
    <row r="119" spans="2:10" x14ac:dyDescent="0.45">
      <c r="B119" t="s">
        <v>374</v>
      </c>
      <c r="C119" t="s">
        <v>5</v>
      </c>
      <c r="D119">
        <v>0</v>
      </c>
      <c r="E119" t="s">
        <v>6</v>
      </c>
      <c r="G119" t="s">
        <v>375</v>
      </c>
      <c r="H119" t="s">
        <v>5</v>
      </c>
      <c r="I119">
        <v>0.10565963202271342</v>
      </c>
      <c r="J119" t="s">
        <v>6</v>
      </c>
    </row>
    <row r="120" spans="2:10" x14ac:dyDescent="0.45">
      <c r="B120" t="s">
        <v>374</v>
      </c>
      <c r="C120" t="s">
        <v>9</v>
      </c>
      <c r="D120">
        <v>0.12108123246509184</v>
      </c>
      <c r="E120" t="s">
        <v>6</v>
      </c>
      <c r="G120" t="s">
        <v>375</v>
      </c>
      <c r="H120" t="s">
        <v>9</v>
      </c>
      <c r="I120">
        <v>0.12353070919274768</v>
      </c>
      <c r="J120" t="s">
        <v>6</v>
      </c>
    </row>
    <row r="121" spans="2:10" x14ac:dyDescent="0.45">
      <c r="B121" t="s">
        <v>374</v>
      </c>
      <c r="C121" t="s">
        <v>10</v>
      </c>
      <c r="D121">
        <v>3.2479225993662731E-4</v>
      </c>
      <c r="E121" t="s">
        <v>6</v>
      </c>
      <c r="G121" t="s">
        <v>375</v>
      </c>
      <c r="H121" t="s">
        <v>10</v>
      </c>
      <c r="I121">
        <v>7.9636983106843112E-2</v>
      </c>
      <c r="J121" t="s">
        <v>6</v>
      </c>
    </row>
    <row r="122" spans="2:10" x14ac:dyDescent="0.45">
      <c r="B122" t="s">
        <v>374</v>
      </c>
      <c r="C122" t="s">
        <v>11</v>
      </c>
      <c r="D122">
        <v>2.2354860843393897E-3</v>
      </c>
      <c r="E122" t="s">
        <v>6</v>
      </c>
      <c r="G122" t="s">
        <v>375</v>
      </c>
      <c r="H122" t="s">
        <v>11</v>
      </c>
      <c r="I122">
        <v>8.5202530416143535E-2</v>
      </c>
      <c r="J122" t="s">
        <v>6</v>
      </c>
    </row>
    <row r="123" spans="2:10" x14ac:dyDescent="0.45">
      <c r="B123" t="s">
        <v>374</v>
      </c>
      <c r="C123" t="s">
        <v>12</v>
      </c>
      <c r="D123">
        <v>0.30337494721313996</v>
      </c>
      <c r="E123" t="s">
        <v>6</v>
      </c>
      <c r="G123" t="s">
        <v>375</v>
      </c>
      <c r="H123" t="s">
        <v>12</v>
      </c>
      <c r="I123">
        <v>0.10294374635595104</v>
      </c>
      <c r="J123" t="s">
        <v>6</v>
      </c>
    </row>
    <row r="124" spans="2:10" x14ac:dyDescent="0.45">
      <c r="B124" t="s">
        <v>374</v>
      </c>
      <c r="C124" t="s">
        <v>13</v>
      </c>
      <c r="D124">
        <v>1.3307338394002532E-2</v>
      </c>
      <c r="E124" t="s">
        <v>6</v>
      </c>
      <c r="G124" t="s">
        <v>375</v>
      </c>
      <c r="H124" t="s">
        <v>13</v>
      </c>
      <c r="I124">
        <v>6.4952056174010661E-2</v>
      </c>
      <c r="J124" t="s">
        <v>6</v>
      </c>
    </row>
    <row r="125" spans="2:10" x14ac:dyDescent="0.45">
      <c r="B125" t="s">
        <v>374</v>
      </c>
      <c r="C125" t="s">
        <v>14</v>
      </c>
      <c r="D125">
        <v>5.1159685465029534E-3</v>
      </c>
      <c r="E125" t="s">
        <v>6</v>
      </c>
      <c r="G125" t="s">
        <v>375</v>
      </c>
      <c r="H125" t="s">
        <v>14</v>
      </c>
      <c r="I125">
        <v>6.3248304224269497E-2</v>
      </c>
      <c r="J125" t="s">
        <v>6</v>
      </c>
    </row>
    <row r="126" spans="2:10" x14ac:dyDescent="0.45">
      <c r="B126" t="s">
        <v>374</v>
      </c>
      <c r="C126" t="s">
        <v>15</v>
      </c>
      <c r="D126">
        <v>0.33938458955115663</v>
      </c>
      <c r="E126" t="s">
        <v>6</v>
      </c>
      <c r="G126" t="s">
        <v>375</v>
      </c>
      <c r="H126" t="s">
        <v>15</v>
      </c>
      <c r="I126">
        <v>6.424263539021835E-2</v>
      </c>
      <c r="J126" t="s">
        <v>6</v>
      </c>
    </row>
    <row r="127" spans="2:10" x14ac:dyDescent="0.45">
      <c r="B127" t="s">
        <v>374</v>
      </c>
      <c r="C127" t="s">
        <v>16</v>
      </c>
      <c r="D127">
        <v>2.4078176056071144E-2</v>
      </c>
      <c r="E127" t="s">
        <v>6</v>
      </c>
      <c r="G127" t="s">
        <v>375</v>
      </c>
      <c r="H127" t="s">
        <v>16</v>
      </c>
      <c r="I127">
        <v>4.8076295826412582E-2</v>
      </c>
      <c r="J127" t="s">
        <v>6</v>
      </c>
    </row>
    <row r="128" spans="2:10" x14ac:dyDescent="0.45">
      <c r="B128" t="s">
        <v>374</v>
      </c>
      <c r="C128" t="s">
        <v>17</v>
      </c>
      <c r="D128">
        <v>9.9539262090204096E-5</v>
      </c>
      <c r="E128" t="s">
        <v>6</v>
      </c>
      <c r="G128" t="s">
        <v>375</v>
      </c>
      <c r="H128" t="s">
        <v>17</v>
      </c>
      <c r="I128">
        <v>8.7294966719031405E-2</v>
      </c>
      <c r="J128" t="s">
        <v>6</v>
      </c>
    </row>
    <row r="129" spans="2:10" x14ac:dyDescent="0.45">
      <c r="B129" t="s">
        <v>374</v>
      </c>
      <c r="C129" t="s">
        <v>18</v>
      </c>
      <c r="D129">
        <v>0.18881858062369974</v>
      </c>
      <c r="E129" t="s">
        <v>6</v>
      </c>
      <c r="G129" t="s">
        <v>375</v>
      </c>
      <c r="H129" t="s">
        <v>18</v>
      </c>
      <c r="I129">
        <v>0.10491149670459768</v>
      </c>
      <c r="J129" t="s">
        <v>6</v>
      </c>
    </row>
    <row r="130" spans="2:10" x14ac:dyDescent="0.45">
      <c r="B130" t="s">
        <v>374</v>
      </c>
      <c r="C130" t="s">
        <v>19</v>
      </c>
      <c r="D130">
        <v>2.1793495439689694E-3</v>
      </c>
      <c r="E130" t="s">
        <v>6</v>
      </c>
      <c r="G130" t="s">
        <v>375</v>
      </c>
      <c r="H130" t="s">
        <v>19</v>
      </c>
      <c r="I130">
        <v>7.0300643867061044E-2</v>
      </c>
      <c r="J13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1873-E187-4902-B1CD-C89C877EF11E}">
  <dimension ref="B9:CI35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region=NLD")</f>
        <v>~TFM_DINS-TSL: attribute=FLO_EMIS; other_indexes=ACT; region=NLD</v>
      </c>
      <c r="Q9" t="str">
        <f>IF(A11="x","DeActivated","~TFM_DINS-TSL: attribute=FLO_SHAR; limtype=FX; region=NLD")</f>
        <v>~TFM_DINS-TSL: attribute=FLO_SHAR; limtype=FX; region=NLD</v>
      </c>
      <c r="AF9" t="str">
        <f>IF(A11="x","DeActivated","~TFM_DINS-TSL: attribute=FLO_SHAR; limtype=FX; region=NLD")</f>
        <v>~TFM_DINS-TSL: attribute=FLO_SHAR; limtype=FX; region=NLD</v>
      </c>
      <c r="AU9" t="str">
        <f>IF(A11="x","DeActivated","~TFM_DINS-TSL: attribute=FLO_SHAR; limtype=FX; region=NLD")</f>
        <v>~TFM_DINS-TSL: attribute=FLO_SHAR; limtype=FX; region=NLD</v>
      </c>
      <c r="BJ9" t="str">
        <f>IF(A11="x","DeActivated","~TFM_INS: region=NLD")</f>
        <v>~TFM_INS: region=NLD</v>
      </c>
      <c r="BR9" t="str">
        <f>IF(A11="x","DeActivated","~TFM_DINS-TSL: attribute=NCAP_PKCNT; region=NLD")</f>
        <v>~TFM_DINS-TSL: attribute=NCAP_PKCNT; region=NLD</v>
      </c>
      <c r="CF9" t="str">
        <f>IF(A11="x","DeActivated","~TFM_DINS-AT: region=NLD")</f>
        <v>~TFM_DINS-AT: region=NLD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376</v>
      </c>
      <c r="C11" t="s">
        <v>99</v>
      </c>
      <c r="D11">
        <v>0</v>
      </c>
      <c r="E11">
        <v>0.45098543015972342</v>
      </c>
      <c r="F11">
        <v>0.96518286584129309</v>
      </c>
      <c r="G11">
        <v>0.87290901252931608</v>
      </c>
      <c r="H11">
        <v>0.23537218928397791</v>
      </c>
      <c r="I11">
        <v>0.68993310197370483</v>
      </c>
      <c r="J11">
        <v>0.78613799598899314</v>
      </c>
      <c r="K11">
        <v>0.19116916243803045</v>
      </c>
      <c r="L11">
        <v>0.60089409056880438</v>
      </c>
      <c r="M11">
        <v>0.97800640059624799</v>
      </c>
      <c r="N11">
        <v>0.35293289895966573</v>
      </c>
      <c r="O11">
        <v>0.89646753800836299</v>
      </c>
      <c r="Q11" t="s">
        <v>376</v>
      </c>
      <c r="R11" t="s">
        <v>100</v>
      </c>
      <c r="S11">
        <v>0</v>
      </c>
      <c r="T11">
        <v>0.27785587457033567</v>
      </c>
      <c r="U11">
        <v>0.48527284009967059</v>
      </c>
      <c r="V11">
        <v>0.77995056662602735</v>
      </c>
      <c r="W11">
        <v>0.12119129477999836</v>
      </c>
      <c r="X11">
        <v>0.35991382406327055</v>
      </c>
      <c r="Y11">
        <v>0.63764575039231575</v>
      </c>
      <c r="Z11">
        <v>9.6232216118814398E-2</v>
      </c>
      <c r="AA11">
        <v>0.31000491295455662</v>
      </c>
      <c r="AB11">
        <v>0.95651175442929759</v>
      </c>
      <c r="AC11">
        <v>0.18707878191934696</v>
      </c>
      <c r="AD11">
        <v>0.35863162243050623</v>
      </c>
      <c r="AF11" t="s">
        <v>376</v>
      </c>
      <c r="AG11" t="s">
        <v>101</v>
      </c>
      <c r="AH11">
        <v>0</v>
      </c>
      <c r="AI11">
        <v>1.9688853323869326E-2</v>
      </c>
      <c r="AJ11">
        <v>0.44773726354691279</v>
      </c>
      <c r="AK11">
        <v>0</v>
      </c>
      <c r="AL11">
        <v>1.2182196004735378E-2</v>
      </c>
      <c r="AM11">
        <v>0.17575798335389811</v>
      </c>
      <c r="AN11">
        <v>0</v>
      </c>
      <c r="AO11">
        <v>9.9304876256906018E-3</v>
      </c>
      <c r="AP11">
        <v>0.12196677376177484</v>
      </c>
      <c r="AQ11">
        <v>0</v>
      </c>
      <c r="AR11">
        <v>3.2927769469236624E-2</v>
      </c>
      <c r="AS11">
        <v>0.4484990961555716</v>
      </c>
      <c r="AU11" t="s">
        <v>376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5.7317169587028658E-3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376</v>
      </c>
      <c r="BS11">
        <v>0</v>
      </c>
      <c r="BT11">
        <v>0.13914130977188249</v>
      </c>
      <c r="BU11">
        <v>8.9032300408108426E-4</v>
      </c>
      <c r="BV11">
        <v>3.1426272424326172E-3</v>
      </c>
      <c r="BW11">
        <v>0.3770425046097482</v>
      </c>
      <c r="BX11">
        <v>3.141940291934904E-2</v>
      </c>
      <c r="BY11">
        <v>6.8093242999193761E-3</v>
      </c>
      <c r="BZ11">
        <v>0.40945836664707169</v>
      </c>
      <c r="CA11">
        <v>5.1492862642588524E-2</v>
      </c>
      <c r="CB11">
        <v>9.0025238721743809E-5</v>
      </c>
      <c r="CC11">
        <v>0.21851471800228858</v>
      </c>
      <c r="CD11">
        <v>5.348022465786151E-3</v>
      </c>
      <c r="CF11" t="s">
        <v>376</v>
      </c>
      <c r="CG11" t="s">
        <v>108</v>
      </c>
      <c r="CH11" t="s">
        <v>109</v>
      </c>
      <c r="CI11">
        <v>0.39097824071955517</v>
      </c>
    </row>
    <row r="12" spans="2:87" x14ac:dyDescent="0.45">
      <c r="B12" t="s">
        <v>377</v>
      </c>
      <c r="C12" t="s">
        <v>99</v>
      </c>
      <c r="D12">
        <v>0</v>
      </c>
      <c r="E12">
        <v>0.45990726594548131</v>
      </c>
      <c r="F12">
        <v>0.96871919705675713</v>
      </c>
      <c r="G12">
        <v>0.86675251752502247</v>
      </c>
      <c r="H12">
        <v>0.23792744675125996</v>
      </c>
      <c r="I12">
        <v>0.69663583510984861</v>
      </c>
      <c r="J12">
        <v>0.78154472973165867</v>
      </c>
      <c r="K12">
        <v>0.1888281915217391</v>
      </c>
      <c r="L12">
        <v>0.60625460207747839</v>
      </c>
      <c r="M12">
        <v>0.97305825948720182</v>
      </c>
      <c r="N12">
        <v>0.35061426433431414</v>
      </c>
      <c r="O12">
        <v>0.90143975330219828</v>
      </c>
      <c r="Q12" t="s">
        <v>377</v>
      </c>
      <c r="R12" t="s">
        <v>100</v>
      </c>
      <c r="S12">
        <v>0</v>
      </c>
      <c r="T12">
        <v>0.28836416821452021</v>
      </c>
      <c r="U12">
        <v>0.58320481492499288</v>
      </c>
      <c r="V12">
        <v>0.76911742117905302</v>
      </c>
      <c r="W12">
        <v>0.12686299674524296</v>
      </c>
      <c r="X12">
        <v>0.40802908148933625</v>
      </c>
      <c r="Y12">
        <v>0.63157578168071682</v>
      </c>
      <c r="Z12">
        <v>9.4507495963578075E-2</v>
      </c>
      <c r="AA12">
        <v>0.31072527492165969</v>
      </c>
      <c r="AB12">
        <v>0.94766250820937636</v>
      </c>
      <c r="AC12">
        <v>0.17797103135449885</v>
      </c>
      <c r="AD12">
        <v>0.45144021186584182</v>
      </c>
      <c r="AF12" t="s">
        <v>377</v>
      </c>
      <c r="AG12" t="s">
        <v>101</v>
      </c>
      <c r="AH12">
        <v>0</v>
      </c>
      <c r="AI12">
        <v>2.3824997013109681E-2</v>
      </c>
      <c r="AJ12">
        <v>0.35681159110786037</v>
      </c>
      <c r="AK12">
        <v>0</v>
      </c>
      <c r="AL12">
        <v>1.5631726036825902E-2</v>
      </c>
      <c r="AM12">
        <v>0.13681286017531458</v>
      </c>
      <c r="AN12">
        <v>0</v>
      </c>
      <c r="AO12">
        <v>1.3702074912350868E-2</v>
      </c>
      <c r="AP12">
        <v>0.1314168357665661</v>
      </c>
      <c r="AQ12">
        <v>0</v>
      </c>
      <c r="AR12">
        <v>4.4010494312764763E-2</v>
      </c>
      <c r="AS12">
        <v>0.36507545413827497</v>
      </c>
      <c r="AU12" t="s">
        <v>377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4.8600209922515366E-3</v>
      </c>
      <c r="BR12" t="s">
        <v>377</v>
      </c>
      <c r="BS12">
        <v>0</v>
      </c>
      <c r="BT12">
        <v>0.12077321537473372</v>
      </c>
      <c r="BU12">
        <v>5.1480544670055742E-4</v>
      </c>
      <c r="BV12">
        <v>3.7158949761419897E-3</v>
      </c>
      <c r="BW12">
        <v>0.33685829693914426</v>
      </c>
      <c r="BX12">
        <v>2.4871944904074544E-2</v>
      </c>
      <c r="BY12">
        <v>7.9851054710523093E-3</v>
      </c>
      <c r="BZ12">
        <v>0.38010654463349097</v>
      </c>
      <c r="CA12">
        <v>4.4588931758406405E-2</v>
      </c>
      <c r="CB12">
        <v>1.6976351775775723E-4</v>
      </c>
      <c r="CC12">
        <v>0.20361158632656948</v>
      </c>
      <c r="CD12">
        <v>4.054606397133966E-3</v>
      </c>
      <c r="CF12" t="s">
        <v>377</v>
      </c>
      <c r="CG12" t="s">
        <v>108</v>
      </c>
      <c r="CH12" t="s">
        <v>109</v>
      </c>
      <c r="CI12">
        <v>0.37044183881901699</v>
      </c>
    </row>
    <row r="13" spans="2:87" x14ac:dyDescent="0.45">
      <c r="B13" t="s">
        <v>378</v>
      </c>
      <c r="C13" t="s">
        <v>99</v>
      </c>
      <c r="D13">
        <v>0</v>
      </c>
      <c r="E13">
        <v>0.43664414326256651</v>
      </c>
      <c r="F13">
        <v>0.95811302085957994</v>
      </c>
      <c r="G13">
        <v>0.88536774821544451</v>
      </c>
      <c r="H13">
        <v>0.26117764623921785</v>
      </c>
      <c r="I13">
        <v>0.68489913385543588</v>
      </c>
      <c r="J13">
        <v>0.79847407927648939</v>
      </c>
      <c r="K13">
        <v>0.20188479027493531</v>
      </c>
      <c r="L13">
        <v>0.60230724687961579</v>
      </c>
      <c r="M13">
        <v>0.98214285714285743</v>
      </c>
      <c r="N13">
        <v>0.35362611833549995</v>
      </c>
      <c r="O13">
        <v>0.89140546252767228</v>
      </c>
      <c r="Q13" t="s">
        <v>378</v>
      </c>
      <c r="R13" t="s">
        <v>100</v>
      </c>
      <c r="S13">
        <v>0</v>
      </c>
      <c r="T13">
        <v>0.26489817249632747</v>
      </c>
      <c r="U13">
        <v>0.44515444006350696</v>
      </c>
      <c r="V13">
        <v>0.7995605616225363</v>
      </c>
      <c r="W13">
        <v>0.13847951446551976</v>
      </c>
      <c r="X13">
        <v>0.24861149560751111</v>
      </c>
      <c r="Y13">
        <v>0.65658182416602195</v>
      </c>
      <c r="Z13">
        <v>0.10168824749718812</v>
      </c>
      <c r="AA13">
        <v>0.27129552254455996</v>
      </c>
      <c r="AB13">
        <v>0.96460459183673508</v>
      </c>
      <c r="AC13">
        <v>0.19403274850370997</v>
      </c>
      <c r="AD13">
        <v>0.27747230470040946</v>
      </c>
      <c r="AF13" t="s">
        <v>378</v>
      </c>
      <c r="AG13" t="s">
        <v>101</v>
      </c>
      <c r="AH13">
        <v>0</v>
      </c>
      <c r="AI13">
        <v>1.5502271101729661E-2</v>
      </c>
      <c r="AJ13">
        <v>0.47392434661290483</v>
      </c>
      <c r="AK13">
        <v>0</v>
      </c>
      <c r="AL13">
        <v>1.5789589461726244E-2</v>
      </c>
      <c r="AM13">
        <v>0.28066345967381423</v>
      </c>
      <c r="AN13">
        <v>0</v>
      </c>
      <c r="AO13">
        <v>1.2232712465248844E-2</v>
      </c>
      <c r="AP13">
        <v>0.16096754609173142</v>
      </c>
      <c r="AQ13">
        <v>0</v>
      </c>
      <c r="AR13">
        <v>2.7543855447671916E-2</v>
      </c>
      <c r="AS13">
        <v>0.52363222114241659</v>
      </c>
      <c r="AU13" t="s">
        <v>378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6.5973058341812548E-3</v>
      </c>
      <c r="BR13" t="s">
        <v>378</v>
      </c>
      <c r="BS13">
        <v>0</v>
      </c>
      <c r="BT13">
        <v>0.15524999272922574</v>
      </c>
      <c r="BU13">
        <v>1.3728957700669257E-3</v>
      </c>
      <c r="BV13">
        <v>2.1656988435639472E-3</v>
      </c>
      <c r="BW13">
        <v>0.33562949971975031</v>
      </c>
      <c r="BX13">
        <v>3.0353023955565089E-2</v>
      </c>
      <c r="BY13">
        <v>5.261408698640003E-3</v>
      </c>
      <c r="BZ13">
        <v>0.38658408861151133</v>
      </c>
      <c r="CA13">
        <v>5.2647032221352849E-2</v>
      </c>
      <c r="CB13">
        <v>7.5107806246812379E-5</v>
      </c>
      <c r="CC13">
        <v>0.21406178524857458</v>
      </c>
      <c r="CD13">
        <v>6.098694963904432E-3</v>
      </c>
      <c r="CF13" t="s">
        <v>378</v>
      </c>
      <c r="CG13" t="s">
        <v>108</v>
      </c>
      <c r="CH13" t="s">
        <v>109</v>
      </c>
      <c r="CI13">
        <v>0.37611762480191147</v>
      </c>
    </row>
    <row r="14" spans="2:87" x14ac:dyDescent="0.45">
      <c r="B14" t="s">
        <v>379</v>
      </c>
      <c r="C14" t="s">
        <v>99</v>
      </c>
      <c r="D14">
        <v>0</v>
      </c>
      <c r="E14">
        <v>0.43653028979152286</v>
      </c>
      <c r="F14">
        <v>0.95627845108214771</v>
      </c>
      <c r="G14">
        <v>0.88795969588131896</v>
      </c>
      <c r="H14">
        <v>0.27135167951264494</v>
      </c>
      <c r="I14">
        <v>0.68416563361185945</v>
      </c>
      <c r="J14">
        <v>0.79849150859838458</v>
      </c>
      <c r="K14">
        <v>0.20832721471831561</v>
      </c>
      <c r="L14">
        <v>0.60197764826814615</v>
      </c>
      <c r="M14">
        <v>0.98214285714285743</v>
      </c>
      <c r="N14">
        <v>0.36002004648886343</v>
      </c>
      <c r="O14">
        <v>0.8927819080145819</v>
      </c>
      <c r="Q14" t="s">
        <v>379</v>
      </c>
      <c r="R14" t="s">
        <v>100</v>
      </c>
      <c r="S14">
        <v>0</v>
      </c>
      <c r="T14">
        <v>0.26404797871019009</v>
      </c>
      <c r="U14">
        <v>0.47977055785152217</v>
      </c>
      <c r="V14">
        <v>0.80461080831539999</v>
      </c>
      <c r="W14">
        <v>0.14850616585684559</v>
      </c>
      <c r="X14">
        <v>0.34935916119915544</v>
      </c>
      <c r="Y14">
        <v>0.65819819678881319</v>
      </c>
      <c r="Z14">
        <v>0.10389761978490472</v>
      </c>
      <c r="AA14">
        <v>0.28202536431535352</v>
      </c>
      <c r="AB14">
        <v>0.96591803263229914</v>
      </c>
      <c r="AC14">
        <v>0.19621969427422736</v>
      </c>
      <c r="AD14">
        <v>0.32040931838015668</v>
      </c>
      <c r="AF14" t="s">
        <v>379</v>
      </c>
      <c r="AG14" t="s">
        <v>101</v>
      </c>
      <c r="AH14">
        <v>0</v>
      </c>
      <c r="AI14">
        <v>2.0967999358292029E-2</v>
      </c>
      <c r="AJ14">
        <v>0.43577751475860799</v>
      </c>
      <c r="AK14">
        <v>0</v>
      </c>
      <c r="AL14">
        <v>1.4623824800507411E-2</v>
      </c>
      <c r="AM14">
        <v>0.18032620573472849</v>
      </c>
      <c r="AN14">
        <v>0</v>
      </c>
      <c r="AO14">
        <v>1.5086587686700166E-2</v>
      </c>
      <c r="AP14">
        <v>0.15187837607816493</v>
      </c>
      <c r="AQ14">
        <v>0</v>
      </c>
      <c r="AR14">
        <v>3.1186204964451916E-2</v>
      </c>
      <c r="AS14">
        <v>0.483691315761621</v>
      </c>
      <c r="AU14" t="s">
        <v>379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7.0331333623663804E-3</v>
      </c>
      <c r="BR14" t="s">
        <v>379</v>
      </c>
      <c r="BS14">
        <v>0</v>
      </c>
      <c r="BT14">
        <v>0.15018886969070586</v>
      </c>
      <c r="BU14">
        <v>1.4968681064029051E-3</v>
      </c>
      <c r="BV14">
        <v>2.1666539586595204E-3</v>
      </c>
      <c r="BW14">
        <v>0.31431848256011702</v>
      </c>
      <c r="BX14">
        <v>2.8265394561878526E-2</v>
      </c>
      <c r="BY14">
        <v>5.1948279613142131E-3</v>
      </c>
      <c r="BZ14">
        <v>0.37169573270695527</v>
      </c>
      <c r="CA14">
        <v>4.9991793807181974E-2</v>
      </c>
      <c r="CB14">
        <v>6.9299279807687479E-5</v>
      </c>
      <c r="CC14">
        <v>0.21433547423470434</v>
      </c>
      <c r="CD14">
        <v>5.9622401813662637E-3</v>
      </c>
      <c r="CF14" t="s">
        <v>379</v>
      </c>
      <c r="CG14" t="s">
        <v>108</v>
      </c>
      <c r="CH14" t="s">
        <v>109</v>
      </c>
      <c r="CI14">
        <v>0.36097140890525897</v>
      </c>
    </row>
    <row r="15" spans="2:87" x14ac:dyDescent="0.45">
      <c r="B15" t="s">
        <v>380</v>
      </c>
      <c r="C15" t="s">
        <v>99</v>
      </c>
      <c r="D15">
        <v>0</v>
      </c>
      <c r="E15">
        <v>0.45375502864413569</v>
      </c>
      <c r="F15">
        <v>0.96091128981923657</v>
      </c>
      <c r="G15">
        <v>0.87946952330951744</v>
      </c>
      <c r="H15">
        <v>0.26358955812641488</v>
      </c>
      <c r="I15">
        <v>0.68991595955969842</v>
      </c>
      <c r="J15">
        <v>0.7935073604865357</v>
      </c>
      <c r="K15">
        <v>0.20526965853381321</v>
      </c>
      <c r="L15">
        <v>0.60201913083210323</v>
      </c>
      <c r="M15">
        <v>0.97839757452461373</v>
      </c>
      <c r="N15">
        <v>0.36001534523873313</v>
      </c>
      <c r="O15">
        <v>0.89792086819170824</v>
      </c>
      <c r="Q15" t="s">
        <v>380</v>
      </c>
      <c r="R15" t="s">
        <v>100</v>
      </c>
      <c r="S15">
        <v>0</v>
      </c>
      <c r="T15">
        <v>0.28511780829174943</v>
      </c>
      <c r="U15">
        <v>0.63179293167815176</v>
      </c>
      <c r="V15">
        <v>0.79033510145382557</v>
      </c>
      <c r="W15">
        <v>0.14581316594411528</v>
      </c>
      <c r="X15">
        <v>0.33918372257611956</v>
      </c>
      <c r="Y15">
        <v>0.64575778558482355</v>
      </c>
      <c r="Z15">
        <v>0.1055558203030776</v>
      </c>
      <c r="AA15">
        <v>0.27596876161108064</v>
      </c>
      <c r="AB15">
        <v>0.95823828384072751</v>
      </c>
      <c r="AC15">
        <v>0.19162397711660162</v>
      </c>
      <c r="AD15">
        <v>0.48540049644982675</v>
      </c>
      <c r="AF15" t="s">
        <v>380</v>
      </c>
      <c r="AG15" t="s">
        <v>101</v>
      </c>
      <c r="AH15">
        <v>0</v>
      </c>
      <c r="AI15">
        <v>1.6962675769520513E-2</v>
      </c>
      <c r="AJ15">
        <v>0.29430643264959333</v>
      </c>
      <c r="AK15">
        <v>0</v>
      </c>
      <c r="AL15">
        <v>1.3565493959704262E-2</v>
      </c>
      <c r="AM15">
        <v>0.19243903154937289</v>
      </c>
      <c r="AN15">
        <v>0</v>
      </c>
      <c r="AO15">
        <v>1.4735068299479338E-2</v>
      </c>
      <c r="AP15">
        <v>0.16279442377262809</v>
      </c>
      <c r="AQ15">
        <v>0</v>
      </c>
      <c r="AR15">
        <v>3.4009413893909712E-2</v>
      </c>
      <c r="AS15">
        <v>0.31503707304427192</v>
      </c>
      <c r="AU15" t="s">
        <v>380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3.7044769165104751E-3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1.41731838149259E-2</v>
      </c>
      <c r="BR15" t="s">
        <v>380</v>
      </c>
      <c r="BS15">
        <v>0</v>
      </c>
      <c r="BT15">
        <v>0.14281527948388834</v>
      </c>
      <c r="BU15">
        <v>8.8556686388899491E-4</v>
      </c>
      <c r="BV15">
        <v>2.4988656475021286E-3</v>
      </c>
      <c r="BW15">
        <v>0.31735966808943067</v>
      </c>
      <c r="BX15">
        <v>2.5643391973724422E-2</v>
      </c>
      <c r="BY15">
        <v>6.0135313215495933E-3</v>
      </c>
      <c r="BZ15">
        <v>0.35899474738462234</v>
      </c>
      <c r="CA15">
        <v>4.5851045801237604E-2</v>
      </c>
      <c r="CB15">
        <v>9.3231876377740101E-5</v>
      </c>
      <c r="CC15">
        <v>0.20662595495002414</v>
      </c>
      <c r="CD15">
        <v>4.9866275318427369E-3</v>
      </c>
      <c r="CF15" t="s">
        <v>380</v>
      </c>
      <c r="CG15" t="s">
        <v>108</v>
      </c>
      <c r="CH15" t="s">
        <v>109</v>
      </c>
      <c r="CI15">
        <v>0.34402241220598517</v>
      </c>
    </row>
    <row r="16" spans="2:87" x14ac:dyDescent="0.45">
      <c r="B16" t="s">
        <v>381</v>
      </c>
      <c r="C16" t="s">
        <v>99</v>
      </c>
      <c r="D16">
        <v>0</v>
      </c>
      <c r="E16">
        <v>0.44870841094157204</v>
      </c>
      <c r="F16">
        <v>0.96249009264400631</v>
      </c>
      <c r="G16">
        <v>0.87785351263386924</v>
      </c>
      <c r="H16">
        <v>0.24711459171876798</v>
      </c>
      <c r="I16">
        <v>0.68961345211266445</v>
      </c>
      <c r="J16">
        <v>0.79063770027177815</v>
      </c>
      <c r="K16">
        <v>0.19577325613763571</v>
      </c>
      <c r="L16">
        <v>0.60008264508778131</v>
      </c>
      <c r="M16">
        <v>0.97828928286060213</v>
      </c>
      <c r="N16">
        <v>0.35082858551367696</v>
      </c>
      <c r="O16">
        <v>0.89695742863035888</v>
      </c>
      <c r="Q16" t="s">
        <v>381</v>
      </c>
      <c r="R16" t="s">
        <v>100</v>
      </c>
      <c r="S16">
        <v>0</v>
      </c>
      <c r="T16">
        <v>0.27844939998763396</v>
      </c>
      <c r="U16">
        <v>0.6628380261397806</v>
      </c>
      <c r="V16">
        <v>0.78599722775375336</v>
      </c>
      <c r="W16">
        <v>0.13565433884278652</v>
      </c>
      <c r="X16">
        <v>0.37068448428099188</v>
      </c>
      <c r="Y16">
        <v>0.64434974635294595</v>
      </c>
      <c r="Z16">
        <v>0.10002384802204106</v>
      </c>
      <c r="AA16">
        <v>0.30514525100344214</v>
      </c>
      <c r="AB16">
        <v>0.95813222346100191</v>
      </c>
      <c r="AC16">
        <v>0.18718603649722054</v>
      </c>
      <c r="AD16">
        <v>0.44396613732544543</v>
      </c>
      <c r="AF16" t="s">
        <v>381</v>
      </c>
      <c r="AG16" t="s">
        <v>101</v>
      </c>
      <c r="AH16">
        <v>0</v>
      </c>
      <c r="AI16">
        <v>1.7749095875665186E-2</v>
      </c>
      <c r="AJ16">
        <v>0.26400428529518832</v>
      </c>
      <c r="AK16">
        <v>0</v>
      </c>
      <c r="AL16">
        <v>1.1487452064107669E-2</v>
      </c>
      <c r="AM16">
        <v>0.16603957925577198</v>
      </c>
      <c r="AN16">
        <v>0</v>
      </c>
      <c r="AO16">
        <v>1.2538954865102644E-2</v>
      </c>
      <c r="AP16">
        <v>0.12995136363250243</v>
      </c>
      <c r="AQ16">
        <v>0</v>
      </c>
      <c r="AR16">
        <v>3.4685328040148643E-2</v>
      </c>
      <c r="AS16">
        <v>0.3614062485476825</v>
      </c>
      <c r="AU16" t="s">
        <v>381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6.4504939303997519E-3</v>
      </c>
      <c r="BR16" t="s">
        <v>381</v>
      </c>
      <c r="BS16">
        <v>0</v>
      </c>
      <c r="BT16">
        <v>0.14329436541740076</v>
      </c>
      <c r="BU16">
        <v>8.2600794815480903E-4</v>
      </c>
      <c r="BV16">
        <v>2.828413497295615E-3</v>
      </c>
      <c r="BW16">
        <v>0.33286932653856305</v>
      </c>
      <c r="BX16">
        <v>2.7474287174497576E-2</v>
      </c>
      <c r="BY16">
        <v>6.3114519059294157E-3</v>
      </c>
      <c r="BZ16">
        <v>0.37606128478726336</v>
      </c>
      <c r="CA16">
        <v>4.8440820762424085E-2</v>
      </c>
      <c r="CB16">
        <v>9.3687980228716717E-5</v>
      </c>
      <c r="CC16">
        <v>0.20892676952561309</v>
      </c>
      <c r="CD16">
        <v>4.953901653471625E-3</v>
      </c>
      <c r="CF16" t="s">
        <v>381</v>
      </c>
      <c r="CG16" t="s">
        <v>108</v>
      </c>
      <c r="CH16" t="s">
        <v>109</v>
      </c>
      <c r="CI16">
        <v>0.36290154442910277</v>
      </c>
    </row>
    <row r="17" spans="2:87" x14ac:dyDescent="0.45">
      <c r="B17" t="s">
        <v>382</v>
      </c>
      <c r="C17" t="s">
        <v>99</v>
      </c>
      <c r="D17">
        <v>0</v>
      </c>
      <c r="E17">
        <v>0.46923037929548495</v>
      </c>
      <c r="F17">
        <v>0.97037037037037022</v>
      </c>
      <c r="G17">
        <v>0.86869996075503375</v>
      </c>
      <c r="H17">
        <v>0.25004737158394724</v>
      </c>
      <c r="I17">
        <v>0.69714333082051483</v>
      </c>
      <c r="J17">
        <v>0.78551369089226453</v>
      </c>
      <c r="K17">
        <v>0.19127812268420172</v>
      </c>
      <c r="L17">
        <v>0.60881432238221489</v>
      </c>
      <c r="M17">
        <v>0.97252747252747263</v>
      </c>
      <c r="N17">
        <v>0.36212788175905664</v>
      </c>
      <c r="O17">
        <v>0.90221561889943092</v>
      </c>
      <c r="Q17" t="s">
        <v>382</v>
      </c>
      <c r="R17" t="s">
        <v>100</v>
      </c>
      <c r="S17">
        <v>0</v>
      </c>
      <c r="T17">
        <v>0.29266421099961104</v>
      </c>
      <c r="U17">
        <v>0.63882364596615038</v>
      </c>
      <c r="V17">
        <v>0.77183043388374306</v>
      </c>
      <c r="W17">
        <v>0.13290624644720864</v>
      </c>
      <c r="X17">
        <v>0.39535033506978923</v>
      </c>
      <c r="Y17">
        <v>0.63674481120998616</v>
      </c>
      <c r="Z17">
        <v>9.7363166825653463E-2</v>
      </c>
      <c r="AA17">
        <v>0.29439241107075742</v>
      </c>
      <c r="AB17">
        <v>0.94679603362413978</v>
      </c>
      <c r="AC17">
        <v>0.18604913787334543</v>
      </c>
      <c r="AD17">
        <v>0.4121105594961218</v>
      </c>
      <c r="AF17" t="s">
        <v>382</v>
      </c>
      <c r="AG17" t="s">
        <v>101</v>
      </c>
      <c r="AH17">
        <v>0</v>
      </c>
      <c r="AI17">
        <v>2.622917358479052E-2</v>
      </c>
      <c r="AJ17">
        <v>0.3030490825389992</v>
      </c>
      <c r="AK17">
        <v>0</v>
      </c>
      <c r="AL17">
        <v>2.1507795077151289E-2</v>
      </c>
      <c r="AM17">
        <v>0.15147057279272094</v>
      </c>
      <c r="AN17">
        <v>0</v>
      </c>
      <c r="AO17">
        <v>1.3516305766947205E-2</v>
      </c>
      <c r="AP17">
        <v>0.14907908916890591</v>
      </c>
      <c r="AQ17">
        <v>0</v>
      </c>
      <c r="AR17">
        <v>4.5825741025023944E-2</v>
      </c>
      <c r="AS17">
        <v>0.40605304446142676</v>
      </c>
      <c r="AU17" t="s">
        <v>382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5.3150386142533966E-3</v>
      </c>
      <c r="BR17" t="s">
        <v>382</v>
      </c>
      <c r="BS17">
        <v>0</v>
      </c>
      <c r="BT17">
        <v>0.12142513870151102</v>
      </c>
      <c r="BU17">
        <v>4.5780170430696239E-4</v>
      </c>
      <c r="BV17">
        <v>3.6569221112149482E-3</v>
      </c>
      <c r="BW17">
        <v>0.32585048368294239</v>
      </c>
      <c r="BX17">
        <v>2.268148504565734E-2</v>
      </c>
      <c r="BY17">
        <v>7.7962346163470888E-3</v>
      </c>
      <c r="BZ17">
        <v>0.36530708138640278</v>
      </c>
      <c r="CA17">
        <v>4.1755346912295335E-2</v>
      </c>
      <c r="CB17">
        <v>1.8385648266827035E-4</v>
      </c>
      <c r="CC17">
        <v>0.20017658937991784</v>
      </c>
      <c r="CD17">
        <v>3.5179749804281372E-3</v>
      </c>
      <c r="CF17" t="s">
        <v>382</v>
      </c>
      <c r="CG17" t="s">
        <v>108</v>
      </c>
      <c r="CH17" t="s">
        <v>109</v>
      </c>
      <c r="CI17">
        <v>0.34878536098581431</v>
      </c>
    </row>
    <row r="18" spans="2:87" x14ac:dyDescent="0.45">
      <c r="B18" t="s">
        <v>383</v>
      </c>
      <c r="C18" t="s">
        <v>99</v>
      </c>
      <c r="D18">
        <v>0</v>
      </c>
      <c r="E18">
        <v>0.45802568364847879</v>
      </c>
      <c r="F18">
        <v>0.96726670661500347</v>
      </c>
      <c r="G18">
        <v>0.87303523715005593</v>
      </c>
      <c r="H18">
        <v>0.24898813715357121</v>
      </c>
      <c r="I18">
        <v>0.6944970581758021</v>
      </c>
      <c r="J18">
        <v>0.78925477686049084</v>
      </c>
      <c r="K18">
        <v>0.19591057864653755</v>
      </c>
      <c r="L18">
        <v>0.60396081020139436</v>
      </c>
      <c r="M18">
        <v>0.97625385913073448</v>
      </c>
      <c r="N18">
        <v>0.36125619644817836</v>
      </c>
      <c r="O18">
        <v>0.90018233348262389</v>
      </c>
      <c r="Q18" t="s">
        <v>383</v>
      </c>
      <c r="R18" t="s">
        <v>100</v>
      </c>
      <c r="S18">
        <v>0</v>
      </c>
      <c r="T18">
        <v>0.29112191419486372</v>
      </c>
      <c r="U18">
        <v>0.68434376723343426</v>
      </c>
      <c r="V18">
        <v>0.77789654350000892</v>
      </c>
      <c r="W18">
        <v>0.13157107524048225</v>
      </c>
      <c r="X18">
        <v>0.40399308788212646</v>
      </c>
      <c r="Y18">
        <v>0.63954534989352962</v>
      </c>
      <c r="Z18">
        <v>0.10046807709596815</v>
      </c>
      <c r="AA18">
        <v>0.30477214628663268</v>
      </c>
      <c r="AB18">
        <v>0.95345672231037404</v>
      </c>
      <c r="AC18">
        <v>0.1895698361197676</v>
      </c>
      <c r="AD18">
        <v>0.40469793210015248</v>
      </c>
      <c r="AF18" t="s">
        <v>383</v>
      </c>
      <c r="AG18" t="s">
        <v>101</v>
      </c>
      <c r="AH18">
        <v>0</v>
      </c>
      <c r="AI18">
        <v>1.915163152751977E-2</v>
      </c>
      <c r="AJ18">
        <v>0.25247195046961518</v>
      </c>
      <c r="AK18">
        <v>0</v>
      </c>
      <c r="AL18">
        <v>2.04259154463956E-2</v>
      </c>
      <c r="AM18">
        <v>0.14450438752509495</v>
      </c>
      <c r="AN18">
        <v>0</v>
      </c>
      <c r="AO18">
        <v>1.3039903032639417E-2</v>
      </c>
      <c r="AP18">
        <v>0.13410640126074852</v>
      </c>
      <c r="AQ18">
        <v>0</v>
      </c>
      <c r="AR18">
        <v>3.9433351573977357E-2</v>
      </c>
      <c r="AS18">
        <v>0.40762269683689423</v>
      </c>
      <c r="AU18" t="s">
        <v>383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6.2691501791997282E-3</v>
      </c>
      <c r="BR18" t="s">
        <v>383</v>
      </c>
      <c r="BS18">
        <v>0</v>
      </c>
      <c r="BT18">
        <v>0.12959823849116595</v>
      </c>
      <c r="BU18">
        <v>6.1263184587189367E-4</v>
      </c>
      <c r="BV18">
        <v>3.2443982310109819E-3</v>
      </c>
      <c r="BW18">
        <v>0.32352798916975622</v>
      </c>
      <c r="BX18">
        <v>2.4237307281403015E-2</v>
      </c>
      <c r="BY18">
        <v>7.0823941547166697E-3</v>
      </c>
      <c r="BZ18">
        <v>0.36454598970891983</v>
      </c>
      <c r="CA18">
        <v>4.3817798703586104E-2</v>
      </c>
      <c r="CB18">
        <v>1.3501647607868297E-4</v>
      </c>
      <c r="CC18">
        <v>0.20414197075110863</v>
      </c>
      <c r="CD18">
        <v>3.9421727871366856E-3</v>
      </c>
      <c r="CF18" t="s">
        <v>383</v>
      </c>
      <c r="CG18" t="s">
        <v>108</v>
      </c>
      <c r="CH18" t="s">
        <v>109</v>
      </c>
      <c r="CI18">
        <v>0.35302534541956021</v>
      </c>
    </row>
    <row r="19" spans="2:87" x14ac:dyDescent="0.45">
      <c r="B19" t="s">
        <v>384</v>
      </c>
      <c r="C19" t="s">
        <v>99</v>
      </c>
      <c r="D19">
        <v>0</v>
      </c>
      <c r="E19">
        <v>0.44257296210943758</v>
      </c>
      <c r="F19">
        <v>0.96296296296296313</v>
      </c>
      <c r="G19">
        <v>0.87515676285579735</v>
      </c>
      <c r="H19">
        <v>0.26533339522695748</v>
      </c>
      <c r="I19">
        <v>0.69513618431562285</v>
      </c>
      <c r="J19">
        <v>0.79097309473790034</v>
      </c>
      <c r="K19">
        <v>0.20240730800363149</v>
      </c>
      <c r="L19">
        <v>0.6084499336161403</v>
      </c>
      <c r="M19">
        <v>0.97562290637203608</v>
      </c>
      <c r="N19">
        <v>0.36318920115075504</v>
      </c>
      <c r="O19">
        <v>0.89789036912670717</v>
      </c>
      <c r="Q19" t="s">
        <v>384</v>
      </c>
      <c r="R19" t="s">
        <v>100</v>
      </c>
      <c r="S19">
        <v>0</v>
      </c>
      <c r="T19">
        <v>0.28034963928790202</v>
      </c>
      <c r="U19">
        <v>0.68226275183429341</v>
      </c>
      <c r="V19">
        <v>0.78586441779841876</v>
      </c>
      <c r="W19">
        <v>0.14708995800775079</v>
      </c>
      <c r="X19">
        <v>0.37565050935650718</v>
      </c>
      <c r="Y19">
        <v>0.64605934708425616</v>
      </c>
      <c r="Z19">
        <v>0.10217521932544021</v>
      </c>
      <c r="AA19">
        <v>0.31246724616370886</v>
      </c>
      <c r="AB19">
        <v>0.95386412566065293</v>
      </c>
      <c r="AC19">
        <v>0.1915622368082634</v>
      </c>
      <c r="AD19">
        <v>0.41159919766083841</v>
      </c>
      <c r="AF19" t="s">
        <v>384</v>
      </c>
      <c r="AG19" t="s">
        <v>101</v>
      </c>
      <c r="AH19">
        <v>0</v>
      </c>
      <c r="AI19">
        <v>1.8395363557108111E-2</v>
      </c>
      <c r="AJ19">
        <v>0.2459553194283077</v>
      </c>
      <c r="AK19">
        <v>0</v>
      </c>
      <c r="AL19">
        <v>1.7591165314827344E-2</v>
      </c>
      <c r="AM19">
        <v>0.16469755692235685</v>
      </c>
      <c r="AN19">
        <v>0</v>
      </c>
      <c r="AO19">
        <v>1.5464461441965711E-2</v>
      </c>
      <c r="AP19">
        <v>0.13109638924535263</v>
      </c>
      <c r="AQ19">
        <v>0</v>
      </c>
      <c r="AR19">
        <v>3.4893887438735595E-2</v>
      </c>
      <c r="AS19">
        <v>0.39254914757609866</v>
      </c>
      <c r="AU19" t="s">
        <v>384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1.1866023326545044E-2</v>
      </c>
      <c r="BR19" t="s">
        <v>384</v>
      </c>
      <c r="BS19">
        <v>0</v>
      </c>
      <c r="BT19">
        <v>0.13406529478231891</v>
      </c>
      <c r="BU19">
        <v>8.0050897889234372E-4</v>
      </c>
      <c r="BV19">
        <v>2.5953258826180272E-3</v>
      </c>
      <c r="BW19">
        <v>0.31848382460400154</v>
      </c>
      <c r="BX19">
        <v>2.460681646047122E-2</v>
      </c>
      <c r="BY19">
        <v>6.3054286569224627E-3</v>
      </c>
      <c r="BZ19">
        <v>0.36655453736304056</v>
      </c>
      <c r="CA19">
        <v>4.3394032164231225E-2</v>
      </c>
      <c r="CB19">
        <v>1.1021132643343938E-4</v>
      </c>
      <c r="CC19">
        <v>0.20808058823686937</v>
      </c>
      <c r="CD19">
        <v>4.6220934830482818E-3</v>
      </c>
      <c r="CF19" t="s">
        <v>384</v>
      </c>
      <c r="CG19" t="s">
        <v>108</v>
      </c>
      <c r="CH19" t="s">
        <v>109</v>
      </c>
      <c r="CI19">
        <v>0.35047612606327416</v>
      </c>
    </row>
    <row r="20" spans="2:87" x14ac:dyDescent="0.45">
      <c r="B20" t="s">
        <v>385</v>
      </c>
      <c r="C20" t="s">
        <v>99</v>
      </c>
      <c r="D20">
        <v>0</v>
      </c>
      <c r="E20">
        <v>0.45862605400384165</v>
      </c>
      <c r="F20">
        <v>0.96635540010951648</v>
      </c>
      <c r="G20">
        <v>0.87469821112578072</v>
      </c>
      <c r="H20">
        <v>0.26335037707493053</v>
      </c>
      <c r="I20">
        <v>0.69679264326950596</v>
      </c>
      <c r="J20">
        <v>0.79064926343607533</v>
      </c>
      <c r="K20">
        <v>0.2029240764685912</v>
      </c>
      <c r="L20">
        <v>0.6070404614668653</v>
      </c>
      <c r="M20">
        <v>0.97762557268151173</v>
      </c>
      <c r="N20">
        <v>0.37113081549529059</v>
      </c>
      <c r="O20">
        <v>0.90147920087790645</v>
      </c>
      <c r="Q20" t="s">
        <v>385</v>
      </c>
      <c r="R20" t="s">
        <v>100</v>
      </c>
      <c r="S20">
        <v>0</v>
      </c>
      <c r="T20">
        <v>0.29598903021361078</v>
      </c>
      <c r="U20">
        <v>0.74602171106174886</v>
      </c>
      <c r="V20">
        <v>0.78133803423642756</v>
      </c>
      <c r="W20">
        <v>0.14411753933611982</v>
      </c>
      <c r="X20">
        <v>0.3970973247858175</v>
      </c>
      <c r="Y20">
        <v>0.64259745730831119</v>
      </c>
      <c r="Z20">
        <v>0.10346054462333736</v>
      </c>
      <c r="AA20">
        <v>0.29573194044750356</v>
      </c>
      <c r="AB20">
        <v>0.95748218862900791</v>
      </c>
      <c r="AC20">
        <v>0.19592161177336043</v>
      </c>
      <c r="AD20">
        <v>0.48438214576490762</v>
      </c>
      <c r="AF20" t="s">
        <v>385</v>
      </c>
      <c r="AG20" t="s">
        <v>101</v>
      </c>
      <c r="AH20">
        <v>0</v>
      </c>
      <c r="AI20">
        <v>1.8546954957689182E-2</v>
      </c>
      <c r="AJ20">
        <v>0.18812184237745036</v>
      </c>
      <c r="AK20">
        <v>0</v>
      </c>
      <c r="AL20">
        <v>1.8398882977652683E-2</v>
      </c>
      <c r="AM20">
        <v>0.14777350156799829</v>
      </c>
      <c r="AN20">
        <v>0</v>
      </c>
      <c r="AO20">
        <v>1.4444346000369384E-2</v>
      </c>
      <c r="AP20">
        <v>0.14598525602438012</v>
      </c>
      <c r="AQ20">
        <v>0</v>
      </c>
      <c r="AR20">
        <v>3.8357670422152275E-2</v>
      </c>
      <c r="AS20">
        <v>0.33198157663732092</v>
      </c>
      <c r="AU20" t="s">
        <v>385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5.953319918560746E-3</v>
      </c>
      <c r="BR20" t="s">
        <v>385</v>
      </c>
      <c r="BS20">
        <v>0</v>
      </c>
      <c r="BT20">
        <v>0.13184746218889712</v>
      </c>
      <c r="BU20">
        <v>5.8945324472679881E-4</v>
      </c>
      <c r="BV20">
        <v>2.9766762874477654E-3</v>
      </c>
      <c r="BW20">
        <v>0.32316873467523533</v>
      </c>
      <c r="BX20">
        <v>2.3625965988019849E-2</v>
      </c>
      <c r="BY20">
        <v>6.8122017696228086E-3</v>
      </c>
      <c r="BZ20">
        <v>0.36152783669531346</v>
      </c>
      <c r="CA20">
        <v>4.2748606198417118E-2</v>
      </c>
      <c r="CB20">
        <v>1.3399867035771891E-4</v>
      </c>
      <c r="CC20">
        <v>0.20334841316769206</v>
      </c>
      <c r="CD20">
        <v>3.911755488963416E-3</v>
      </c>
      <c r="CF20" t="s">
        <v>385</v>
      </c>
      <c r="CG20" t="s">
        <v>108</v>
      </c>
      <c r="CH20" t="s">
        <v>109</v>
      </c>
      <c r="CI20">
        <v>0.3385162975639105</v>
      </c>
    </row>
    <row r="21" spans="2:87" x14ac:dyDescent="0.45">
      <c r="B21" t="s">
        <v>386</v>
      </c>
      <c r="C21" t="s">
        <v>99</v>
      </c>
      <c r="D21">
        <v>0.24496496825412847</v>
      </c>
      <c r="E21">
        <v>0.2646226720469711</v>
      </c>
      <c r="F21">
        <v>0.23951687463233517</v>
      </c>
      <c r="G21">
        <v>0.27959914315464129</v>
      </c>
      <c r="H21">
        <v>0.28082281065919334</v>
      </c>
      <c r="I21">
        <v>0.24466029824752394</v>
      </c>
      <c r="J21">
        <v>0.32975840988412286</v>
      </c>
      <c r="K21">
        <v>0.35189625688649384</v>
      </c>
      <c r="L21">
        <v>0.35285580934004851</v>
      </c>
      <c r="M21">
        <v>0.2780082999910839</v>
      </c>
      <c r="N21">
        <v>0.28768979407963119</v>
      </c>
      <c r="O21">
        <v>0.28796612402963462</v>
      </c>
      <c r="Q21" t="s">
        <v>386</v>
      </c>
      <c r="R21" t="s">
        <v>100</v>
      </c>
      <c r="S21">
        <v>4.9143522659645562E-3</v>
      </c>
      <c r="T21">
        <v>1.3097837374984435E-2</v>
      </c>
      <c r="U21">
        <v>1.8786008542934326E-2</v>
      </c>
      <c r="V21">
        <v>1.6227325522057353E-2</v>
      </c>
      <c r="W21">
        <v>1.4320557342309461E-2</v>
      </c>
      <c r="X21">
        <v>1.5535300807278987E-2</v>
      </c>
      <c r="Y21">
        <v>3.2441506784517231E-2</v>
      </c>
      <c r="Z21">
        <v>3.0575525528880855E-2</v>
      </c>
      <c r="AA21">
        <v>2.0900860872756312E-2</v>
      </c>
      <c r="AB21">
        <v>1.794721855633253E-2</v>
      </c>
      <c r="AC21">
        <v>2.2076478805787159E-2</v>
      </c>
      <c r="AD21">
        <v>1.4093846551649544E-2</v>
      </c>
      <c r="AF21" t="s">
        <v>386</v>
      </c>
      <c r="AG21" t="s">
        <v>101</v>
      </c>
      <c r="AH21">
        <v>1.5998412667986336E-2</v>
      </c>
      <c r="AI21">
        <v>1.2889184263699928E-2</v>
      </c>
      <c r="AJ21">
        <v>1.1739369148676885E-2</v>
      </c>
      <c r="AK21">
        <v>1.7145950242937052E-2</v>
      </c>
      <c r="AL21">
        <v>1.912229572506903E-2</v>
      </c>
      <c r="AM21">
        <v>1.808485715634121E-2</v>
      </c>
      <c r="AN21">
        <v>3.4727126755937816E-2</v>
      </c>
      <c r="AO21">
        <v>3.8718993202712278E-2</v>
      </c>
      <c r="AP21">
        <v>3.6080609985068603E-2</v>
      </c>
      <c r="AQ21">
        <v>1.3453059695048973E-2</v>
      </c>
      <c r="AR21">
        <v>2.7315326568004436E-2</v>
      </c>
      <c r="AS21">
        <v>2.2621154414138683E-2</v>
      </c>
      <c r="AU21" t="s">
        <v>386</v>
      </c>
      <c r="AV21" t="s">
        <v>102</v>
      </c>
      <c r="AW21">
        <v>9.8530903950901333E-2</v>
      </c>
      <c r="AX21">
        <v>0.10810165351400301</v>
      </c>
      <c r="AY21">
        <v>8.1442182650547451E-2</v>
      </c>
      <c r="AZ21">
        <v>0.11678162986351685</v>
      </c>
      <c r="BA21">
        <v>0.11820571411420766</v>
      </c>
      <c r="BB21">
        <v>9.9583522665560184E-2</v>
      </c>
      <c r="BC21">
        <v>0.12877117574079039</v>
      </c>
      <c r="BD21">
        <v>0.15222660107547062</v>
      </c>
      <c r="BE21">
        <v>0.15335497801434184</v>
      </c>
      <c r="BF21">
        <v>0.11297616064489469</v>
      </c>
      <c r="BG21">
        <v>0.10137986609814553</v>
      </c>
      <c r="BH21">
        <v>0.11107524887752269</v>
      </c>
      <c r="BR21" t="s">
        <v>386</v>
      </c>
      <c r="BS21">
        <v>0.63318234687645192</v>
      </c>
      <c r="BT21">
        <v>0.60564501609368659</v>
      </c>
      <c r="BU21">
        <v>0.6495062163953359</v>
      </c>
      <c r="BV21">
        <v>0.55428908756426687</v>
      </c>
      <c r="BW21">
        <v>0.55288844616797694</v>
      </c>
      <c r="BX21">
        <v>0.59469596363234578</v>
      </c>
      <c r="BY21">
        <v>0.41386249428931321</v>
      </c>
      <c r="BZ21">
        <v>0.37113697376575461</v>
      </c>
      <c r="CA21">
        <v>0.4186844444779706</v>
      </c>
      <c r="CB21">
        <v>0.57637665676708449</v>
      </c>
      <c r="CC21">
        <v>0.57513166541159455</v>
      </c>
      <c r="CD21">
        <v>0.59208705343093704</v>
      </c>
      <c r="CF21" t="s">
        <v>387</v>
      </c>
      <c r="CG21" t="s">
        <v>108</v>
      </c>
      <c r="CH21" t="s">
        <v>109</v>
      </c>
      <c r="CI21">
        <v>0.41627753737346412</v>
      </c>
    </row>
    <row r="22" spans="2:87" x14ac:dyDescent="0.45">
      <c r="B22" t="s">
        <v>388</v>
      </c>
      <c r="C22" t="s">
        <v>99</v>
      </c>
      <c r="D22">
        <v>0.24547161521672903</v>
      </c>
      <c r="E22">
        <v>0.25330053077604198</v>
      </c>
      <c r="F22">
        <v>0.22798407542081886</v>
      </c>
      <c r="G22">
        <v>0.29283604607630365</v>
      </c>
      <c r="H22">
        <v>0.26268740818440778</v>
      </c>
      <c r="I22">
        <v>0.26129054904592763</v>
      </c>
      <c r="J22">
        <v>0.33187411996806443</v>
      </c>
      <c r="K22">
        <v>0.34950198616754047</v>
      </c>
      <c r="L22">
        <v>0.32618683826975953</v>
      </c>
      <c r="M22">
        <v>0.2500111970374635</v>
      </c>
      <c r="N22">
        <v>0.25400402214326417</v>
      </c>
      <c r="O22">
        <v>0.26308528563447686</v>
      </c>
      <c r="Q22" t="s">
        <v>388</v>
      </c>
      <c r="R22" t="s">
        <v>100</v>
      </c>
      <c r="S22">
        <v>9.6279397199083711E-3</v>
      </c>
      <c r="T22">
        <v>1.2035366174571417E-2</v>
      </c>
      <c r="U22">
        <v>1.1025381649717622E-2</v>
      </c>
      <c r="V22">
        <v>7.4262143540051841E-3</v>
      </c>
      <c r="W22">
        <v>1.3920745111880064E-2</v>
      </c>
      <c r="X22">
        <v>1.1641244212888195E-2</v>
      </c>
      <c r="Y22">
        <v>2.9290336006138572E-2</v>
      </c>
      <c r="Z22">
        <v>2.7887201971900127E-2</v>
      </c>
      <c r="AA22">
        <v>2.850421803789023E-2</v>
      </c>
      <c r="AB22">
        <v>1.5681872079403063E-2</v>
      </c>
      <c r="AC22">
        <v>1.3712566024294243E-2</v>
      </c>
      <c r="AD22">
        <v>1.5932292151762735E-2</v>
      </c>
      <c r="AF22" t="s">
        <v>388</v>
      </c>
      <c r="AG22" t="s">
        <v>101</v>
      </c>
      <c r="AH22">
        <v>1.221655978890024E-2</v>
      </c>
      <c r="AI22">
        <v>1.2565820437269063E-2</v>
      </c>
      <c r="AJ22">
        <v>1.5156160153948025E-2</v>
      </c>
      <c r="AK22">
        <v>1.4554895352942779E-2</v>
      </c>
      <c r="AL22">
        <v>9.4886329027945165E-3</v>
      </c>
      <c r="AM22">
        <v>1.5846293378301842E-2</v>
      </c>
      <c r="AN22">
        <v>3.9395440900046576E-2</v>
      </c>
      <c r="AO22">
        <v>2.7180863586051224E-2</v>
      </c>
      <c r="AP22">
        <v>4.3405879287158833E-2</v>
      </c>
      <c r="AQ22">
        <v>1.4412190321235356E-2</v>
      </c>
      <c r="AR22">
        <v>2.3732727184065466E-2</v>
      </c>
      <c r="AS22">
        <v>1.2883937705695245E-2</v>
      </c>
      <c r="AU22" t="s">
        <v>388</v>
      </c>
      <c r="AV22" t="s">
        <v>102</v>
      </c>
      <c r="AW22">
        <v>9.5528593417512631E-2</v>
      </c>
      <c r="AX22">
        <v>9.8550472433671987E-2</v>
      </c>
      <c r="AY22">
        <v>8.1926170328290221E-2</v>
      </c>
      <c r="AZ22">
        <v>0.12717831216724762</v>
      </c>
      <c r="BA22">
        <v>0.11036195129700879</v>
      </c>
      <c r="BB22">
        <v>0.10593084530460899</v>
      </c>
      <c r="BC22">
        <v>0.13085069494459622</v>
      </c>
      <c r="BD22">
        <v>0.16142381169260075</v>
      </c>
      <c r="BE22">
        <v>0.13855250242126063</v>
      </c>
      <c r="BF22">
        <v>9.4108287533912732E-2</v>
      </c>
      <c r="BG22">
        <v>8.7874074080965994E-2</v>
      </c>
      <c r="BH22">
        <v>0.10143422012919752</v>
      </c>
      <c r="BR22" t="s">
        <v>388</v>
      </c>
      <c r="BS22">
        <v>0.64798134195637735</v>
      </c>
      <c r="BT22">
        <v>0.64275664731446236</v>
      </c>
      <c r="BU22">
        <v>0.66460566558547451</v>
      </c>
      <c r="BV22">
        <v>0.57209743645153532</v>
      </c>
      <c r="BW22">
        <v>0.59130602624196482</v>
      </c>
      <c r="BX22">
        <v>0.60556650876094575</v>
      </c>
      <c r="BY22">
        <v>0.42076093459716346</v>
      </c>
      <c r="BZ22">
        <v>0.37794536151012165</v>
      </c>
      <c r="CA22">
        <v>0.37990346472867281</v>
      </c>
      <c r="CB22">
        <v>0.62237070083834367</v>
      </c>
      <c r="CC22">
        <v>0.62336705229168365</v>
      </c>
      <c r="CD22">
        <v>0.62229563360957041</v>
      </c>
      <c r="CF22" t="s">
        <v>389</v>
      </c>
      <c r="CG22" t="s">
        <v>108</v>
      </c>
      <c r="CH22" t="s">
        <v>109</v>
      </c>
      <c r="CI22">
        <v>0.41163172648190971</v>
      </c>
    </row>
    <row r="23" spans="2:87" x14ac:dyDescent="0.45">
      <c r="B23" t="s">
        <v>390</v>
      </c>
      <c r="C23" t="s">
        <v>99</v>
      </c>
      <c r="D23">
        <v>0.24274921704338995</v>
      </c>
      <c r="E23">
        <v>0.25173206779987006</v>
      </c>
      <c r="F23">
        <v>0.23169937238616931</v>
      </c>
      <c r="G23">
        <v>0.28696497183335251</v>
      </c>
      <c r="H23">
        <v>0.26223499161937613</v>
      </c>
      <c r="I23">
        <v>0.25842222424815786</v>
      </c>
      <c r="J23">
        <v>0.33705147070935743</v>
      </c>
      <c r="K23">
        <v>0.35516084524106761</v>
      </c>
      <c r="L23">
        <v>0.3395221418621337</v>
      </c>
      <c r="M23">
        <v>0.24655515103351403</v>
      </c>
      <c r="N23">
        <v>0.24746906383081682</v>
      </c>
      <c r="O23">
        <v>0.25583103484049313</v>
      </c>
      <c r="Q23" t="s">
        <v>390</v>
      </c>
      <c r="R23" t="s">
        <v>100</v>
      </c>
      <c r="S23">
        <v>9.9938882265064536E-3</v>
      </c>
      <c r="T23">
        <v>1.2263217632439764E-2</v>
      </c>
      <c r="U23">
        <v>1.1681263794494934E-2</v>
      </c>
      <c r="V23">
        <v>7.0359078434369697E-3</v>
      </c>
      <c r="W23">
        <v>1.0952095974952792E-2</v>
      </c>
      <c r="X23">
        <v>1.3405646664827534E-2</v>
      </c>
      <c r="Y23">
        <v>2.5638802295118168E-2</v>
      </c>
      <c r="Z23">
        <v>2.4904867530988951E-2</v>
      </c>
      <c r="AA23">
        <v>2.6235270523925481E-2</v>
      </c>
      <c r="AB23">
        <v>1.6732107411371686E-2</v>
      </c>
      <c r="AC23">
        <v>1.4556961586903857E-2</v>
      </c>
      <c r="AD23">
        <v>1.2909281095266267E-2</v>
      </c>
      <c r="AF23" t="s">
        <v>390</v>
      </c>
      <c r="AG23" t="s">
        <v>101</v>
      </c>
      <c r="AH23">
        <v>1.47428903338842E-2</v>
      </c>
      <c r="AI23">
        <v>1.3144666563335348E-2</v>
      </c>
      <c r="AJ23">
        <v>1.3372707803410308E-2</v>
      </c>
      <c r="AK23">
        <v>2.0359515891442994E-2</v>
      </c>
      <c r="AL23">
        <v>9.1764148117521541E-3</v>
      </c>
      <c r="AM23">
        <v>1.0593696547298394E-2</v>
      </c>
      <c r="AN23">
        <v>2.9172435693230466E-2</v>
      </c>
      <c r="AO23">
        <v>2.9426367944403752E-2</v>
      </c>
      <c r="AP23">
        <v>3.633599796885751E-2</v>
      </c>
      <c r="AQ23">
        <v>1.2370726951919177E-2</v>
      </c>
      <c r="AR23">
        <v>2.04340649112126E-2</v>
      </c>
      <c r="AS23">
        <v>1.6850904115153116E-2</v>
      </c>
      <c r="AU23" t="s">
        <v>390</v>
      </c>
      <c r="AV23" t="s">
        <v>102</v>
      </c>
      <c r="AW23">
        <v>8.9564632430393018E-2</v>
      </c>
      <c r="AX23">
        <v>9.5594049306137435E-2</v>
      </c>
      <c r="AY23">
        <v>8.7256575424486643E-2</v>
      </c>
      <c r="AZ23">
        <v>0.12020902153075236</v>
      </c>
      <c r="BA23">
        <v>0.11531179701322308</v>
      </c>
      <c r="BB23">
        <v>0.10826189118377741</v>
      </c>
      <c r="BC23">
        <v>0.14943846738615402</v>
      </c>
      <c r="BD23">
        <v>0.16880760714200888</v>
      </c>
      <c r="BE23">
        <v>0.15458643676474146</v>
      </c>
      <c r="BF23">
        <v>9.2227244509770365E-2</v>
      </c>
      <c r="BG23">
        <v>8.2814658174548236E-2</v>
      </c>
      <c r="BH23">
        <v>0.10282890473043971</v>
      </c>
      <c r="BR23" t="s">
        <v>390</v>
      </c>
      <c r="BS23">
        <v>0.65511516982029816</v>
      </c>
      <c r="BT23">
        <v>0.64791742798044449</v>
      </c>
      <c r="BU23">
        <v>0.66066130761712516</v>
      </c>
      <c r="BV23">
        <v>0.577911230953285</v>
      </c>
      <c r="BW23">
        <v>0.59626849682333516</v>
      </c>
      <c r="BX23">
        <v>0.60680569141202245</v>
      </c>
      <c r="BY23">
        <v>0.42406975797047897</v>
      </c>
      <c r="BZ23">
        <v>0.38130089544549423</v>
      </c>
      <c r="CA23">
        <v>0.38075695625920541</v>
      </c>
      <c r="CB23">
        <v>0.63231484069019439</v>
      </c>
      <c r="CC23">
        <v>0.63760430210495145</v>
      </c>
      <c r="CD23">
        <v>0.62625303672073962</v>
      </c>
      <c r="CF23" t="s">
        <v>391</v>
      </c>
      <c r="CG23" t="s">
        <v>108</v>
      </c>
      <c r="CH23" t="s">
        <v>109</v>
      </c>
      <c r="CI23">
        <v>0.43819723649218284</v>
      </c>
    </row>
    <row r="24" spans="2:87" x14ac:dyDescent="0.45">
      <c r="B24" t="s">
        <v>392</v>
      </c>
      <c r="C24" t="s">
        <v>99</v>
      </c>
      <c r="D24">
        <v>0.24785314770016215</v>
      </c>
      <c r="E24">
        <v>0.24815281705040565</v>
      </c>
      <c r="F24">
        <v>0.23283254412281568</v>
      </c>
      <c r="G24">
        <v>0.28689268799923917</v>
      </c>
      <c r="H24">
        <v>0.27715610876160302</v>
      </c>
      <c r="I24">
        <v>0.26842745254060407</v>
      </c>
      <c r="J24">
        <v>0.32008414827543452</v>
      </c>
      <c r="K24">
        <v>0.32489258853050651</v>
      </c>
      <c r="L24">
        <v>0.31747473331340603</v>
      </c>
      <c r="M24">
        <v>0.24569160521305453</v>
      </c>
      <c r="N24">
        <v>0.25831438054334138</v>
      </c>
      <c r="O24">
        <v>0.25235003912097531</v>
      </c>
      <c r="Q24" t="s">
        <v>392</v>
      </c>
      <c r="R24" t="s">
        <v>100</v>
      </c>
      <c r="S24">
        <v>9.090184563572537E-3</v>
      </c>
      <c r="T24">
        <v>1.1429731412764764E-2</v>
      </c>
      <c r="U24">
        <v>9.2463009369105741E-3</v>
      </c>
      <c r="V24">
        <v>1.3742601973890682E-2</v>
      </c>
      <c r="W24">
        <v>1.1175097734084776E-2</v>
      </c>
      <c r="X24">
        <v>1.2530432787956651E-2</v>
      </c>
      <c r="Y24">
        <v>2.9734304295785521E-2</v>
      </c>
      <c r="Z24">
        <v>1.8246829979191803E-2</v>
      </c>
      <c r="AA24">
        <v>2.3611755974517142E-2</v>
      </c>
      <c r="AB24">
        <v>1.443286145260776E-2</v>
      </c>
      <c r="AC24">
        <v>1.8099439831641747E-2</v>
      </c>
      <c r="AD24">
        <v>1.2123952233239164E-2</v>
      </c>
      <c r="AF24" t="s">
        <v>392</v>
      </c>
      <c r="AG24" t="s">
        <v>101</v>
      </c>
      <c r="AH24">
        <v>1.4924228209575037E-2</v>
      </c>
      <c r="AI24">
        <v>1.0008560413429565E-2</v>
      </c>
      <c r="AJ24">
        <v>1.7310128001025504E-2</v>
      </c>
      <c r="AK24">
        <v>2.1461973710542613E-2</v>
      </c>
      <c r="AL24">
        <v>1.3877477968354476E-2</v>
      </c>
      <c r="AM24">
        <v>8.4473743994083351E-3</v>
      </c>
      <c r="AN24">
        <v>2.896818909828636E-2</v>
      </c>
      <c r="AO24">
        <v>2.9405485335784586E-2</v>
      </c>
      <c r="AP24">
        <v>1.9162565018104268E-2</v>
      </c>
      <c r="AQ24">
        <v>1.4887439510198882E-2</v>
      </c>
      <c r="AR24">
        <v>2.0792310854601957E-2</v>
      </c>
      <c r="AS24">
        <v>1.2501549944675167E-2</v>
      </c>
      <c r="AU24" t="s">
        <v>392</v>
      </c>
      <c r="AV24" t="s">
        <v>102</v>
      </c>
      <c r="AW24">
        <v>9.1364619727603125E-2</v>
      </c>
      <c r="AX24">
        <v>9.6483908675527405E-2</v>
      </c>
      <c r="AY24">
        <v>8.9245743799750407E-2</v>
      </c>
      <c r="AZ24">
        <v>0.1154872920328068</v>
      </c>
      <c r="BA24">
        <v>0.1234518563590451</v>
      </c>
      <c r="BB24">
        <v>0.11091696438859107</v>
      </c>
      <c r="BC24">
        <v>0.13330066452143829</v>
      </c>
      <c r="BD24">
        <v>0.15409822570270743</v>
      </c>
      <c r="BE24">
        <v>0.15406098672330767</v>
      </c>
      <c r="BF24">
        <v>9.7369909001302227E-2</v>
      </c>
      <c r="BG24">
        <v>8.8962504373701304E-2</v>
      </c>
      <c r="BH24">
        <v>0.10109933554401504</v>
      </c>
      <c r="BR24" t="s">
        <v>392</v>
      </c>
      <c r="BS24">
        <v>0.65329011423940153</v>
      </c>
      <c r="BT24">
        <v>0.65132355933717923</v>
      </c>
      <c r="BU24">
        <v>0.6516720054809142</v>
      </c>
      <c r="BV24">
        <v>0.5739202820528273</v>
      </c>
      <c r="BW24">
        <v>0.57792649775940885</v>
      </c>
      <c r="BX24">
        <v>0.608251555546936</v>
      </c>
      <c r="BY24">
        <v>0.43705030920065602</v>
      </c>
      <c r="BZ24">
        <v>0.41774151036794216</v>
      </c>
      <c r="CA24">
        <v>0.40083965989491105</v>
      </c>
      <c r="CB24">
        <v>0.62188850086665926</v>
      </c>
      <c r="CC24">
        <v>0.62277097687493643</v>
      </c>
      <c r="CD24">
        <v>0.62841417710808523</v>
      </c>
      <c r="CF24" t="s">
        <v>393</v>
      </c>
      <c r="CG24" t="s">
        <v>108</v>
      </c>
      <c r="CH24" t="s">
        <v>109</v>
      </c>
      <c r="CI24">
        <v>0.43863869269294403</v>
      </c>
    </row>
    <row r="25" spans="2:87" x14ac:dyDescent="0.45">
      <c r="B25" t="s">
        <v>394</v>
      </c>
      <c r="C25" t="s">
        <v>99</v>
      </c>
      <c r="D25">
        <v>0.24971967186329949</v>
      </c>
      <c r="E25">
        <v>0.25261856600573196</v>
      </c>
      <c r="F25">
        <v>0.23758094832031018</v>
      </c>
      <c r="G25">
        <v>0.29262941226949135</v>
      </c>
      <c r="H25">
        <v>0.27642279168540534</v>
      </c>
      <c r="I25">
        <v>0.25503166627591867</v>
      </c>
      <c r="J25">
        <v>0.32945430613136767</v>
      </c>
      <c r="K25">
        <v>0.32432371416524808</v>
      </c>
      <c r="L25">
        <v>0.3248320346198838</v>
      </c>
      <c r="M25">
        <v>0.25246467991990307</v>
      </c>
      <c r="N25">
        <v>0.25825750174354811</v>
      </c>
      <c r="O25">
        <v>0.25590531271063433</v>
      </c>
      <c r="Q25" t="s">
        <v>394</v>
      </c>
      <c r="R25" t="s">
        <v>100</v>
      </c>
      <c r="S25">
        <v>1.1001559396923715E-2</v>
      </c>
      <c r="T25">
        <v>1.0447802814234259E-2</v>
      </c>
      <c r="U25">
        <v>8.9255756565886357E-3</v>
      </c>
      <c r="V25">
        <v>1.6251805750351761E-2</v>
      </c>
      <c r="W25">
        <v>1.1888215968084976E-2</v>
      </c>
      <c r="X25">
        <v>1.3794330533679627E-2</v>
      </c>
      <c r="Y25">
        <v>2.3715425827646564E-2</v>
      </c>
      <c r="Z25">
        <v>1.8148560853711162E-2</v>
      </c>
      <c r="AA25">
        <v>2.7941134072247392E-2</v>
      </c>
      <c r="AB25">
        <v>1.5786227225626785E-2</v>
      </c>
      <c r="AC25">
        <v>1.6021176577942078E-2</v>
      </c>
      <c r="AD25">
        <v>1.3307202477549206E-2</v>
      </c>
      <c r="AF25" t="s">
        <v>394</v>
      </c>
      <c r="AG25" t="s">
        <v>101</v>
      </c>
      <c r="AH25">
        <v>1.2532614336928677E-2</v>
      </c>
      <c r="AI25">
        <v>1.3320260800528503E-2</v>
      </c>
      <c r="AJ25">
        <v>1.3450423394679469E-2</v>
      </c>
      <c r="AK25">
        <v>2.3777651716029902E-2</v>
      </c>
      <c r="AL25">
        <v>1.2776842779236252E-2</v>
      </c>
      <c r="AM25">
        <v>5.5893491537942945E-3</v>
      </c>
      <c r="AN25">
        <v>2.9163739145442166E-2</v>
      </c>
      <c r="AO25">
        <v>3.0509762225271023E-2</v>
      </c>
      <c r="AP25">
        <v>2.708508803855144E-2</v>
      </c>
      <c r="AQ25">
        <v>1.5329947439871214E-2</v>
      </c>
      <c r="AR25">
        <v>2.0007409517923541E-2</v>
      </c>
      <c r="AS25">
        <v>1.3686455659710967E-2</v>
      </c>
      <c r="AU25" t="s">
        <v>394</v>
      </c>
      <c r="AV25" t="s">
        <v>102</v>
      </c>
      <c r="AW25">
        <v>9.3367595772633732E-2</v>
      </c>
      <c r="AX25">
        <v>9.1847373714213254E-2</v>
      </c>
      <c r="AY25">
        <v>9.1759124036195905E-2</v>
      </c>
      <c r="AZ25">
        <v>0.11098948443918544</v>
      </c>
      <c r="BA25">
        <v>0.12087852775650519</v>
      </c>
      <c r="BB25">
        <v>0.11171247007395511</v>
      </c>
      <c r="BC25">
        <v>0.14457823126602595</v>
      </c>
      <c r="BD25">
        <v>0.1502288749876983</v>
      </c>
      <c r="BE25">
        <v>0.14612580394682759</v>
      </c>
      <c r="BF25">
        <v>9.3107382829427376E-2</v>
      </c>
      <c r="BG25">
        <v>8.8090283795795643E-2</v>
      </c>
      <c r="BH25">
        <v>9.6237557854713662E-2</v>
      </c>
      <c r="BR25" t="s">
        <v>394</v>
      </c>
      <c r="BS25">
        <v>0.65223398039363223</v>
      </c>
      <c r="BT25">
        <v>0.65450125939303694</v>
      </c>
      <c r="BU25">
        <v>0.6540735849334548</v>
      </c>
      <c r="BV25">
        <v>0.57500122948461108</v>
      </c>
      <c r="BW25">
        <v>0.58717565567981778</v>
      </c>
      <c r="BX25">
        <v>0.61513864798378537</v>
      </c>
      <c r="BY25">
        <v>0.43606551272418786</v>
      </c>
      <c r="BZ25">
        <v>0.42484888365079709</v>
      </c>
      <c r="CA25">
        <v>0.40222341826639435</v>
      </c>
      <c r="CB25">
        <v>0.62789943930980807</v>
      </c>
      <c r="CC25">
        <v>0.62884980557975101</v>
      </c>
      <c r="CD25">
        <v>0.63340372149917834</v>
      </c>
      <c r="CF25" t="s">
        <v>395</v>
      </c>
      <c r="CG25" t="s">
        <v>108</v>
      </c>
      <c r="CH25" t="s">
        <v>109</v>
      </c>
      <c r="CI25">
        <v>0.57620092560336478</v>
      </c>
    </row>
    <row r="26" spans="2:87" x14ac:dyDescent="0.45">
      <c r="B26" t="s">
        <v>387</v>
      </c>
      <c r="C26" t="s">
        <v>99</v>
      </c>
      <c r="D26">
        <v>0.28969008654960732</v>
      </c>
      <c r="E26">
        <v>0.34299562206919637</v>
      </c>
      <c r="F26">
        <v>0.2938999961752074</v>
      </c>
      <c r="G26">
        <v>0.31508020455451741</v>
      </c>
      <c r="H26">
        <v>0.35942190503227922</v>
      </c>
      <c r="I26">
        <v>0.31125083506432849</v>
      </c>
      <c r="J26">
        <v>0.31207276721829719</v>
      </c>
      <c r="K26">
        <v>0.40702899812242477</v>
      </c>
      <c r="L26">
        <v>0.34000138721308015</v>
      </c>
      <c r="M26">
        <v>0.3344596963664781</v>
      </c>
      <c r="N26">
        <v>0.37574312084019074</v>
      </c>
      <c r="O26">
        <v>0.3249517973268975</v>
      </c>
      <c r="Q26" t="s">
        <v>387</v>
      </c>
      <c r="R26" t="s">
        <v>100</v>
      </c>
      <c r="S26">
        <v>1.8206414940009335E-2</v>
      </c>
      <c r="T26">
        <v>1.6206612493523006E-2</v>
      </c>
      <c r="U26">
        <v>1.1783694093831598E-2</v>
      </c>
      <c r="V26">
        <v>2.5544206999121685E-2</v>
      </c>
      <c r="W26">
        <v>2.0125994897000895E-2</v>
      </c>
      <c r="X26">
        <v>3.4359216474700638E-2</v>
      </c>
      <c r="Y26">
        <v>5.5805119920190716E-2</v>
      </c>
      <c r="Z26">
        <v>4.2157494392543016E-2</v>
      </c>
      <c r="AA26">
        <v>6.5409281052910218E-2</v>
      </c>
      <c r="AB26">
        <v>2.6291018553212583E-2</v>
      </c>
      <c r="AC26">
        <v>1.9200477041776593E-2</v>
      </c>
      <c r="AD26">
        <v>4.895664041666848E-2</v>
      </c>
      <c r="AF26" t="s">
        <v>387</v>
      </c>
      <c r="AG26" t="s">
        <v>101</v>
      </c>
      <c r="AH26">
        <v>2.1543109759311872E-2</v>
      </c>
      <c r="AI26">
        <v>2.699611109696513E-2</v>
      </c>
      <c r="AJ26">
        <v>2.066797501671273E-2</v>
      </c>
      <c r="AK26">
        <v>3.8231963677638064E-2</v>
      </c>
      <c r="AL26">
        <v>2.8341651665815131E-2</v>
      </c>
      <c r="AM26">
        <v>1.9616099580046412E-2</v>
      </c>
      <c r="AN26">
        <v>4.12283149147286E-2</v>
      </c>
      <c r="AO26">
        <v>5.306449005535431E-2</v>
      </c>
      <c r="AP26">
        <v>2.2938844494859979E-2</v>
      </c>
      <c r="AQ26">
        <v>5.5730269599749159E-2</v>
      </c>
      <c r="AR26">
        <v>2.8136365608788239E-2</v>
      </c>
      <c r="AS26">
        <v>2.6357351938734015E-2</v>
      </c>
      <c r="AU26" t="s">
        <v>387</v>
      </c>
      <c r="AV26" t="s">
        <v>102</v>
      </c>
      <c r="AW26">
        <v>0.14786520615322163</v>
      </c>
      <c r="AX26">
        <v>0.16865180319051917</v>
      </c>
      <c r="AY26">
        <v>0.15838957181077834</v>
      </c>
      <c r="AZ26">
        <v>0.1381179060002449</v>
      </c>
      <c r="BA26">
        <v>0.19386524643833056</v>
      </c>
      <c r="BB26">
        <v>0.14826884825836753</v>
      </c>
      <c r="BC26">
        <v>0.10860071030449457</v>
      </c>
      <c r="BD26">
        <v>0.18395659763705713</v>
      </c>
      <c r="BE26">
        <v>0.14196690675940191</v>
      </c>
      <c r="BF26">
        <v>0.13290108160240724</v>
      </c>
      <c r="BG26">
        <v>0.19011518993275478</v>
      </c>
      <c r="BH26">
        <v>0.13257383581841134</v>
      </c>
      <c r="BR26" t="s">
        <v>387</v>
      </c>
      <c r="BS26">
        <v>0.43100670624428417</v>
      </c>
      <c r="BT26">
        <v>0.393201083586321</v>
      </c>
      <c r="BU26">
        <v>0.42536838341799521</v>
      </c>
      <c r="BV26">
        <v>0.30514008379970697</v>
      </c>
      <c r="BW26">
        <v>0.28560275929392859</v>
      </c>
      <c r="BX26">
        <v>0.31204444825485528</v>
      </c>
      <c r="BY26">
        <v>0.21451161543975525</v>
      </c>
      <c r="BZ26">
        <v>0.17405000251505712</v>
      </c>
      <c r="CA26">
        <v>0.2165650872264693</v>
      </c>
      <c r="CB26">
        <v>0.3457179778967191</v>
      </c>
      <c r="CC26">
        <v>0.31367938384591076</v>
      </c>
      <c r="CD26">
        <v>0.36089371746919274</v>
      </c>
      <c r="CF26" t="s">
        <v>396</v>
      </c>
      <c r="CG26" t="s">
        <v>108</v>
      </c>
      <c r="CH26" t="s">
        <v>109</v>
      </c>
      <c r="CI26">
        <v>0.66318804576500345</v>
      </c>
    </row>
    <row r="27" spans="2:87" x14ac:dyDescent="0.45">
      <c r="B27" t="s">
        <v>389</v>
      </c>
      <c r="C27" t="s">
        <v>99</v>
      </c>
      <c r="D27">
        <v>0.31891829243000874</v>
      </c>
      <c r="E27">
        <v>0.35581003660878774</v>
      </c>
      <c r="F27">
        <v>0.31654220410101108</v>
      </c>
      <c r="G27">
        <v>0.325783124457522</v>
      </c>
      <c r="H27">
        <v>0.39825190633611929</v>
      </c>
      <c r="I27">
        <v>0.33274163372115639</v>
      </c>
      <c r="J27">
        <v>0.32890058559649932</v>
      </c>
      <c r="K27">
        <v>0.42332229160940738</v>
      </c>
      <c r="L27">
        <v>0.37557986259587273</v>
      </c>
      <c r="M27">
        <v>0.34763384479818576</v>
      </c>
      <c r="N27">
        <v>0.38595031152213455</v>
      </c>
      <c r="O27">
        <v>0.34126263066687867</v>
      </c>
      <c r="Q27" t="s">
        <v>389</v>
      </c>
      <c r="R27" t="s">
        <v>100</v>
      </c>
      <c r="S27">
        <v>2.5543707296414333E-2</v>
      </c>
      <c r="T27">
        <v>2.2329482003291622E-2</v>
      </c>
      <c r="U27">
        <v>2.6329172996435099E-2</v>
      </c>
      <c r="V27">
        <v>3.3310183670169684E-2</v>
      </c>
      <c r="W27">
        <v>3.8747165562462049E-2</v>
      </c>
      <c r="X27">
        <v>3.4587655086986739E-2</v>
      </c>
      <c r="Y27">
        <v>6.6584043086344621E-2</v>
      </c>
      <c r="Z27">
        <v>4.570129543878633E-2</v>
      </c>
      <c r="AA27">
        <v>7.1535337032643129E-2</v>
      </c>
      <c r="AB27">
        <v>2.4150140009868714E-2</v>
      </c>
      <c r="AC27">
        <v>2.2230314157580075E-2</v>
      </c>
      <c r="AD27">
        <v>6.8541833929054094E-2</v>
      </c>
      <c r="AF27" t="s">
        <v>389</v>
      </c>
      <c r="AG27" t="s">
        <v>101</v>
      </c>
      <c r="AH27">
        <v>3.6995801737473903E-2</v>
      </c>
      <c r="AI27">
        <v>2.4164030587290223E-2</v>
      </c>
      <c r="AJ27">
        <v>2.8573522765542862E-2</v>
      </c>
      <c r="AK27">
        <v>4.2709120138445196E-2</v>
      </c>
      <c r="AL27">
        <v>5.3312104938052225E-2</v>
      </c>
      <c r="AM27">
        <v>2.1191383024437429E-2</v>
      </c>
      <c r="AN27">
        <v>3.3932124212644764E-2</v>
      </c>
      <c r="AO27">
        <v>4.9544616229458077E-2</v>
      </c>
      <c r="AP27">
        <v>2.6544170743103616E-2</v>
      </c>
      <c r="AQ27">
        <v>5.6676733853108785E-2</v>
      </c>
      <c r="AR27">
        <v>2.8036192809543403E-2</v>
      </c>
      <c r="AS27">
        <v>3.8116148958005219E-2</v>
      </c>
      <c r="AU27" t="s">
        <v>389</v>
      </c>
      <c r="AV27" t="s">
        <v>102</v>
      </c>
      <c r="AW27">
        <v>0.14174840732668686</v>
      </c>
      <c r="AX27">
        <v>0.18040519292112644</v>
      </c>
      <c r="AY27">
        <v>0.15783089225614616</v>
      </c>
      <c r="AZ27">
        <v>0.135883151635143</v>
      </c>
      <c r="BA27">
        <v>0.17553302647464639</v>
      </c>
      <c r="BB27">
        <v>0.16101242868608165</v>
      </c>
      <c r="BC27">
        <v>0.11610476474584901</v>
      </c>
      <c r="BD27">
        <v>0.20594891059366094</v>
      </c>
      <c r="BE27">
        <v>0.16366603097280405</v>
      </c>
      <c r="BF27">
        <v>0.13234629892275457</v>
      </c>
      <c r="BG27">
        <v>0.19590682370792484</v>
      </c>
      <c r="BH27">
        <v>0.11327895635113115</v>
      </c>
      <c r="BR27" t="s">
        <v>389</v>
      </c>
      <c r="BS27">
        <v>0.41396347735406808</v>
      </c>
      <c r="BT27">
        <v>0.37194514305336723</v>
      </c>
      <c r="BU27">
        <v>0.39776590014856289</v>
      </c>
      <c r="BV27">
        <v>0.28255936100249301</v>
      </c>
      <c r="BW27">
        <v>0.25453158338024889</v>
      </c>
      <c r="BX27">
        <v>0.28124366993527089</v>
      </c>
      <c r="BY27">
        <v>0.20146642871323997</v>
      </c>
      <c r="BZ27">
        <v>0.15443614697925204</v>
      </c>
      <c r="CA27">
        <v>0.18664056663116624</v>
      </c>
      <c r="CB27">
        <v>0.33392012612047656</v>
      </c>
      <c r="CC27">
        <v>0.29541867493427854</v>
      </c>
      <c r="CD27">
        <v>0.35053253563684827</v>
      </c>
      <c r="CF27" t="s">
        <v>397</v>
      </c>
      <c r="CG27" t="s">
        <v>108</v>
      </c>
      <c r="CH27" t="s">
        <v>109</v>
      </c>
      <c r="CI27">
        <v>0.59765532260795307</v>
      </c>
    </row>
    <row r="28" spans="2:87" x14ac:dyDescent="0.45">
      <c r="B28" t="s">
        <v>391</v>
      </c>
      <c r="C28" t="s">
        <v>99</v>
      </c>
      <c r="D28">
        <v>0.29745403524960862</v>
      </c>
      <c r="E28">
        <v>0.34259658787144703</v>
      </c>
      <c r="F28">
        <v>0.29204413521838746</v>
      </c>
      <c r="G28">
        <v>0.31890607694378137</v>
      </c>
      <c r="H28">
        <v>0.37113083702252847</v>
      </c>
      <c r="I28">
        <v>0.3269331411446289</v>
      </c>
      <c r="J28">
        <v>0.31673933218760952</v>
      </c>
      <c r="K28">
        <v>0.40409103828569215</v>
      </c>
      <c r="L28">
        <v>0.3537500530779622</v>
      </c>
      <c r="M28">
        <v>0.34137941670659699</v>
      </c>
      <c r="N28">
        <v>0.37327192146977328</v>
      </c>
      <c r="O28">
        <v>0.33231525830864883</v>
      </c>
      <c r="Q28" t="s">
        <v>391</v>
      </c>
      <c r="R28" t="s">
        <v>100</v>
      </c>
      <c r="S28">
        <v>2.0382661635624869E-2</v>
      </c>
      <c r="T28">
        <v>2.1038033375915696E-2</v>
      </c>
      <c r="U28">
        <v>1.1590859448524398E-2</v>
      </c>
      <c r="V28">
        <v>3.1470129659270353E-2</v>
      </c>
      <c r="W28">
        <v>3.2729979940487382E-2</v>
      </c>
      <c r="X28">
        <v>3.1598335178851182E-2</v>
      </c>
      <c r="Y28">
        <v>6.2632565170528329E-2</v>
      </c>
      <c r="Z28">
        <v>4.8742830494860639E-2</v>
      </c>
      <c r="AA28">
        <v>7.992002423159647E-2</v>
      </c>
      <c r="AB28">
        <v>2.5103296256269513E-2</v>
      </c>
      <c r="AC28">
        <v>2.8953796994394123E-2</v>
      </c>
      <c r="AD28">
        <v>5.2796672684423E-2</v>
      </c>
      <c r="AF28" t="s">
        <v>391</v>
      </c>
      <c r="AG28" t="s">
        <v>101</v>
      </c>
      <c r="AH28">
        <v>2.0102134213156056E-2</v>
      </c>
      <c r="AI28">
        <v>2.6663959396959258E-2</v>
      </c>
      <c r="AJ28">
        <v>1.766072304251089E-2</v>
      </c>
      <c r="AK28">
        <v>4.2883065408586565E-2</v>
      </c>
      <c r="AL28">
        <v>3.6542622270716092E-2</v>
      </c>
      <c r="AM28">
        <v>2.157145959852692E-2</v>
      </c>
      <c r="AN28">
        <v>4.4222944294282203E-2</v>
      </c>
      <c r="AO28">
        <v>5.6541687955061405E-2</v>
      </c>
      <c r="AP28">
        <v>1.7259044147355358E-2</v>
      </c>
      <c r="AQ28">
        <v>5.5358320345142452E-2</v>
      </c>
      <c r="AR28">
        <v>2.2177920209027605E-2</v>
      </c>
      <c r="AS28">
        <v>4.2947742305424613E-2</v>
      </c>
      <c r="AU28" t="s">
        <v>391</v>
      </c>
      <c r="AV28" t="s">
        <v>102</v>
      </c>
      <c r="AW28">
        <v>0.14511721429007263</v>
      </c>
      <c r="AX28">
        <v>0.16376114011977846</v>
      </c>
      <c r="AY28">
        <v>0.15815999844812459</v>
      </c>
      <c r="AZ28">
        <v>0.13117650058563543</v>
      </c>
      <c r="BA28">
        <v>0.17608124727733004</v>
      </c>
      <c r="BB28">
        <v>0.15406131492018121</v>
      </c>
      <c r="BC28">
        <v>9.9256622183999374E-2</v>
      </c>
      <c r="BD28">
        <v>0.17577100530232237</v>
      </c>
      <c r="BE28">
        <v>0.14605328969114137</v>
      </c>
      <c r="BF28">
        <v>0.13627895225886275</v>
      </c>
      <c r="BG28">
        <v>0.18144667688216842</v>
      </c>
      <c r="BH28">
        <v>0.11711047747398856</v>
      </c>
      <c r="BR28" t="s">
        <v>391</v>
      </c>
      <c r="BS28">
        <v>0.44066143807216801</v>
      </c>
      <c r="BT28">
        <v>0.4025121495046306</v>
      </c>
      <c r="BU28">
        <v>0.43111663096436836</v>
      </c>
      <c r="BV28">
        <v>0.3161963080468585</v>
      </c>
      <c r="BW28">
        <v>0.30587092653785547</v>
      </c>
      <c r="BX28">
        <v>0.32248868445009687</v>
      </c>
      <c r="BY28">
        <v>0.22726474872768263</v>
      </c>
      <c r="BZ28">
        <v>0.17490504485162181</v>
      </c>
      <c r="CA28">
        <v>0.22701699623486979</v>
      </c>
      <c r="CB28">
        <v>0.34923015180973549</v>
      </c>
      <c r="CC28">
        <v>0.3201364350060184</v>
      </c>
      <c r="CD28">
        <v>0.37631497241143402</v>
      </c>
      <c r="CF28" t="s">
        <v>398</v>
      </c>
      <c r="CG28" t="s">
        <v>108</v>
      </c>
      <c r="CH28" t="s">
        <v>109</v>
      </c>
      <c r="CI28">
        <v>0.46242450414746955</v>
      </c>
    </row>
    <row r="29" spans="2:87" x14ac:dyDescent="0.45">
      <c r="B29" t="s">
        <v>393</v>
      </c>
      <c r="C29" t="s">
        <v>99</v>
      </c>
      <c r="D29">
        <v>0.30409845691029286</v>
      </c>
      <c r="E29">
        <v>0.34080764022552018</v>
      </c>
      <c r="F29">
        <v>0.29433110548290981</v>
      </c>
      <c r="G29">
        <v>0.31792490387470806</v>
      </c>
      <c r="H29">
        <v>0.36338562849666628</v>
      </c>
      <c r="I29">
        <v>0.34130533990633832</v>
      </c>
      <c r="J29">
        <v>0.3089091260209777</v>
      </c>
      <c r="K29">
        <v>0.39249822376482163</v>
      </c>
      <c r="L29">
        <v>0.35228110601070328</v>
      </c>
      <c r="M29">
        <v>0.34546050036479226</v>
      </c>
      <c r="N29">
        <v>0.37113506059971613</v>
      </c>
      <c r="O29">
        <v>0.33099256609959876</v>
      </c>
      <c r="Q29" t="s">
        <v>393</v>
      </c>
      <c r="R29" t="s">
        <v>100</v>
      </c>
      <c r="S29">
        <v>2.5421382059476257E-2</v>
      </c>
      <c r="T29">
        <v>2.3915445198011323E-2</v>
      </c>
      <c r="U29">
        <v>2.0920005403021188E-2</v>
      </c>
      <c r="V29">
        <v>2.5417168859477535E-2</v>
      </c>
      <c r="W29">
        <v>2.8677888483822932E-2</v>
      </c>
      <c r="X29">
        <v>3.1789709387525213E-2</v>
      </c>
      <c r="Y29">
        <v>5.3938144009969873E-2</v>
      </c>
      <c r="Z29">
        <v>5.2944870889568313E-2</v>
      </c>
      <c r="AA29">
        <v>6.1085750410755327E-2</v>
      </c>
      <c r="AB29">
        <v>1.9772040655144364E-2</v>
      </c>
      <c r="AC29">
        <v>3.6599039043119973E-2</v>
      </c>
      <c r="AD29">
        <v>3.9182541873843839E-2</v>
      </c>
      <c r="AF29" t="s">
        <v>393</v>
      </c>
      <c r="AG29" t="s">
        <v>101</v>
      </c>
      <c r="AH29">
        <v>3.217588175670727E-2</v>
      </c>
      <c r="AI29">
        <v>2.5323041214928961E-2</v>
      </c>
      <c r="AJ29">
        <v>2.1428116386247163E-2</v>
      </c>
      <c r="AK29">
        <v>4.8883943287263032E-2</v>
      </c>
      <c r="AL29">
        <v>3.29629747696389E-2</v>
      </c>
      <c r="AM29">
        <v>3.0785134883748882E-2</v>
      </c>
      <c r="AN29">
        <v>4.4456726368125137E-2</v>
      </c>
      <c r="AO29">
        <v>4.1236312840757169E-2</v>
      </c>
      <c r="AP29">
        <v>2.2948096501380327E-2</v>
      </c>
      <c r="AQ29">
        <v>3.9062596828894985E-2</v>
      </c>
      <c r="AR29">
        <v>1.8544260277448332E-2</v>
      </c>
      <c r="AS29">
        <v>5.3119765667257041E-2</v>
      </c>
      <c r="AU29" t="s">
        <v>393</v>
      </c>
      <c r="AV29" t="s">
        <v>102</v>
      </c>
      <c r="AW29">
        <v>0.13321841289522968</v>
      </c>
      <c r="AX29">
        <v>0.16609770968059095</v>
      </c>
      <c r="AY29">
        <v>0.14760493463176674</v>
      </c>
      <c r="AZ29">
        <v>0.1279827761100949</v>
      </c>
      <c r="BA29">
        <v>0.17142757317158294</v>
      </c>
      <c r="BB29">
        <v>0.1564120441611096</v>
      </c>
      <c r="BC29">
        <v>0.10463746076324543</v>
      </c>
      <c r="BD29">
        <v>0.17731921348610602</v>
      </c>
      <c r="BE29">
        <v>0.15977349620185161</v>
      </c>
      <c r="BF29">
        <v>0.16122808776055769</v>
      </c>
      <c r="BG29">
        <v>0.18059108085288095</v>
      </c>
      <c r="BH29">
        <v>0.11178307574353312</v>
      </c>
      <c r="BR29" t="s">
        <v>393</v>
      </c>
      <c r="BS29">
        <v>0.43963312890296541</v>
      </c>
      <c r="BT29">
        <v>0.40563355279362034</v>
      </c>
      <c r="BU29">
        <v>0.43168860325995073</v>
      </c>
      <c r="BV29">
        <v>0.33851331660369632</v>
      </c>
      <c r="BW29">
        <v>0.32013434695330467</v>
      </c>
      <c r="BX29">
        <v>0.32607126292271499</v>
      </c>
      <c r="BY29">
        <v>0.23987689241007698</v>
      </c>
      <c r="BZ29">
        <v>0.18518126870723159</v>
      </c>
      <c r="CA29">
        <v>0.23948199430647629</v>
      </c>
      <c r="CB29">
        <v>0.35368785761446425</v>
      </c>
      <c r="CC29">
        <v>0.33260813022242186</v>
      </c>
      <c r="CD29">
        <v>0.38679415574800496</v>
      </c>
      <c r="CF29" t="s">
        <v>399</v>
      </c>
      <c r="CG29" t="s">
        <v>108</v>
      </c>
      <c r="CH29" t="s">
        <v>109</v>
      </c>
      <c r="CI29">
        <v>0.50207199776428624</v>
      </c>
    </row>
    <row r="30" spans="2:87" x14ac:dyDescent="0.45">
      <c r="B30" t="s">
        <v>395</v>
      </c>
      <c r="C30" t="s">
        <v>99</v>
      </c>
      <c r="D30">
        <v>0.25397777004395949</v>
      </c>
      <c r="E30">
        <v>0.27703045733522963</v>
      </c>
      <c r="F30">
        <v>0.25316513878798586</v>
      </c>
      <c r="G30">
        <v>0.28855701701143166</v>
      </c>
      <c r="H30">
        <v>0.30188475028529277</v>
      </c>
      <c r="I30">
        <v>0.2782146525379558</v>
      </c>
      <c r="J30">
        <v>0.29989043523905146</v>
      </c>
      <c r="K30">
        <v>0.33264608498563486</v>
      </c>
      <c r="L30">
        <v>0.31833641201891011</v>
      </c>
      <c r="M30">
        <v>0.26132517053500443</v>
      </c>
      <c r="N30">
        <v>0.28500119672204166</v>
      </c>
      <c r="O30">
        <v>0.26696113884058753</v>
      </c>
      <c r="Q30" t="s">
        <v>395</v>
      </c>
      <c r="R30" t="s">
        <v>100</v>
      </c>
      <c r="S30">
        <v>1.3265181511204456E-2</v>
      </c>
      <c r="T30">
        <v>8.3916972681788108E-3</v>
      </c>
      <c r="U30">
        <v>1.0543128682540452E-2</v>
      </c>
      <c r="V30">
        <v>1.8223799335509144E-2</v>
      </c>
      <c r="W30">
        <v>1.5964470019738847E-2</v>
      </c>
      <c r="X30">
        <v>1.3055957424831259E-2</v>
      </c>
      <c r="Y30">
        <v>2.3610223113940829E-2</v>
      </c>
      <c r="Z30">
        <v>2.5976730634362157E-2</v>
      </c>
      <c r="AA30">
        <v>2.3940234755047633E-2</v>
      </c>
      <c r="AB30">
        <v>1.7445424732207226E-2</v>
      </c>
      <c r="AC30">
        <v>2.5483327659797984E-2</v>
      </c>
      <c r="AD30">
        <v>1.4976935737436903E-2</v>
      </c>
      <c r="AF30" t="s">
        <v>395</v>
      </c>
      <c r="AG30" t="s">
        <v>101</v>
      </c>
      <c r="AH30">
        <v>1.5180528485359527E-2</v>
      </c>
      <c r="AI30">
        <v>1.3683073145561163E-2</v>
      </c>
      <c r="AJ30">
        <v>7.7848137028509873E-3</v>
      </c>
      <c r="AK30">
        <v>2.180278963571539E-2</v>
      </c>
      <c r="AL30">
        <v>1.9232972490062998E-2</v>
      </c>
      <c r="AM30">
        <v>1.7988716515819184E-2</v>
      </c>
      <c r="AN30">
        <v>1.8773374552803701E-2</v>
      </c>
      <c r="AO30">
        <v>2.9766563252243142E-2</v>
      </c>
      <c r="AP30">
        <v>3.2327783382729638E-2</v>
      </c>
      <c r="AQ30">
        <v>1.6761242509056515E-2</v>
      </c>
      <c r="AR30">
        <v>2.2254611502966273E-2</v>
      </c>
      <c r="AS30">
        <v>2.7080489402422421E-2</v>
      </c>
      <c r="AU30" t="s">
        <v>395</v>
      </c>
      <c r="AV30" t="s">
        <v>102</v>
      </c>
      <c r="AW30">
        <v>0.1041784029293493</v>
      </c>
      <c r="AX30">
        <v>0.12157928646391442</v>
      </c>
      <c r="AY30">
        <v>0.11350048701010633</v>
      </c>
      <c r="AZ30">
        <v>0.12093534549396973</v>
      </c>
      <c r="BA30">
        <v>0.14106086605327409</v>
      </c>
      <c r="BB30">
        <v>0.12220377772200805</v>
      </c>
      <c r="BC30">
        <v>0.14166867203229233</v>
      </c>
      <c r="BD30">
        <v>0.15157079271610638</v>
      </c>
      <c r="BE30">
        <v>0.12844715496008338</v>
      </c>
      <c r="BF30">
        <v>0.11377801963784329</v>
      </c>
      <c r="BG30">
        <v>0.10938928728740198</v>
      </c>
      <c r="BH30">
        <v>0.10686360458670859</v>
      </c>
      <c r="BR30" t="s">
        <v>395</v>
      </c>
      <c r="BS30">
        <v>0.58352772149580645</v>
      </c>
      <c r="BT30">
        <v>0.57166009489516301</v>
      </c>
      <c r="BU30">
        <v>0.58851987939742134</v>
      </c>
      <c r="BV30">
        <v>0.48984292630633103</v>
      </c>
      <c r="BW30">
        <v>0.46184573050698768</v>
      </c>
      <c r="BX30">
        <v>0.5088710874557002</v>
      </c>
      <c r="BY30">
        <v>0.35984456329079001</v>
      </c>
      <c r="BZ30">
        <v>0.35215034097336695</v>
      </c>
      <c r="CA30">
        <v>0.36590663653233396</v>
      </c>
      <c r="CB30">
        <v>0.52623643607203718</v>
      </c>
      <c r="CC30">
        <v>0.51570120926581975</v>
      </c>
      <c r="CD30">
        <v>0.53443562302369352</v>
      </c>
      <c r="CF30" t="s">
        <v>400</v>
      </c>
      <c r="CG30" t="s">
        <v>108</v>
      </c>
      <c r="CH30" t="s">
        <v>109</v>
      </c>
      <c r="CI30">
        <v>0.52500252748830933</v>
      </c>
    </row>
    <row r="31" spans="2:87" x14ac:dyDescent="0.45">
      <c r="B31" t="s">
        <v>396</v>
      </c>
      <c r="C31" t="s">
        <v>99</v>
      </c>
      <c r="D31">
        <v>0.23012866678404434</v>
      </c>
      <c r="E31">
        <v>0.24732119908759928</v>
      </c>
      <c r="F31">
        <v>0.21415430762644624</v>
      </c>
      <c r="G31">
        <v>0.26559582221394551</v>
      </c>
      <c r="H31">
        <v>0.26333318353161245</v>
      </c>
      <c r="I31">
        <v>0.24195380670169553</v>
      </c>
      <c r="J31">
        <v>0.28710522312081815</v>
      </c>
      <c r="K31">
        <v>0.31072973195044717</v>
      </c>
      <c r="L31">
        <v>0.30369722303340518</v>
      </c>
      <c r="M31">
        <v>0.25411621500944392</v>
      </c>
      <c r="N31">
        <v>0.25298270045399074</v>
      </c>
      <c r="O31">
        <v>0.24568430174569275</v>
      </c>
      <c r="Q31" t="s">
        <v>396</v>
      </c>
      <c r="R31" t="s">
        <v>100</v>
      </c>
      <c r="S31">
        <v>9.4839834456130461E-3</v>
      </c>
      <c r="T31">
        <v>9.0023681700801047E-3</v>
      </c>
      <c r="U31">
        <v>7.1519507085921396E-3</v>
      </c>
      <c r="V31">
        <v>1.3516797424015714E-2</v>
      </c>
      <c r="W31">
        <v>1.3137059783716692E-2</v>
      </c>
      <c r="X31">
        <v>1.574515035289285E-2</v>
      </c>
      <c r="Y31">
        <v>2.7909956010214444E-2</v>
      </c>
      <c r="Z31">
        <v>2.8810544565210171E-2</v>
      </c>
      <c r="AA31">
        <v>1.9471512629665098E-2</v>
      </c>
      <c r="AB31">
        <v>1.4470463975293682E-2</v>
      </c>
      <c r="AC31">
        <v>1.949576951841989E-2</v>
      </c>
      <c r="AD31">
        <v>1.2509641764968276E-2</v>
      </c>
      <c r="AF31" t="s">
        <v>396</v>
      </c>
      <c r="AG31" t="s">
        <v>101</v>
      </c>
      <c r="AH31">
        <v>1.1761277926758023E-2</v>
      </c>
      <c r="AI31">
        <v>6.7566132936696163E-3</v>
      </c>
      <c r="AJ31">
        <v>1.4446066165738895E-2</v>
      </c>
      <c r="AK31">
        <v>1.9961042577892017E-2</v>
      </c>
      <c r="AL31">
        <v>1.6235327295195921E-2</v>
      </c>
      <c r="AM31">
        <v>1.9085368937964624E-2</v>
      </c>
      <c r="AN31">
        <v>1.9609551322782092E-2</v>
      </c>
      <c r="AO31">
        <v>3.4546463532869387E-2</v>
      </c>
      <c r="AP31">
        <v>4.3398488060285595E-2</v>
      </c>
      <c r="AQ31">
        <v>1.5774724705587016E-2</v>
      </c>
      <c r="AR31">
        <v>1.9047250922900799E-2</v>
      </c>
      <c r="AS31">
        <v>1.9227610478111033E-2</v>
      </c>
      <c r="AU31" t="s">
        <v>396</v>
      </c>
      <c r="AV31" t="s">
        <v>102</v>
      </c>
      <c r="AW31">
        <v>8.8747731639906471E-2</v>
      </c>
      <c r="AX31">
        <v>0.1028011634170737</v>
      </c>
      <c r="AY31">
        <v>8.2296135854276545E-2</v>
      </c>
      <c r="AZ31">
        <v>0.10526840658894543</v>
      </c>
      <c r="BA31">
        <v>0.11135146891529092</v>
      </c>
      <c r="BB31">
        <v>8.4969158899180955E-2</v>
      </c>
      <c r="BC31">
        <v>0.1200046268428685</v>
      </c>
      <c r="BD31">
        <v>0.12442217990868967</v>
      </c>
      <c r="BE31">
        <v>0.11405883896175535</v>
      </c>
      <c r="BF31">
        <v>0.10289432302237196</v>
      </c>
      <c r="BG31">
        <v>9.1900280371995671E-2</v>
      </c>
      <c r="BH31">
        <v>8.8804832611835124E-2</v>
      </c>
      <c r="BR31" t="s">
        <v>396</v>
      </c>
      <c r="BS31">
        <v>0.66117465195347835</v>
      </c>
      <c r="BT31">
        <v>0.64455511549354072</v>
      </c>
      <c r="BU31">
        <v>0.66980485146765367</v>
      </c>
      <c r="BV31">
        <v>0.58432848443467411</v>
      </c>
      <c r="BW31">
        <v>0.56800936169884131</v>
      </c>
      <c r="BX31">
        <v>0.62706366458868446</v>
      </c>
      <c r="BY31">
        <v>0.44882051327481226</v>
      </c>
      <c r="BZ31">
        <v>0.42680059785205027</v>
      </c>
      <c r="CA31">
        <v>0.44349218319455586</v>
      </c>
      <c r="CB31">
        <v>0.60460321174703202</v>
      </c>
      <c r="CC31">
        <v>0.60764573323964244</v>
      </c>
      <c r="CD31">
        <v>0.62971182689295713</v>
      </c>
      <c r="CF31" t="s">
        <v>386</v>
      </c>
      <c r="CG31" t="s">
        <v>108</v>
      </c>
      <c r="CH31" t="s">
        <v>109</v>
      </c>
      <c r="CI31">
        <v>0.64436823222010087</v>
      </c>
    </row>
    <row r="32" spans="2:87" x14ac:dyDescent="0.45">
      <c r="B32" t="s">
        <v>397</v>
      </c>
      <c r="C32" t="s">
        <v>99</v>
      </c>
      <c r="D32">
        <v>0.24687044227043126</v>
      </c>
      <c r="E32">
        <v>0.27747676305519992</v>
      </c>
      <c r="F32">
        <v>0.23431388347294343</v>
      </c>
      <c r="G32">
        <v>0.281986273736546</v>
      </c>
      <c r="H32">
        <v>0.28563170138064159</v>
      </c>
      <c r="I32">
        <v>0.25307861023948791</v>
      </c>
      <c r="J32">
        <v>0.30267808724920586</v>
      </c>
      <c r="K32">
        <v>0.34119714562528425</v>
      </c>
      <c r="L32">
        <v>0.32851799022221118</v>
      </c>
      <c r="M32">
        <v>0.29604515818340066</v>
      </c>
      <c r="N32">
        <v>0.29533929314575702</v>
      </c>
      <c r="O32">
        <v>0.27830537750754225</v>
      </c>
      <c r="Q32" t="s">
        <v>397</v>
      </c>
      <c r="R32" t="s">
        <v>100</v>
      </c>
      <c r="S32">
        <v>1.0776014127705652E-2</v>
      </c>
      <c r="T32">
        <v>1.3084478723288809E-2</v>
      </c>
      <c r="U32">
        <v>1.2210650728535525E-2</v>
      </c>
      <c r="V32">
        <v>1.7657235720030418E-2</v>
      </c>
      <c r="W32">
        <v>1.8448740934205326E-2</v>
      </c>
      <c r="X32">
        <v>2.3600113808995786E-2</v>
      </c>
      <c r="Y32">
        <v>2.813855199024767E-2</v>
      </c>
      <c r="Z32">
        <v>3.7991842210125741E-2</v>
      </c>
      <c r="AA32">
        <v>3.1668678678223566E-2</v>
      </c>
      <c r="AB32">
        <v>1.7432265993572699E-2</v>
      </c>
      <c r="AC32">
        <v>2.4942677100093263E-2</v>
      </c>
      <c r="AD32">
        <v>1.7786011151706509E-2</v>
      </c>
      <c r="AF32" t="s">
        <v>397</v>
      </c>
      <c r="AG32" t="s">
        <v>101</v>
      </c>
      <c r="AH32">
        <v>1.7043880940762222E-2</v>
      </c>
      <c r="AI32">
        <v>1.1292362232790475E-2</v>
      </c>
      <c r="AJ32">
        <v>1.2864693297445558E-2</v>
      </c>
      <c r="AK32">
        <v>2.988008694366763E-2</v>
      </c>
      <c r="AL32">
        <v>2.2031753956040821E-2</v>
      </c>
      <c r="AM32">
        <v>1.903694720725186E-2</v>
      </c>
      <c r="AN32">
        <v>2.3736487428127347E-2</v>
      </c>
      <c r="AO32">
        <v>4.4662353305979466E-2</v>
      </c>
      <c r="AP32">
        <v>3.9314948971166268E-2</v>
      </c>
      <c r="AQ32">
        <v>1.9628698452140041E-2</v>
      </c>
      <c r="AR32">
        <v>1.9075104587277233E-2</v>
      </c>
      <c r="AS32">
        <v>3.1717252239853534E-2</v>
      </c>
      <c r="AU32" t="s">
        <v>397</v>
      </c>
      <c r="AV32" t="s">
        <v>102</v>
      </c>
      <c r="AW32">
        <v>0.1033651790141091</v>
      </c>
      <c r="AX32">
        <v>0.12365061911703006</v>
      </c>
      <c r="AY32">
        <v>9.8579674674881157E-2</v>
      </c>
      <c r="AZ32">
        <v>0.11309139017732295</v>
      </c>
      <c r="BA32">
        <v>0.12945144438076572</v>
      </c>
      <c r="BB32">
        <v>9.5416307684191529E-2</v>
      </c>
      <c r="BC32">
        <v>0.13886657149037004</v>
      </c>
      <c r="BD32">
        <v>0.1366104041184156</v>
      </c>
      <c r="BE32">
        <v>0.12733696866751126</v>
      </c>
      <c r="BF32">
        <v>0.13540653544122561</v>
      </c>
      <c r="BG32">
        <v>0.11816256671951071</v>
      </c>
      <c r="BH32">
        <v>0.10055105309216623</v>
      </c>
      <c r="BR32" t="s">
        <v>397</v>
      </c>
      <c r="BS32">
        <v>0.59141376768785614</v>
      </c>
      <c r="BT32">
        <v>0.56248863756475664</v>
      </c>
      <c r="BU32">
        <v>0.60282288744563284</v>
      </c>
      <c r="BV32">
        <v>0.49283193307622747</v>
      </c>
      <c r="BW32">
        <v>0.46512276886788134</v>
      </c>
      <c r="BX32">
        <v>0.52976958069393199</v>
      </c>
      <c r="BY32">
        <v>0.35963770871171047</v>
      </c>
      <c r="BZ32">
        <v>0.33018866750200038</v>
      </c>
      <c r="CA32">
        <v>0.3627059568554345</v>
      </c>
      <c r="CB32">
        <v>0.50243975682055986</v>
      </c>
      <c r="CC32">
        <v>0.50630452974218032</v>
      </c>
      <c r="CD32">
        <v>0.53657157209022111</v>
      </c>
      <c r="CF32" t="s">
        <v>388</v>
      </c>
      <c r="CG32" t="s">
        <v>108</v>
      </c>
      <c r="CH32" t="s">
        <v>109</v>
      </c>
      <c r="CI32">
        <v>0.66108969562359288</v>
      </c>
    </row>
    <row r="33" spans="2:87" x14ac:dyDescent="0.45">
      <c r="B33" t="s">
        <v>398</v>
      </c>
      <c r="C33" t="s">
        <v>99</v>
      </c>
      <c r="D33">
        <v>0.28490882115959659</v>
      </c>
      <c r="E33">
        <v>0.32983397204392217</v>
      </c>
      <c r="F33">
        <v>0.29272329196853064</v>
      </c>
      <c r="G33">
        <v>0.31479841496142558</v>
      </c>
      <c r="H33">
        <v>0.34937928657598705</v>
      </c>
      <c r="I33">
        <v>0.29678359544174721</v>
      </c>
      <c r="J33">
        <v>0.30721052940170612</v>
      </c>
      <c r="K33">
        <v>0.38447429903199981</v>
      </c>
      <c r="L33">
        <v>0.31759318737297881</v>
      </c>
      <c r="M33">
        <v>0.31593101278942948</v>
      </c>
      <c r="N33">
        <v>0.34231061095490206</v>
      </c>
      <c r="O33">
        <v>0.30860969863756538</v>
      </c>
      <c r="Q33" t="s">
        <v>398</v>
      </c>
      <c r="R33" t="s">
        <v>100</v>
      </c>
      <c r="S33">
        <v>1.5593732671325033E-2</v>
      </c>
      <c r="T33">
        <v>1.5155934554064127E-2</v>
      </c>
      <c r="U33">
        <v>1.5068778556003031E-2</v>
      </c>
      <c r="V33">
        <v>2.6540297738024032E-2</v>
      </c>
      <c r="W33">
        <v>1.3464100873757543E-2</v>
      </c>
      <c r="X33">
        <v>2.3447402446123658E-2</v>
      </c>
      <c r="Y33">
        <v>3.5338019237211193E-2</v>
      </c>
      <c r="Z33">
        <v>5.019963771964546E-2</v>
      </c>
      <c r="AA33">
        <v>5.1349424948985194E-2</v>
      </c>
      <c r="AB33">
        <v>2.9818654256448082E-2</v>
      </c>
      <c r="AC33">
        <v>1.2821839412055756E-2</v>
      </c>
      <c r="AD33">
        <v>3.4241601669953138E-2</v>
      </c>
      <c r="AF33" t="s">
        <v>398</v>
      </c>
      <c r="AG33" t="s">
        <v>101</v>
      </c>
      <c r="AH33">
        <v>1.8415086131230635E-2</v>
      </c>
      <c r="AI33">
        <v>2.3818397140596234E-2</v>
      </c>
      <c r="AJ33">
        <v>8.624160623201373E-3</v>
      </c>
      <c r="AK33">
        <v>3.1471454439619108E-2</v>
      </c>
      <c r="AL33">
        <v>3.2925859291222048E-2</v>
      </c>
      <c r="AM33">
        <v>1.2449843369014408E-2</v>
      </c>
      <c r="AN33">
        <v>3.5006133464202921E-2</v>
      </c>
      <c r="AO33">
        <v>6.0611426990491622E-2</v>
      </c>
      <c r="AP33">
        <v>1.9391790671607258E-2</v>
      </c>
      <c r="AQ33">
        <v>4.4580224275027926E-2</v>
      </c>
      <c r="AR33">
        <v>2.7775737425091873E-2</v>
      </c>
      <c r="AS33">
        <v>2.2191955162995103E-2</v>
      </c>
      <c r="AU33" t="s">
        <v>398</v>
      </c>
      <c r="AV33" t="s">
        <v>102</v>
      </c>
      <c r="AW33">
        <v>0.13927509275558669</v>
      </c>
      <c r="AX33">
        <v>0.15639093658739642</v>
      </c>
      <c r="AY33">
        <v>0.15556404162117179</v>
      </c>
      <c r="AZ33">
        <v>0.13733879532724913</v>
      </c>
      <c r="BA33">
        <v>0.18353781012179179</v>
      </c>
      <c r="BB33">
        <v>0.15451477789095114</v>
      </c>
      <c r="BC33">
        <v>0.13455427016772503</v>
      </c>
      <c r="BD33">
        <v>0.14617689860340882</v>
      </c>
      <c r="BE33">
        <v>0.1336471047032326</v>
      </c>
      <c r="BF33">
        <v>0.12518405020862933</v>
      </c>
      <c r="BG33">
        <v>0.17572656583442503</v>
      </c>
      <c r="BH33">
        <v>0.13383604369032504</v>
      </c>
      <c r="BR33" t="s">
        <v>398</v>
      </c>
      <c r="BS33">
        <v>0.46635038577748894</v>
      </c>
      <c r="BT33">
        <v>0.44356605483539108</v>
      </c>
      <c r="BU33">
        <v>0.46924844717829067</v>
      </c>
      <c r="BV33">
        <v>0.35322032478667764</v>
      </c>
      <c r="BW33">
        <v>0.32461108888309326</v>
      </c>
      <c r="BX33">
        <v>0.35498689063026501</v>
      </c>
      <c r="BY33">
        <v>0.2402733968068658</v>
      </c>
      <c r="BZ33">
        <v>0.221279111543149</v>
      </c>
      <c r="CA33">
        <v>0.24497563040001499</v>
      </c>
      <c r="CB33">
        <v>0.38705816818571054</v>
      </c>
      <c r="CC33">
        <v>0.36616375051620742</v>
      </c>
      <c r="CD33">
        <v>0.39262091090791251</v>
      </c>
      <c r="CF33" t="s">
        <v>390</v>
      </c>
      <c r="CG33" t="s">
        <v>108</v>
      </c>
      <c r="CH33" t="s">
        <v>109</v>
      </c>
      <c r="CI33">
        <v>0.65821420493259752</v>
      </c>
    </row>
    <row r="34" spans="2:87" x14ac:dyDescent="0.45">
      <c r="B34" t="s">
        <v>399</v>
      </c>
      <c r="C34" t="s">
        <v>99</v>
      </c>
      <c r="D34">
        <v>0.2719281207527659</v>
      </c>
      <c r="E34">
        <v>0.31752156372060364</v>
      </c>
      <c r="F34">
        <v>0.26862780298099542</v>
      </c>
      <c r="G34">
        <v>0.30319772154355101</v>
      </c>
      <c r="H34">
        <v>0.32255578983594768</v>
      </c>
      <c r="I34">
        <v>0.28835721163699651</v>
      </c>
      <c r="J34">
        <v>0.31653663199160587</v>
      </c>
      <c r="K34">
        <v>0.38102117988266093</v>
      </c>
      <c r="L34">
        <v>0.34045739777022538</v>
      </c>
      <c r="M34">
        <v>0.33490831325868209</v>
      </c>
      <c r="N34">
        <v>0.34441966761184351</v>
      </c>
      <c r="O34">
        <v>0.31286423683382575</v>
      </c>
      <c r="Q34" t="s">
        <v>399</v>
      </c>
      <c r="R34" t="s">
        <v>100</v>
      </c>
      <c r="S34">
        <v>1.6976034997071413E-2</v>
      </c>
      <c r="T34">
        <v>1.4219014320573846E-2</v>
      </c>
      <c r="U34">
        <v>1.1940965948389342E-2</v>
      </c>
      <c r="V34">
        <v>2.5061503369451246E-2</v>
      </c>
      <c r="W34">
        <v>1.9168398472714804E-2</v>
      </c>
      <c r="X34">
        <v>3.2326430743680537E-2</v>
      </c>
      <c r="Y34">
        <v>4.121472252176385E-2</v>
      </c>
      <c r="Z34">
        <v>4.4472347841900184E-2</v>
      </c>
      <c r="AA34">
        <v>4.9950005716796177E-2</v>
      </c>
      <c r="AB34">
        <v>2.3742059073659172E-2</v>
      </c>
      <c r="AC34">
        <v>2.4833182939466136E-2</v>
      </c>
      <c r="AD34">
        <v>3.345103600822185E-2</v>
      </c>
      <c r="AF34" t="s">
        <v>399</v>
      </c>
      <c r="AG34" t="s">
        <v>101</v>
      </c>
      <c r="AH34">
        <v>1.7168046784716826E-2</v>
      </c>
      <c r="AI34">
        <v>1.9975208588160431E-2</v>
      </c>
      <c r="AJ34">
        <v>9.2940075606209489E-3</v>
      </c>
      <c r="AK34">
        <v>3.7946646191483469E-2</v>
      </c>
      <c r="AL34">
        <v>2.3025058293253173E-2</v>
      </c>
      <c r="AM34">
        <v>1.9479808700115835E-2</v>
      </c>
      <c r="AN34">
        <v>4.4571593762197971E-2</v>
      </c>
      <c r="AO34">
        <v>6.1068694987855693E-2</v>
      </c>
      <c r="AP34">
        <v>2.6598135568559816E-2</v>
      </c>
      <c r="AQ34">
        <v>3.7850406600598199E-2</v>
      </c>
      <c r="AR34">
        <v>2.684210802373263E-2</v>
      </c>
      <c r="AS34">
        <v>2.8826366176098017E-2</v>
      </c>
      <c r="AU34" t="s">
        <v>399</v>
      </c>
      <c r="AV34" t="s">
        <v>102</v>
      </c>
      <c r="AW34">
        <v>0.12770998655601426</v>
      </c>
      <c r="AX34">
        <v>0.15288110792783804</v>
      </c>
      <c r="AY34">
        <v>0.14289513133120343</v>
      </c>
      <c r="AZ34">
        <v>0.12487885703813228</v>
      </c>
      <c r="BA34">
        <v>0.16956452020213622</v>
      </c>
      <c r="BB34">
        <v>0.12292849534056918</v>
      </c>
      <c r="BC34">
        <v>0.12449701394345548</v>
      </c>
      <c r="BD34">
        <v>0.15125943175215495</v>
      </c>
      <c r="BE34">
        <v>0.14913014984324807</v>
      </c>
      <c r="BF34">
        <v>0.1424177073349753</v>
      </c>
      <c r="BG34">
        <v>0.15529747863912963</v>
      </c>
      <c r="BH34">
        <v>0.12772012944912087</v>
      </c>
      <c r="BR34" t="s">
        <v>399</v>
      </c>
      <c r="BS34">
        <v>0.50552507088314746</v>
      </c>
      <c r="BT34">
        <v>0.46868356986338117</v>
      </c>
      <c r="BU34">
        <v>0.50676148411717126</v>
      </c>
      <c r="BV34">
        <v>0.3862423604825917</v>
      </c>
      <c r="BW34">
        <v>0.36289825682565224</v>
      </c>
      <c r="BX34">
        <v>0.40225567702107884</v>
      </c>
      <c r="BY34">
        <v>0.26941261455881682</v>
      </c>
      <c r="BZ34">
        <v>0.23323101667122345</v>
      </c>
      <c r="CA34">
        <v>0.27323307389463464</v>
      </c>
      <c r="CB34">
        <v>0.40342458644406409</v>
      </c>
      <c r="CC34">
        <v>0.39220686529934995</v>
      </c>
      <c r="CD34">
        <v>0.4365687076565466</v>
      </c>
      <c r="CF34" t="s">
        <v>392</v>
      </c>
      <c r="CG34" t="s">
        <v>108</v>
      </c>
      <c r="CH34" t="s">
        <v>109</v>
      </c>
      <c r="CI34">
        <v>0.65103187393804551</v>
      </c>
    </row>
    <row r="35" spans="2:87" x14ac:dyDescent="0.45">
      <c r="B35" t="s">
        <v>400</v>
      </c>
      <c r="C35" t="s">
        <v>99</v>
      </c>
      <c r="D35">
        <v>0.27132105088197145</v>
      </c>
      <c r="E35">
        <v>0.30397466714038224</v>
      </c>
      <c r="F35">
        <v>0.26585808194976851</v>
      </c>
      <c r="G35">
        <v>0.30868226935285276</v>
      </c>
      <c r="H35">
        <v>0.33086120684271342</v>
      </c>
      <c r="I35">
        <v>0.30513043211150898</v>
      </c>
      <c r="J35">
        <v>0.32547556407119221</v>
      </c>
      <c r="K35">
        <v>0.3800567891553539</v>
      </c>
      <c r="L35">
        <v>0.36131843113966594</v>
      </c>
      <c r="M35">
        <v>0.32699724328233654</v>
      </c>
      <c r="N35">
        <v>0.33381681574225402</v>
      </c>
      <c r="O35">
        <v>0.31715246948716802</v>
      </c>
      <c r="Q35" t="s">
        <v>400</v>
      </c>
      <c r="R35" t="s">
        <v>100</v>
      </c>
      <c r="S35">
        <v>1.7946128642762807E-2</v>
      </c>
      <c r="T35">
        <v>1.7609646087705415E-2</v>
      </c>
      <c r="U35">
        <v>1.945293695870888E-2</v>
      </c>
      <c r="V35">
        <v>2.2700246437261554E-2</v>
      </c>
      <c r="W35">
        <v>2.3145517426311223E-2</v>
      </c>
      <c r="X35">
        <v>2.6384114450679685E-2</v>
      </c>
      <c r="Y35">
        <v>4.6506442543458433E-2</v>
      </c>
      <c r="Z35">
        <v>3.5441060608583201E-2</v>
      </c>
      <c r="AA35">
        <v>5.4863670043874394E-2</v>
      </c>
      <c r="AB35">
        <v>1.8684205312196507E-2</v>
      </c>
      <c r="AC35">
        <v>3.6838501676705125E-2</v>
      </c>
      <c r="AD35">
        <v>3.067125447456524E-2</v>
      </c>
      <c r="AF35" t="s">
        <v>400</v>
      </c>
      <c r="AG35" t="s">
        <v>101</v>
      </c>
      <c r="AH35">
        <v>2.2878283180239291E-2</v>
      </c>
      <c r="AI35">
        <v>2.128915332427736E-2</v>
      </c>
      <c r="AJ35">
        <v>1.1697587145215136E-2</v>
      </c>
      <c r="AK35">
        <v>3.6413469467324509E-2</v>
      </c>
      <c r="AL35">
        <v>2.6881255005803559E-2</v>
      </c>
      <c r="AM35">
        <v>1.642208277986475E-2</v>
      </c>
      <c r="AN35">
        <v>5.1821838620139525E-2</v>
      </c>
      <c r="AO35">
        <v>4.6085334486874137E-2</v>
      </c>
      <c r="AP35">
        <v>5.4388780896104806E-2</v>
      </c>
      <c r="AQ35">
        <v>3.3561756871884445E-2</v>
      </c>
      <c r="AR35">
        <v>2.2246580797721956E-2</v>
      </c>
      <c r="AS35">
        <v>4.8960743392977089E-2</v>
      </c>
      <c r="AU35" t="s">
        <v>400</v>
      </c>
      <c r="AV35" t="s">
        <v>102</v>
      </c>
      <c r="AW35">
        <v>0.11171889879774687</v>
      </c>
      <c r="AX35">
        <v>0.1364952461689008</v>
      </c>
      <c r="AY35">
        <v>0.12172677904627505</v>
      </c>
      <c r="AZ35">
        <v>0.1283786635697024</v>
      </c>
      <c r="BA35">
        <v>0.15524000854764725</v>
      </c>
      <c r="BB35">
        <v>0.14194148831124315</v>
      </c>
      <c r="BC35">
        <v>0.11726189511012655</v>
      </c>
      <c r="BD35">
        <v>0.17050464040505833</v>
      </c>
      <c r="BE35">
        <v>0.12805599083787642</v>
      </c>
      <c r="BF35">
        <v>0.14475034152289609</v>
      </c>
      <c r="BG35">
        <v>0.13775233879297752</v>
      </c>
      <c r="BH35">
        <v>0.10226760987253951</v>
      </c>
      <c r="BR35" t="s">
        <v>400</v>
      </c>
      <c r="BS35">
        <v>0.52431589526531752</v>
      </c>
      <c r="BT35">
        <v>0.49039818249021966</v>
      </c>
      <c r="BU35">
        <v>0.52691124376832266</v>
      </c>
      <c r="BV35">
        <v>0.41361007143290329</v>
      </c>
      <c r="BW35">
        <v>0.39978690844879528</v>
      </c>
      <c r="BX35">
        <v>0.4204073042218216</v>
      </c>
      <c r="BY35">
        <v>0.30703472655611974</v>
      </c>
      <c r="BZ35">
        <v>0.24948931336200431</v>
      </c>
      <c r="CA35">
        <v>0.31117761493500229</v>
      </c>
      <c r="CB35">
        <v>0.42842445316645161</v>
      </c>
      <c r="CC35">
        <v>0.41190599912782661</v>
      </c>
      <c r="CD35">
        <v>0.46002675049883679</v>
      </c>
      <c r="CF35" t="s">
        <v>394</v>
      </c>
      <c r="CG35" t="s">
        <v>108</v>
      </c>
      <c r="CH35" t="s">
        <v>109</v>
      </c>
      <c r="CI35">
        <v>0.65448878994055126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6973-FD68-47C6-96C7-62E097B8C367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0.3449856552501267</v>
      </c>
      <c r="P11">
        <v>2020</v>
      </c>
      <c r="Q11" t="s">
        <v>193</v>
      </c>
      <c r="R11">
        <v>0.224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9.3535733456153958E-2</v>
      </c>
      <c r="P12">
        <v>2020</v>
      </c>
      <c r="Q12" t="s">
        <v>195</v>
      </c>
      <c r="R12">
        <v>0.22773333333333334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0.15657759078887556</v>
      </c>
      <c r="P13">
        <v>2020</v>
      </c>
      <c r="Q13" t="s">
        <v>196</v>
      </c>
      <c r="R13">
        <v>0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0.36201578392516631</v>
      </c>
      <c r="P14">
        <v>2020</v>
      </c>
      <c r="Q14" t="s">
        <v>197</v>
      </c>
      <c r="R14">
        <v>0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0.12321329048280827</v>
      </c>
      <c r="P15">
        <v>2021</v>
      </c>
      <c r="Q15" t="s">
        <v>193</v>
      </c>
      <c r="R15">
        <v>0.112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0.20555137468269513</v>
      </c>
      <c r="P16">
        <v>2021</v>
      </c>
      <c r="Q16" t="s">
        <v>195</v>
      </c>
      <c r="R16">
        <v>0.33973333333333339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0.26511560349058816</v>
      </c>
      <c r="P17">
        <v>2021</v>
      </c>
      <c r="Q17" t="s">
        <v>196</v>
      </c>
      <c r="R17">
        <v>0.33973333333333339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0.10810298948550212</v>
      </c>
      <c r="P18">
        <v>2021</v>
      </c>
      <c r="Q18" t="s">
        <v>197</v>
      </c>
      <c r="R18">
        <v>0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0.13927479396661169</v>
      </c>
      <c r="P19">
        <v>2022</v>
      </c>
      <c r="Q19" t="s">
        <v>193</v>
      </c>
      <c r="R19">
        <v>0.23599999999999999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0.36096409439554922</v>
      </c>
      <c r="P20">
        <v>2022</v>
      </c>
      <c r="Q20" t="s">
        <v>195</v>
      </c>
      <c r="R20">
        <v>0.22773333333333334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0.16283081918356523</v>
      </c>
      <c r="P21">
        <v>2022</v>
      </c>
      <c r="Q21" t="s">
        <v>196</v>
      </c>
      <c r="R21">
        <v>0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0.2097512168843787</v>
      </c>
      <c r="P22">
        <v>2022</v>
      </c>
      <c r="Q22" t="s">
        <v>197</v>
      </c>
      <c r="R22">
        <v>0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0.37153333333333333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0.44846666666666674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0.16653333333333334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6.8699999999999997E-2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0.32669999999999999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0.41173333333333328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0.11769999999999999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0.1123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0.31303333333333333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0.4456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8.3799999999999999E-2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8.3966666666666676E-2</v>
      </c>
      <c r="S34" t="s">
        <v>194</v>
      </c>
    </row>
    <row r="35" spans="8:19" x14ac:dyDescent="0.45">
      <c r="P35">
        <v>2028</v>
      </c>
      <c r="Q35" t="s">
        <v>193</v>
      </c>
      <c r="R35">
        <v>0.4291666666666667</v>
      </c>
      <c r="S35" t="s">
        <v>194</v>
      </c>
    </row>
    <row r="36" spans="8:19" x14ac:dyDescent="0.45">
      <c r="P36">
        <v>2028</v>
      </c>
      <c r="Q36" t="s">
        <v>195</v>
      </c>
      <c r="R36">
        <v>0.53203333333333325</v>
      </c>
      <c r="S36" t="s">
        <v>194</v>
      </c>
    </row>
    <row r="37" spans="8:19" x14ac:dyDescent="0.45">
      <c r="P37">
        <v>2028</v>
      </c>
      <c r="Q37" t="s">
        <v>196</v>
      </c>
      <c r="R37">
        <v>0.18000000000000002</v>
      </c>
      <c r="S37" t="s">
        <v>194</v>
      </c>
    </row>
    <row r="38" spans="8:19" x14ac:dyDescent="0.45">
      <c r="P38">
        <v>2028</v>
      </c>
      <c r="Q38" t="s">
        <v>197</v>
      </c>
      <c r="R38">
        <v>0.111</v>
      </c>
      <c r="S38" t="s">
        <v>194</v>
      </c>
    </row>
    <row r="39" spans="8:19" x14ac:dyDescent="0.45">
      <c r="P39">
        <v>2029</v>
      </c>
      <c r="Q39" t="s">
        <v>193</v>
      </c>
      <c r="R39">
        <v>0.44100000000000006</v>
      </c>
      <c r="S39" t="s">
        <v>194</v>
      </c>
    </row>
    <row r="40" spans="8:19" x14ac:dyDescent="0.45">
      <c r="P40">
        <v>2029</v>
      </c>
      <c r="Q40" t="s">
        <v>195</v>
      </c>
      <c r="R40">
        <v>0.55983333333333329</v>
      </c>
      <c r="S40" t="s">
        <v>194</v>
      </c>
    </row>
    <row r="41" spans="8:19" x14ac:dyDescent="0.45">
      <c r="P41">
        <v>2029</v>
      </c>
      <c r="Q41" t="s">
        <v>196</v>
      </c>
      <c r="R41">
        <v>0.11813333333333333</v>
      </c>
      <c r="S41" t="s">
        <v>194</v>
      </c>
    </row>
    <row r="42" spans="8:19" x14ac:dyDescent="0.45">
      <c r="P42">
        <v>2029</v>
      </c>
      <c r="Q42" t="s">
        <v>197</v>
      </c>
      <c r="R42">
        <v>0.13226666666666667</v>
      </c>
      <c r="S42" t="s">
        <v>194</v>
      </c>
    </row>
    <row r="43" spans="8:19" x14ac:dyDescent="0.45">
      <c r="P43">
        <v>2030</v>
      </c>
      <c r="Q43" t="s">
        <v>193</v>
      </c>
      <c r="R43">
        <v>0.37813333333333338</v>
      </c>
      <c r="S43" t="s">
        <v>194</v>
      </c>
    </row>
    <row r="44" spans="8:19" x14ac:dyDescent="0.45">
      <c r="P44">
        <v>2030</v>
      </c>
      <c r="Q44" t="s">
        <v>195</v>
      </c>
      <c r="R44">
        <v>0.58243333333333336</v>
      </c>
      <c r="S44" t="s">
        <v>194</v>
      </c>
    </row>
    <row r="45" spans="8:19" x14ac:dyDescent="0.45">
      <c r="P45">
        <v>2030</v>
      </c>
      <c r="Q45" t="s">
        <v>196</v>
      </c>
      <c r="R45">
        <v>0.13123333333333334</v>
      </c>
      <c r="S45" t="s">
        <v>194</v>
      </c>
    </row>
    <row r="46" spans="8:19" x14ac:dyDescent="0.45">
      <c r="P46">
        <v>2030</v>
      </c>
      <c r="Q46" t="s">
        <v>197</v>
      </c>
      <c r="R46">
        <v>7.1900000000000006E-2</v>
      </c>
      <c r="S46" t="s">
        <v>194</v>
      </c>
    </row>
    <row r="47" spans="8:19" x14ac:dyDescent="0.45">
      <c r="P47">
        <v>2031</v>
      </c>
      <c r="Q47" t="s">
        <v>193</v>
      </c>
      <c r="R47">
        <v>0.41473333333333334</v>
      </c>
      <c r="S47" t="s">
        <v>194</v>
      </c>
    </row>
    <row r="48" spans="8:19" x14ac:dyDescent="0.45">
      <c r="P48">
        <v>2031</v>
      </c>
      <c r="Q48" t="s">
        <v>195</v>
      </c>
      <c r="R48">
        <v>0.50856666666666672</v>
      </c>
      <c r="S48" t="s">
        <v>194</v>
      </c>
    </row>
    <row r="49" spans="16:19" x14ac:dyDescent="0.45">
      <c r="P49">
        <v>2031</v>
      </c>
      <c r="Q49" t="s">
        <v>196</v>
      </c>
      <c r="R49">
        <v>0.13770000000000002</v>
      </c>
      <c r="S49" t="s">
        <v>194</v>
      </c>
    </row>
    <row r="50" spans="16:19" x14ac:dyDescent="0.45">
      <c r="P50">
        <v>2031</v>
      </c>
      <c r="Q50" t="s">
        <v>197</v>
      </c>
      <c r="R50">
        <v>7.640000000000001E-2</v>
      </c>
      <c r="S50" t="s">
        <v>194</v>
      </c>
    </row>
    <row r="51" spans="16:19" x14ac:dyDescent="0.45">
      <c r="P51">
        <v>2032</v>
      </c>
      <c r="Q51" t="s">
        <v>193</v>
      </c>
      <c r="R51">
        <v>0.36906666666666671</v>
      </c>
      <c r="S51" t="s">
        <v>194</v>
      </c>
    </row>
    <row r="52" spans="16:19" x14ac:dyDescent="0.45">
      <c r="P52">
        <v>2032</v>
      </c>
      <c r="Q52" t="s">
        <v>195</v>
      </c>
      <c r="R52">
        <v>0.54470000000000007</v>
      </c>
      <c r="S52" t="s">
        <v>194</v>
      </c>
    </row>
    <row r="53" spans="16:19" x14ac:dyDescent="0.45">
      <c r="P53">
        <v>2032</v>
      </c>
      <c r="Q53" t="s">
        <v>196</v>
      </c>
      <c r="R53">
        <v>0.1870333333333333</v>
      </c>
      <c r="S53" t="s">
        <v>194</v>
      </c>
    </row>
    <row r="54" spans="16:19" x14ac:dyDescent="0.45">
      <c r="P54">
        <v>2032</v>
      </c>
      <c r="Q54" t="s">
        <v>197</v>
      </c>
      <c r="R54">
        <v>0.13753333333333331</v>
      </c>
      <c r="S54" t="s">
        <v>194</v>
      </c>
    </row>
    <row r="55" spans="16:19" x14ac:dyDescent="0.45">
      <c r="P55">
        <v>2033</v>
      </c>
      <c r="Q55" t="s">
        <v>193</v>
      </c>
      <c r="R55">
        <v>0.42533333333333334</v>
      </c>
      <c r="S55" t="s">
        <v>194</v>
      </c>
    </row>
    <row r="56" spans="16:19" x14ac:dyDescent="0.45">
      <c r="P56">
        <v>2033</v>
      </c>
      <c r="Q56" t="s">
        <v>195</v>
      </c>
      <c r="R56">
        <v>0.55076666666666663</v>
      </c>
      <c r="S56" t="s">
        <v>194</v>
      </c>
    </row>
    <row r="57" spans="16:19" x14ac:dyDescent="0.45">
      <c r="P57">
        <v>2033</v>
      </c>
      <c r="Q57" t="s">
        <v>196</v>
      </c>
      <c r="R57">
        <v>0.12659999999999999</v>
      </c>
      <c r="S57" t="s">
        <v>194</v>
      </c>
    </row>
    <row r="58" spans="16:19" x14ac:dyDescent="0.45">
      <c r="P58">
        <v>2033</v>
      </c>
      <c r="Q58" t="s">
        <v>197</v>
      </c>
      <c r="R58">
        <v>0.12563333333333332</v>
      </c>
      <c r="S58" t="s">
        <v>194</v>
      </c>
    </row>
    <row r="59" spans="16:19" x14ac:dyDescent="0.45">
      <c r="P59">
        <v>2034</v>
      </c>
      <c r="Q59" t="s">
        <v>193</v>
      </c>
      <c r="R59">
        <v>0.36053333333333332</v>
      </c>
      <c r="S59" t="s">
        <v>194</v>
      </c>
    </row>
    <row r="60" spans="16:19" x14ac:dyDescent="0.45">
      <c r="P60">
        <v>2034</v>
      </c>
      <c r="Q60" t="s">
        <v>195</v>
      </c>
      <c r="R60">
        <v>0.42663333333333336</v>
      </c>
      <c r="S60" t="s">
        <v>194</v>
      </c>
    </row>
    <row r="61" spans="16:19" x14ac:dyDescent="0.45">
      <c r="P61">
        <v>2034</v>
      </c>
      <c r="Q61" t="s">
        <v>196</v>
      </c>
      <c r="R61">
        <v>0.18853333333333336</v>
      </c>
      <c r="S61" t="s">
        <v>194</v>
      </c>
    </row>
    <row r="62" spans="16:19" x14ac:dyDescent="0.45">
      <c r="P62">
        <v>2034</v>
      </c>
      <c r="Q62" t="s">
        <v>197</v>
      </c>
      <c r="R62">
        <v>7.7100000000000002E-2</v>
      </c>
      <c r="S62" t="s">
        <v>194</v>
      </c>
    </row>
    <row r="63" spans="16:19" x14ac:dyDescent="0.45">
      <c r="P63">
        <v>2035</v>
      </c>
      <c r="Q63" t="s">
        <v>193</v>
      </c>
      <c r="R63">
        <v>0.37273333333333336</v>
      </c>
      <c r="S63" t="s">
        <v>194</v>
      </c>
    </row>
    <row r="64" spans="16:19" x14ac:dyDescent="0.45">
      <c r="P64">
        <v>2035</v>
      </c>
      <c r="Q64" t="s">
        <v>195</v>
      </c>
      <c r="R64">
        <v>0.47283333333333327</v>
      </c>
      <c r="S64" t="s">
        <v>194</v>
      </c>
    </row>
    <row r="65" spans="16:19" x14ac:dyDescent="0.45">
      <c r="P65">
        <v>2035</v>
      </c>
      <c r="Q65" t="s">
        <v>196</v>
      </c>
      <c r="R65">
        <v>0.1394</v>
      </c>
      <c r="S65" t="s">
        <v>194</v>
      </c>
    </row>
    <row r="66" spans="16:19" x14ac:dyDescent="0.45">
      <c r="P66">
        <v>2035</v>
      </c>
      <c r="Q66" t="s">
        <v>197</v>
      </c>
      <c r="R66">
        <v>9.4433333333333327E-2</v>
      </c>
      <c r="S66" t="s">
        <v>194</v>
      </c>
    </row>
    <row r="67" spans="16:19" x14ac:dyDescent="0.45">
      <c r="P67">
        <v>2036</v>
      </c>
      <c r="Q67" t="s">
        <v>193</v>
      </c>
      <c r="R67">
        <v>0.35660000000000003</v>
      </c>
      <c r="S67" t="s">
        <v>194</v>
      </c>
    </row>
    <row r="68" spans="16:19" x14ac:dyDescent="0.45">
      <c r="P68">
        <v>2036</v>
      </c>
      <c r="Q68" t="s">
        <v>195</v>
      </c>
      <c r="R68">
        <v>0.47696666666666671</v>
      </c>
      <c r="S68" t="s">
        <v>194</v>
      </c>
    </row>
    <row r="69" spans="16:19" x14ac:dyDescent="0.45">
      <c r="P69">
        <v>2036</v>
      </c>
      <c r="Q69" t="s">
        <v>196</v>
      </c>
      <c r="R69">
        <v>0.14306666666666668</v>
      </c>
      <c r="S69" t="s">
        <v>194</v>
      </c>
    </row>
    <row r="70" spans="16:19" x14ac:dyDescent="0.45">
      <c r="P70">
        <v>2036</v>
      </c>
      <c r="Q70" t="s">
        <v>197</v>
      </c>
      <c r="R70">
        <v>7.1533333333333338E-2</v>
      </c>
      <c r="S70" t="s">
        <v>194</v>
      </c>
    </row>
    <row r="71" spans="16:19" x14ac:dyDescent="0.45">
      <c r="P71">
        <v>2037</v>
      </c>
      <c r="Q71" t="s">
        <v>193</v>
      </c>
      <c r="R71">
        <v>0.35949999999999999</v>
      </c>
      <c r="S71" t="s">
        <v>194</v>
      </c>
    </row>
    <row r="72" spans="16:19" x14ac:dyDescent="0.45">
      <c r="P72">
        <v>2037</v>
      </c>
      <c r="Q72" t="s">
        <v>195</v>
      </c>
      <c r="R72">
        <v>0.57290000000000008</v>
      </c>
      <c r="S72" t="s">
        <v>194</v>
      </c>
    </row>
    <row r="73" spans="16:19" x14ac:dyDescent="0.45">
      <c r="P73">
        <v>2037</v>
      </c>
      <c r="Q73" t="s">
        <v>196</v>
      </c>
      <c r="R73">
        <v>0.15173333333333336</v>
      </c>
      <c r="S73" t="s">
        <v>194</v>
      </c>
    </row>
    <row r="74" spans="16:19" x14ac:dyDescent="0.45">
      <c r="P74">
        <v>2037</v>
      </c>
      <c r="Q74" t="s">
        <v>197</v>
      </c>
      <c r="R74">
        <v>9.3533333333333343E-2</v>
      </c>
      <c r="S74" t="s">
        <v>194</v>
      </c>
    </row>
    <row r="75" spans="16:19" x14ac:dyDescent="0.45">
      <c r="P75">
        <v>2038</v>
      </c>
      <c r="Q75" t="s">
        <v>193</v>
      </c>
      <c r="R75">
        <v>0.34949999999999998</v>
      </c>
      <c r="S75" t="s">
        <v>194</v>
      </c>
    </row>
    <row r="76" spans="16:19" x14ac:dyDescent="0.45">
      <c r="P76">
        <v>2038</v>
      </c>
      <c r="Q76" t="s">
        <v>195</v>
      </c>
      <c r="R76">
        <v>0.51013333333333333</v>
      </c>
      <c r="S76" t="s">
        <v>194</v>
      </c>
    </row>
    <row r="77" spans="16:19" x14ac:dyDescent="0.45">
      <c r="P77">
        <v>2038</v>
      </c>
      <c r="Q77" t="s">
        <v>196</v>
      </c>
      <c r="R77">
        <v>6.6333333333333341E-2</v>
      </c>
      <c r="S77" t="s">
        <v>194</v>
      </c>
    </row>
    <row r="78" spans="16:19" x14ac:dyDescent="0.45">
      <c r="P78">
        <v>2038</v>
      </c>
      <c r="Q78" t="s">
        <v>197</v>
      </c>
      <c r="R78">
        <v>5.9533333333333334E-2</v>
      </c>
      <c r="S78" t="s">
        <v>194</v>
      </c>
    </row>
    <row r="79" spans="16:19" x14ac:dyDescent="0.45">
      <c r="P79">
        <v>2039</v>
      </c>
      <c r="Q79" t="s">
        <v>193</v>
      </c>
      <c r="R79">
        <v>0.29620000000000002</v>
      </c>
      <c r="S79" t="s">
        <v>194</v>
      </c>
    </row>
    <row r="80" spans="16:19" x14ac:dyDescent="0.45">
      <c r="P80">
        <v>2039</v>
      </c>
      <c r="Q80" t="s">
        <v>195</v>
      </c>
      <c r="R80">
        <v>0.4201333333333333</v>
      </c>
      <c r="S80" t="s">
        <v>194</v>
      </c>
    </row>
    <row r="81" spans="16:19" x14ac:dyDescent="0.45">
      <c r="P81">
        <v>2039</v>
      </c>
      <c r="Q81" t="s">
        <v>196</v>
      </c>
      <c r="R81">
        <v>0.12473333333333332</v>
      </c>
      <c r="S81" t="s">
        <v>194</v>
      </c>
    </row>
    <row r="82" spans="16:19" x14ac:dyDescent="0.45">
      <c r="P82">
        <v>2039</v>
      </c>
      <c r="Q82" t="s">
        <v>197</v>
      </c>
      <c r="R82">
        <v>0.13643333333333332</v>
      </c>
      <c r="S82" t="s">
        <v>194</v>
      </c>
    </row>
    <row r="83" spans="16:19" x14ac:dyDescent="0.45">
      <c r="P83">
        <v>2040</v>
      </c>
      <c r="Q83" t="s">
        <v>193</v>
      </c>
      <c r="R83">
        <v>0.31906666666666667</v>
      </c>
      <c r="S83" t="s">
        <v>194</v>
      </c>
    </row>
    <row r="84" spans="16:19" x14ac:dyDescent="0.45">
      <c r="P84">
        <v>2040</v>
      </c>
      <c r="Q84" t="s">
        <v>195</v>
      </c>
      <c r="R84">
        <v>0.49083333333333329</v>
      </c>
      <c r="S84" t="s">
        <v>194</v>
      </c>
    </row>
    <row r="85" spans="16:19" x14ac:dyDescent="0.45">
      <c r="P85">
        <v>2040</v>
      </c>
      <c r="Q85" t="s">
        <v>196</v>
      </c>
      <c r="R85">
        <v>9.693333333333333E-2</v>
      </c>
      <c r="S85" t="s">
        <v>194</v>
      </c>
    </row>
    <row r="86" spans="16:19" x14ac:dyDescent="0.45">
      <c r="P86">
        <v>2040</v>
      </c>
      <c r="Q86" t="s">
        <v>197</v>
      </c>
      <c r="R86">
        <v>0.10993333333333333</v>
      </c>
      <c r="S86" t="s">
        <v>194</v>
      </c>
    </row>
    <row r="87" spans="16:19" x14ac:dyDescent="0.45">
      <c r="P87">
        <v>2041</v>
      </c>
      <c r="Q87" t="s">
        <v>193</v>
      </c>
      <c r="R87">
        <v>0.31129999999999997</v>
      </c>
      <c r="S87" t="s">
        <v>194</v>
      </c>
    </row>
    <row r="88" spans="16:19" x14ac:dyDescent="0.45">
      <c r="P88">
        <v>2041</v>
      </c>
      <c r="Q88" t="s">
        <v>195</v>
      </c>
      <c r="R88">
        <v>0.46950000000000003</v>
      </c>
      <c r="S88" t="s">
        <v>194</v>
      </c>
    </row>
    <row r="89" spans="16:19" x14ac:dyDescent="0.45">
      <c r="P89">
        <v>2041</v>
      </c>
      <c r="Q89" t="s">
        <v>196</v>
      </c>
      <c r="R89">
        <v>0.12169999999999999</v>
      </c>
      <c r="S89" t="s">
        <v>194</v>
      </c>
    </row>
    <row r="90" spans="16:19" x14ac:dyDescent="0.45">
      <c r="P90">
        <v>2041</v>
      </c>
      <c r="Q90" t="s">
        <v>197</v>
      </c>
      <c r="R90">
        <v>5.5766666666666666E-2</v>
      </c>
      <c r="S90" t="s">
        <v>194</v>
      </c>
    </row>
    <row r="91" spans="16:19" x14ac:dyDescent="0.45">
      <c r="P91">
        <v>2042</v>
      </c>
      <c r="Q91" t="s">
        <v>193</v>
      </c>
      <c r="R91">
        <v>0.2484666666666667</v>
      </c>
      <c r="S91" t="s">
        <v>194</v>
      </c>
    </row>
    <row r="92" spans="16:19" x14ac:dyDescent="0.45">
      <c r="P92">
        <v>2042</v>
      </c>
      <c r="Q92" t="s">
        <v>195</v>
      </c>
      <c r="R92">
        <v>0.54406666666666659</v>
      </c>
      <c r="S92" t="s">
        <v>194</v>
      </c>
    </row>
    <row r="93" spans="16:19" x14ac:dyDescent="0.45">
      <c r="P93">
        <v>2042</v>
      </c>
      <c r="Q93" t="s">
        <v>196</v>
      </c>
      <c r="R93">
        <v>0.12173333333333332</v>
      </c>
      <c r="S93" t="s">
        <v>194</v>
      </c>
    </row>
    <row r="94" spans="16:19" x14ac:dyDescent="0.45">
      <c r="P94">
        <v>2042</v>
      </c>
      <c r="Q94" t="s">
        <v>197</v>
      </c>
      <c r="R94">
        <v>0.1321</v>
      </c>
      <c r="S94" t="s">
        <v>194</v>
      </c>
    </row>
    <row r="95" spans="16:19" x14ac:dyDescent="0.45">
      <c r="P95">
        <v>2043</v>
      </c>
      <c r="Q95" t="s">
        <v>193</v>
      </c>
      <c r="R95">
        <v>0.43206666666666665</v>
      </c>
      <c r="S95" t="s">
        <v>194</v>
      </c>
    </row>
    <row r="96" spans="16:19" x14ac:dyDescent="0.45">
      <c r="P96">
        <v>2043</v>
      </c>
      <c r="Q96" t="s">
        <v>195</v>
      </c>
      <c r="R96">
        <v>0.52539999999999998</v>
      </c>
      <c r="S96" t="s">
        <v>194</v>
      </c>
    </row>
    <row r="97" spans="16:19" x14ac:dyDescent="0.45">
      <c r="P97">
        <v>2043</v>
      </c>
      <c r="Q97" t="s">
        <v>196</v>
      </c>
      <c r="R97">
        <v>0.10453333333333333</v>
      </c>
      <c r="S97" t="s">
        <v>194</v>
      </c>
    </row>
    <row r="98" spans="16:19" x14ac:dyDescent="0.45">
      <c r="P98">
        <v>2043</v>
      </c>
      <c r="Q98" t="s">
        <v>197</v>
      </c>
      <c r="R98">
        <v>8.0266666666666667E-2</v>
      </c>
      <c r="S98" t="s">
        <v>194</v>
      </c>
    </row>
    <row r="99" spans="16:19" x14ac:dyDescent="0.45">
      <c r="P99">
        <v>2044</v>
      </c>
      <c r="Q99" t="s">
        <v>193</v>
      </c>
      <c r="R99">
        <v>0.30886666666666662</v>
      </c>
      <c r="S99" t="s">
        <v>194</v>
      </c>
    </row>
    <row r="100" spans="16:19" x14ac:dyDescent="0.45">
      <c r="P100">
        <v>2044</v>
      </c>
      <c r="Q100" t="s">
        <v>195</v>
      </c>
      <c r="R100">
        <v>0.43483333333333335</v>
      </c>
      <c r="S100" t="s">
        <v>194</v>
      </c>
    </row>
    <row r="101" spans="16:19" x14ac:dyDescent="0.45">
      <c r="P101">
        <v>2044</v>
      </c>
      <c r="Q101" t="s">
        <v>196</v>
      </c>
      <c r="R101">
        <v>0.16993333333333335</v>
      </c>
      <c r="S101" t="s">
        <v>194</v>
      </c>
    </row>
    <row r="102" spans="16:19" x14ac:dyDescent="0.45">
      <c r="P102">
        <v>2044</v>
      </c>
      <c r="Q102" t="s">
        <v>197</v>
      </c>
      <c r="R102">
        <v>8.1866666666666657E-2</v>
      </c>
      <c r="S102" t="s">
        <v>194</v>
      </c>
    </row>
    <row r="103" spans="16:19" x14ac:dyDescent="0.45">
      <c r="P103">
        <v>2045</v>
      </c>
      <c r="Q103" t="s">
        <v>193</v>
      </c>
      <c r="R103">
        <v>0.36143333333333333</v>
      </c>
      <c r="S103" t="s">
        <v>194</v>
      </c>
    </row>
    <row r="104" spans="16:19" x14ac:dyDescent="0.45">
      <c r="P104">
        <v>2045</v>
      </c>
      <c r="Q104" t="s">
        <v>195</v>
      </c>
      <c r="R104">
        <v>0.47136666666666666</v>
      </c>
      <c r="S104" t="s">
        <v>194</v>
      </c>
    </row>
    <row r="105" spans="16:19" x14ac:dyDescent="0.45">
      <c r="P105">
        <v>2045</v>
      </c>
      <c r="Q105" t="s">
        <v>196</v>
      </c>
      <c r="R105">
        <v>0.15036666666666668</v>
      </c>
      <c r="S105" t="s">
        <v>194</v>
      </c>
    </row>
    <row r="106" spans="16:19" x14ac:dyDescent="0.45">
      <c r="P106">
        <v>2045</v>
      </c>
      <c r="Q106" t="s">
        <v>197</v>
      </c>
      <c r="R106">
        <v>9.2399999999999996E-2</v>
      </c>
      <c r="S106" t="s">
        <v>194</v>
      </c>
    </row>
    <row r="107" spans="16:19" x14ac:dyDescent="0.45">
      <c r="P107">
        <v>2046</v>
      </c>
      <c r="Q107" t="s">
        <v>193</v>
      </c>
      <c r="R107">
        <v>0.35603333333333337</v>
      </c>
      <c r="S107" t="s">
        <v>194</v>
      </c>
    </row>
    <row r="108" spans="16:19" x14ac:dyDescent="0.45">
      <c r="P108">
        <v>2046</v>
      </c>
      <c r="Q108" t="s">
        <v>195</v>
      </c>
      <c r="R108">
        <v>0.53710000000000002</v>
      </c>
      <c r="S108" t="s">
        <v>194</v>
      </c>
    </row>
    <row r="109" spans="16:19" x14ac:dyDescent="0.45">
      <c r="P109">
        <v>2046</v>
      </c>
      <c r="Q109" t="s">
        <v>196</v>
      </c>
      <c r="R109">
        <v>0.15909999999999999</v>
      </c>
      <c r="S109" t="s">
        <v>194</v>
      </c>
    </row>
    <row r="110" spans="16:19" x14ac:dyDescent="0.45">
      <c r="P110">
        <v>2046</v>
      </c>
      <c r="Q110" t="s">
        <v>197</v>
      </c>
      <c r="R110">
        <v>0.12123333333333332</v>
      </c>
      <c r="S110" t="s">
        <v>194</v>
      </c>
    </row>
    <row r="111" spans="16:19" x14ac:dyDescent="0.45">
      <c r="P111">
        <v>2047</v>
      </c>
      <c r="Q111" t="s">
        <v>193</v>
      </c>
      <c r="R111">
        <v>0.24523333333333333</v>
      </c>
      <c r="S111" t="s">
        <v>194</v>
      </c>
    </row>
    <row r="112" spans="16:19" x14ac:dyDescent="0.45">
      <c r="P112">
        <v>2047</v>
      </c>
      <c r="Q112" t="s">
        <v>195</v>
      </c>
      <c r="R112">
        <v>0.51663333333333339</v>
      </c>
      <c r="S112" t="s">
        <v>194</v>
      </c>
    </row>
    <row r="113" spans="16:19" x14ac:dyDescent="0.45">
      <c r="P113">
        <v>2047</v>
      </c>
      <c r="Q113" t="s">
        <v>196</v>
      </c>
      <c r="R113">
        <v>0.16643333333333332</v>
      </c>
      <c r="S113" t="s">
        <v>194</v>
      </c>
    </row>
    <row r="114" spans="16:19" x14ac:dyDescent="0.45">
      <c r="P114">
        <v>2047</v>
      </c>
      <c r="Q114" t="s">
        <v>197</v>
      </c>
      <c r="R114">
        <v>0.12833333333333333</v>
      </c>
      <c r="S114" t="s">
        <v>194</v>
      </c>
    </row>
    <row r="115" spans="16:19" x14ac:dyDescent="0.45">
      <c r="P115">
        <v>2048</v>
      </c>
      <c r="Q115" t="s">
        <v>193</v>
      </c>
      <c r="R115">
        <v>0.3948666666666667</v>
      </c>
      <c r="S115" t="s">
        <v>194</v>
      </c>
    </row>
    <row r="116" spans="16:19" x14ac:dyDescent="0.45">
      <c r="P116">
        <v>2048</v>
      </c>
      <c r="Q116" t="s">
        <v>195</v>
      </c>
      <c r="R116">
        <v>0.50356666666666661</v>
      </c>
      <c r="S116" t="s">
        <v>194</v>
      </c>
    </row>
    <row r="117" spans="16:19" x14ac:dyDescent="0.45">
      <c r="P117">
        <v>2048</v>
      </c>
      <c r="Q117" t="s">
        <v>196</v>
      </c>
      <c r="R117">
        <v>0.11</v>
      </c>
      <c r="S117" t="s">
        <v>194</v>
      </c>
    </row>
    <row r="118" spans="16:19" x14ac:dyDescent="0.45">
      <c r="P118">
        <v>2048</v>
      </c>
      <c r="Q118" t="s">
        <v>197</v>
      </c>
      <c r="R118">
        <v>0.10013333333333334</v>
      </c>
      <c r="S118" t="s">
        <v>194</v>
      </c>
    </row>
    <row r="119" spans="16:19" x14ac:dyDescent="0.45">
      <c r="P119">
        <v>2049</v>
      </c>
      <c r="Q119" t="s">
        <v>193</v>
      </c>
      <c r="R119">
        <v>0.44046666666666662</v>
      </c>
      <c r="S119" t="s">
        <v>194</v>
      </c>
    </row>
    <row r="120" spans="16:19" x14ac:dyDescent="0.45">
      <c r="P120">
        <v>2049</v>
      </c>
      <c r="Q120" t="s">
        <v>195</v>
      </c>
      <c r="R120">
        <v>0.44623333333333326</v>
      </c>
      <c r="S120" t="s">
        <v>194</v>
      </c>
    </row>
    <row r="121" spans="16:19" x14ac:dyDescent="0.45">
      <c r="P121">
        <v>2049</v>
      </c>
      <c r="Q121" t="s">
        <v>196</v>
      </c>
      <c r="R121">
        <v>0.15939999999999999</v>
      </c>
      <c r="S121" t="s">
        <v>194</v>
      </c>
    </row>
    <row r="122" spans="16:19" x14ac:dyDescent="0.45">
      <c r="P122">
        <v>2049</v>
      </c>
      <c r="Q122" t="s">
        <v>197</v>
      </c>
      <c r="R122">
        <v>0.10663333333333334</v>
      </c>
      <c r="S122" t="s">
        <v>194</v>
      </c>
    </row>
    <row r="123" spans="16:19" x14ac:dyDescent="0.45">
      <c r="P123">
        <v>2050</v>
      </c>
      <c r="Q123" t="s">
        <v>193</v>
      </c>
      <c r="R123">
        <v>0.3523</v>
      </c>
      <c r="S123" t="s">
        <v>194</v>
      </c>
    </row>
    <row r="124" spans="16:19" x14ac:dyDescent="0.45">
      <c r="P124">
        <v>2050</v>
      </c>
      <c r="Q124" t="s">
        <v>195</v>
      </c>
      <c r="R124">
        <v>0.44573333333333331</v>
      </c>
      <c r="S124" t="s">
        <v>194</v>
      </c>
    </row>
    <row r="125" spans="16:19" x14ac:dyDescent="0.45">
      <c r="P125">
        <v>2050</v>
      </c>
      <c r="Q125" t="s">
        <v>196</v>
      </c>
      <c r="R125">
        <v>0.11106666666666666</v>
      </c>
      <c r="S125" t="s">
        <v>194</v>
      </c>
    </row>
    <row r="126" spans="16:19" x14ac:dyDescent="0.45">
      <c r="P126">
        <v>2050</v>
      </c>
      <c r="Q126" t="s">
        <v>197</v>
      </c>
      <c r="R126">
        <v>0.11996666666666667</v>
      </c>
      <c r="S126" t="s">
        <v>194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6C73-10E0-4537-957B-B061084D98F0}">
  <dimension ref="B9:J1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401</v>
      </c>
      <c r="C11" t="s">
        <v>5</v>
      </c>
      <c r="D11">
        <v>0</v>
      </c>
      <c r="E11" t="s">
        <v>6</v>
      </c>
      <c r="G11" t="s">
        <v>402</v>
      </c>
      <c r="H11" t="s">
        <v>5</v>
      </c>
      <c r="I11">
        <v>0.10525631132599078</v>
      </c>
      <c r="J11" t="s">
        <v>6</v>
      </c>
    </row>
    <row r="12" spans="2:10" x14ac:dyDescent="0.45">
      <c r="B12" t="s">
        <v>401</v>
      </c>
      <c r="C12" t="s">
        <v>9</v>
      </c>
      <c r="D12">
        <v>0.12644418176285205</v>
      </c>
      <c r="E12" t="s">
        <v>6</v>
      </c>
      <c r="G12" t="s">
        <v>402</v>
      </c>
      <c r="H12" t="s">
        <v>9</v>
      </c>
      <c r="I12">
        <v>0.12278195318825498</v>
      </c>
      <c r="J12" t="s">
        <v>6</v>
      </c>
    </row>
    <row r="13" spans="2:10" x14ac:dyDescent="0.45">
      <c r="B13" t="s">
        <v>401</v>
      </c>
      <c r="C13" t="s">
        <v>10</v>
      </c>
      <c r="D13">
        <v>7.78618347863476E-4</v>
      </c>
      <c r="E13" t="s">
        <v>6</v>
      </c>
      <c r="G13" t="s">
        <v>402</v>
      </c>
      <c r="H13" t="s">
        <v>10</v>
      </c>
      <c r="I13">
        <v>7.8664208974316405E-2</v>
      </c>
      <c r="J13" t="s">
        <v>6</v>
      </c>
    </row>
    <row r="14" spans="2:10" x14ac:dyDescent="0.45">
      <c r="B14" t="s">
        <v>401</v>
      </c>
      <c r="C14" t="s">
        <v>11</v>
      </c>
      <c r="D14">
        <v>1.6432703426383448E-3</v>
      </c>
      <c r="E14" t="s">
        <v>6</v>
      </c>
      <c r="G14" t="s">
        <v>402</v>
      </c>
      <c r="H14" t="s">
        <v>11</v>
      </c>
      <c r="I14">
        <v>8.6312884417606997E-2</v>
      </c>
      <c r="J14" t="s">
        <v>6</v>
      </c>
    </row>
    <row r="15" spans="2:10" x14ac:dyDescent="0.45">
      <c r="B15" t="s">
        <v>401</v>
      </c>
      <c r="C15" t="s">
        <v>12</v>
      </c>
      <c r="D15">
        <v>0.28556801889460048</v>
      </c>
      <c r="E15" t="s">
        <v>6</v>
      </c>
      <c r="G15" t="s">
        <v>402</v>
      </c>
      <c r="H15" t="s">
        <v>12</v>
      </c>
      <c r="I15">
        <v>0.10347091822015211</v>
      </c>
      <c r="J15" t="s">
        <v>6</v>
      </c>
    </row>
    <row r="16" spans="2:10" x14ac:dyDescent="0.45">
      <c r="B16" t="s">
        <v>401</v>
      </c>
      <c r="C16" t="s">
        <v>13</v>
      </c>
      <c r="D16">
        <v>1.4459819421052041E-2</v>
      </c>
      <c r="E16" t="s">
        <v>6</v>
      </c>
      <c r="G16" t="s">
        <v>402</v>
      </c>
      <c r="H16" t="s">
        <v>13</v>
      </c>
      <c r="I16">
        <v>6.4257071163260696E-2</v>
      </c>
      <c r="J16" t="s">
        <v>6</v>
      </c>
    </row>
    <row r="17" spans="2:10" x14ac:dyDescent="0.45">
      <c r="B17" t="s">
        <v>401</v>
      </c>
      <c r="C17" t="s">
        <v>14</v>
      </c>
      <c r="D17">
        <v>3.8819729522793518E-3</v>
      </c>
      <c r="E17" t="s">
        <v>6</v>
      </c>
      <c r="G17" t="s">
        <v>402</v>
      </c>
      <c r="H17" t="s">
        <v>14</v>
      </c>
      <c r="I17">
        <v>6.2873072856914458E-2</v>
      </c>
      <c r="J17" t="s">
        <v>6</v>
      </c>
    </row>
    <row r="18" spans="2:10" x14ac:dyDescent="0.45">
      <c r="B18" t="s">
        <v>401</v>
      </c>
      <c r="C18" t="s">
        <v>15</v>
      </c>
      <c r="D18">
        <v>0.34980749982210441</v>
      </c>
      <c r="E18" t="s">
        <v>6</v>
      </c>
      <c r="G18" t="s">
        <v>402</v>
      </c>
      <c r="H18" t="s">
        <v>15</v>
      </c>
      <c r="I18">
        <v>6.4720811250193619E-2</v>
      </c>
      <c r="J18" t="s">
        <v>6</v>
      </c>
    </row>
    <row r="19" spans="2:10" x14ac:dyDescent="0.45">
      <c r="B19" t="s">
        <v>401</v>
      </c>
      <c r="C19" t="s">
        <v>16</v>
      </c>
      <c r="D19">
        <v>2.6005728274736527E-2</v>
      </c>
      <c r="E19" t="s">
        <v>6</v>
      </c>
      <c r="G19" t="s">
        <v>402</v>
      </c>
      <c r="H19" t="s">
        <v>16</v>
      </c>
      <c r="I19">
        <v>4.8616925744291981E-2</v>
      </c>
      <c r="J19" t="s">
        <v>6</v>
      </c>
    </row>
    <row r="20" spans="2:10" x14ac:dyDescent="0.45">
      <c r="B20" t="s">
        <v>401</v>
      </c>
      <c r="C20" t="s">
        <v>17</v>
      </c>
      <c r="D20">
        <v>5.226928757145202E-5</v>
      </c>
      <c r="E20" t="s">
        <v>6</v>
      </c>
      <c r="G20" t="s">
        <v>402</v>
      </c>
      <c r="H20" t="s">
        <v>17</v>
      </c>
      <c r="I20">
        <v>8.7337382348175854E-2</v>
      </c>
      <c r="J20" t="s">
        <v>6</v>
      </c>
    </row>
    <row r="21" spans="2:10" x14ac:dyDescent="0.45">
      <c r="B21" t="s">
        <v>401</v>
      </c>
      <c r="C21" t="s">
        <v>18</v>
      </c>
      <c r="D21">
        <v>0.18831893979485004</v>
      </c>
      <c r="E21" t="s">
        <v>6</v>
      </c>
      <c r="G21" t="s">
        <v>402</v>
      </c>
      <c r="H21" t="s">
        <v>18</v>
      </c>
      <c r="I21">
        <v>0.10486101813791979</v>
      </c>
      <c r="J21" t="s">
        <v>6</v>
      </c>
    </row>
    <row r="22" spans="2:10" x14ac:dyDescent="0.45">
      <c r="B22" t="s">
        <v>401</v>
      </c>
      <c r="C22" t="s">
        <v>19</v>
      </c>
      <c r="D22">
        <v>3.0396810994507851E-3</v>
      </c>
      <c r="E22" t="s">
        <v>6</v>
      </c>
      <c r="G22" t="s">
        <v>402</v>
      </c>
      <c r="H22" t="s">
        <v>19</v>
      </c>
      <c r="I22">
        <v>7.0847442372923966E-2</v>
      </c>
      <c r="J22" t="s">
        <v>6</v>
      </c>
    </row>
    <row r="23" spans="2:10" x14ac:dyDescent="0.45">
      <c r="B23" t="s">
        <v>403</v>
      </c>
      <c r="C23" t="s">
        <v>5</v>
      </c>
      <c r="D23">
        <v>0</v>
      </c>
      <c r="E23" t="s">
        <v>6</v>
      </c>
      <c r="G23" t="s">
        <v>404</v>
      </c>
      <c r="H23" t="s">
        <v>5</v>
      </c>
      <c r="I23">
        <v>0.10716148019717402</v>
      </c>
      <c r="J23" t="s">
        <v>6</v>
      </c>
    </row>
    <row r="24" spans="2:10" x14ac:dyDescent="0.45">
      <c r="B24" t="s">
        <v>403</v>
      </c>
      <c r="C24" t="s">
        <v>9</v>
      </c>
      <c r="D24">
        <v>0.13173938885205783</v>
      </c>
      <c r="E24" t="s">
        <v>6</v>
      </c>
      <c r="G24" t="s">
        <v>404</v>
      </c>
      <c r="H24" t="s">
        <v>9</v>
      </c>
      <c r="I24">
        <v>0.12291851028083968</v>
      </c>
      <c r="J24" t="s">
        <v>6</v>
      </c>
    </row>
    <row r="25" spans="2:10" x14ac:dyDescent="0.45">
      <c r="B25" t="s">
        <v>403</v>
      </c>
      <c r="C25" t="s">
        <v>10</v>
      </c>
      <c r="D25">
        <v>1.0276295942425286E-3</v>
      </c>
      <c r="E25" t="s">
        <v>6</v>
      </c>
      <c r="G25" t="s">
        <v>404</v>
      </c>
      <c r="H25" t="s">
        <v>10</v>
      </c>
      <c r="I25">
        <v>7.9253852514337392E-2</v>
      </c>
      <c r="J25" t="s">
        <v>6</v>
      </c>
    </row>
    <row r="26" spans="2:10" x14ac:dyDescent="0.45">
      <c r="B26" t="s">
        <v>403</v>
      </c>
      <c r="C26" t="s">
        <v>11</v>
      </c>
      <c r="D26">
        <v>1.5530455094340261E-3</v>
      </c>
      <c r="E26" t="s">
        <v>6</v>
      </c>
      <c r="G26" t="s">
        <v>404</v>
      </c>
      <c r="H26" t="s">
        <v>11</v>
      </c>
      <c r="I26">
        <v>8.5608204550621569E-2</v>
      </c>
      <c r="J26" t="s">
        <v>6</v>
      </c>
    </row>
    <row r="27" spans="2:10" x14ac:dyDescent="0.45">
      <c r="B27" t="s">
        <v>403</v>
      </c>
      <c r="C27" t="s">
        <v>12</v>
      </c>
      <c r="D27">
        <v>0.28045630904922292</v>
      </c>
      <c r="E27" t="s">
        <v>6</v>
      </c>
      <c r="G27" t="s">
        <v>404</v>
      </c>
      <c r="H27" t="s">
        <v>12</v>
      </c>
      <c r="I27">
        <v>0.10092827794398733</v>
      </c>
      <c r="J27" t="s">
        <v>6</v>
      </c>
    </row>
    <row r="28" spans="2:10" x14ac:dyDescent="0.45">
      <c r="B28" t="s">
        <v>403</v>
      </c>
      <c r="C28" t="s">
        <v>13</v>
      </c>
      <c r="D28">
        <v>1.5458170156936211E-2</v>
      </c>
      <c r="E28" t="s">
        <v>6</v>
      </c>
      <c r="G28" t="s">
        <v>404</v>
      </c>
      <c r="H28" t="s">
        <v>13</v>
      </c>
      <c r="I28">
        <v>6.279945944870835E-2</v>
      </c>
      <c r="J28" t="s">
        <v>6</v>
      </c>
    </row>
    <row r="29" spans="2:10" x14ac:dyDescent="0.45">
      <c r="B29" t="s">
        <v>403</v>
      </c>
      <c r="C29" t="s">
        <v>14</v>
      </c>
      <c r="D29">
        <v>3.4824428156862812E-3</v>
      </c>
      <c r="E29" t="s">
        <v>6</v>
      </c>
      <c r="G29" t="s">
        <v>404</v>
      </c>
      <c r="H29" t="s">
        <v>14</v>
      </c>
      <c r="I29">
        <v>6.2225086239544376E-2</v>
      </c>
      <c r="J29" t="s">
        <v>6</v>
      </c>
    </row>
    <row r="30" spans="2:10" x14ac:dyDescent="0.45">
      <c r="B30" t="s">
        <v>403</v>
      </c>
      <c r="C30" t="s">
        <v>15</v>
      </c>
      <c r="D30">
        <v>0.34167687136252617</v>
      </c>
      <c r="E30" t="s">
        <v>6</v>
      </c>
      <c r="G30" t="s">
        <v>404</v>
      </c>
      <c r="H30" t="s">
        <v>15</v>
      </c>
      <c r="I30">
        <v>6.200601043566023E-2</v>
      </c>
      <c r="J30" t="s">
        <v>6</v>
      </c>
    </row>
    <row r="31" spans="2:10" x14ac:dyDescent="0.45">
      <c r="B31" t="s">
        <v>403</v>
      </c>
      <c r="C31" t="s">
        <v>16</v>
      </c>
      <c r="D31">
        <v>2.7293326770756906E-2</v>
      </c>
      <c r="E31" t="s">
        <v>6</v>
      </c>
      <c r="G31" t="s">
        <v>404</v>
      </c>
      <c r="H31" t="s">
        <v>16</v>
      </c>
      <c r="I31">
        <v>4.7390070133568045E-2</v>
      </c>
      <c r="J31" t="s">
        <v>6</v>
      </c>
    </row>
    <row r="32" spans="2:10" x14ac:dyDescent="0.45">
      <c r="B32" t="s">
        <v>403</v>
      </c>
      <c r="C32" t="s">
        <v>17</v>
      </c>
      <c r="D32">
        <v>4.2550260392831969E-5</v>
      </c>
      <c r="E32" t="s">
        <v>6</v>
      </c>
      <c r="G32" t="s">
        <v>404</v>
      </c>
      <c r="H32" t="s">
        <v>17</v>
      </c>
      <c r="I32">
        <v>8.9562275100505642E-2</v>
      </c>
      <c r="J32" t="s">
        <v>6</v>
      </c>
    </row>
    <row r="33" spans="2:10" x14ac:dyDescent="0.45">
      <c r="B33" t="s">
        <v>403</v>
      </c>
      <c r="C33" t="s">
        <v>18</v>
      </c>
      <c r="D33">
        <v>0.19384764791079681</v>
      </c>
      <c r="E33" t="s">
        <v>6</v>
      </c>
      <c r="G33" t="s">
        <v>404</v>
      </c>
      <c r="H33" t="s">
        <v>18</v>
      </c>
      <c r="I33">
        <v>0.10731393924256331</v>
      </c>
      <c r="J33" t="s">
        <v>6</v>
      </c>
    </row>
    <row r="34" spans="2:10" x14ac:dyDescent="0.45">
      <c r="B34" t="s">
        <v>403</v>
      </c>
      <c r="C34" t="s">
        <v>19</v>
      </c>
      <c r="D34">
        <v>3.4226177179475913E-3</v>
      </c>
      <c r="E34" t="s">
        <v>6</v>
      </c>
      <c r="G34" t="s">
        <v>404</v>
      </c>
      <c r="H34" t="s">
        <v>19</v>
      </c>
      <c r="I34">
        <v>7.2832833912488626E-2</v>
      </c>
      <c r="J34" t="s">
        <v>6</v>
      </c>
    </row>
    <row r="35" spans="2:10" x14ac:dyDescent="0.45">
      <c r="B35" t="s">
        <v>405</v>
      </c>
      <c r="C35" t="s">
        <v>5</v>
      </c>
      <c r="D35">
        <v>0</v>
      </c>
      <c r="E35" t="s">
        <v>6</v>
      </c>
      <c r="G35" t="s">
        <v>406</v>
      </c>
      <c r="H35" t="s">
        <v>5</v>
      </c>
      <c r="I35">
        <v>0.10675606127250813</v>
      </c>
      <c r="J35" t="s">
        <v>6</v>
      </c>
    </row>
    <row r="36" spans="2:10" x14ac:dyDescent="0.45">
      <c r="B36" t="s">
        <v>405</v>
      </c>
      <c r="C36" t="s">
        <v>9</v>
      </c>
      <c r="D36">
        <v>0.13062932237992317</v>
      </c>
      <c r="E36" t="s">
        <v>6</v>
      </c>
      <c r="G36" t="s">
        <v>406</v>
      </c>
      <c r="H36" t="s">
        <v>9</v>
      </c>
      <c r="I36">
        <v>0.12022633853665669</v>
      </c>
      <c r="J36" t="s">
        <v>6</v>
      </c>
    </row>
    <row r="37" spans="2:10" x14ac:dyDescent="0.45">
      <c r="B37" t="s">
        <v>405</v>
      </c>
      <c r="C37" t="s">
        <v>10</v>
      </c>
      <c r="D37">
        <v>6.6727679041481244E-4</v>
      </c>
      <c r="E37" t="s">
        <v>6</v>
      </c>
      <c r="G37" t="s">
        <v>406</v>
      </c>
      <c r="H37" t="s">
        <v>10</v>
      </c>
      <c r="I37">
        <v>8.1286137479383805E-2</v>
      </c>
      <c r="J37" t="s">
        <v>6</v>
      </c>
    </row>
    <row r="38" spans="2:10" x14ac:dyDescent="0.45">
      <c r="B38" t="s">
        <v>405</v>
      </c>
      <c r="C38" t="s">
        <v>11</v>
      </c>
      <c r="D38">
        <v>1.672131861366362E-3</v>
      </c>
      <c r="E38" t="s">
        <v>6</v>
      </c>
      <c r="G38" t="s">
        <v>406</v>
      </c>
      <c r="H38" t="s">
        <v>11</v>
      </c>
      <c r="I38">
        <v>8.3955758204958944E-2</v>
      </c>
      <c r="J38" t="s">
        <v>6</v>
      </c>
    </row>
    <row r="39" spans="2:10" x14ac:dyDescent="0.45">
      <c r="B39" t="s">
        <v>405</v>
      </c>
      <c r="C39" t="s">
        <v>12</v>
      </c>
      <c r="D39">
        <v>0.2882023468833812</v>
      </c>
      <c r="E39" t="s">
        <v>6</v>
      </c>
      <c r="G39" t="s">
        <v>406</v>
      </c>
      <c r="H39" t="s">
        <v>12</v>
      </c>
      <c r="I39">
        <v>9.3221161166884031E-2</v>
      </c>
      <c r="J39" t="s">
        <v>6</v>
      </c>
    </row>
    <row r="40" spans="2:10" x14ac:dyDescent="0.45">
      <c r="B40" t="s">
        <v>405</v>
      </c>
      <c r="C40" t="s">
        <v>13</v>
      </c>
      <c r="D40">
        <v>1.4742740323569732E-2</v>
      </c>
      <c r="E40" t="s">
        <v>6</v>
      </c>
      <c r="G40" t="s">
        <v>406</v>
      </c>
      <c r="H40" t="s">
        <v>13</v>
      </c>
      <c r="I40">
        <v>6.1862722905701023E-2</v>
      </c>
      <c r="J40" t="s">
        <v>6</v>
      </c>
    </row>
    <row r="41" spans="2:10" x14ac:dyDescent="0.45">
      <c r="B41" t="s">
        <v>405</v>
      </c>
      <c r="C41" t="s">
        <v>14</v>
      </c>
      <c r="D41">
        <v>4.0722873369028363E-3</v>
      </c>
      <c r="E41" t="s">
        <v>6</v>
      </c>
      <c r="G41" t="s">
        <v>406</v>
      </c>
      <c r="H41" t="s">
        <v>14</v>
      </c>
      <c r="I41">
        <v>6.2973413481104773E-2</v>
      </c>
      <c r="J41" t="s">
        <v>6</v>
      </c>
    </row>
    <row r="42" spans="2:10" x14ac:dyDescent="0.45">
      <c r="B42" t="s">
        <v>405</v>
      </c>
      <c r="C42" t="s">
        <v>15</v>
      </c>
      <c r="D42">
        <v>0.33930572799610609</v>
      </c>
      <c r="E42" t="s">
        <v>6</v>
      </c>
      <c r="G42" t="s">
        <v>406</v>
      </c>
      <c r="H42" t="s">
        <v>15</v>
      </c>
      <c r="I42">
        <v>5.8922429489717411E-2</v>
      </c>
      <c r="J42" t="s">
        <v>6</v>
      </c>
    </row>
    <row r="43" spans="2:10" x14ac:dyDescent="0.45">
      <c r="B43" t="s">
        <v>405</v>
      </c>
      <c r="C43" t="s">
        <v>16</v>
      </c>
      <c r="D43">
        <v>2.6160610910456929E-2</v>
      </c>
      <c r="E43" t="s">
        <v>6</v>
      </c>
      <c r="G43" t="s">
        <v>406</v>
      </c>
      <c r="H43" t="s">
        <v>16</v>
      </c>
      <c r="I43">
        <v>4.4433351160117936E-2</v>
      </c>
      <c r="J43" t="s">
        <v>6</v>
      </c>
    </row>
    <row r="44" spans="2:10" x14ac:dyDescent="0.45">
      <c r="B44" t="s">
        <v>405</v>
      </c>
      <c r="C44" t="s">
        <v>17</v>
      </c>
      <c r="D44">
        <v>5.8109686225952116E-5</v>
      </c>
      <c r="E44" t="s">
        <v>6</v>
      </c>
      <c r="G44" t="s">
        <v>406</v>
      </c>
      <c r="H44" t="s">
        <v>17</v>
      </c>
      <c r="I44">
        <v>9.730965062910707E-2</v>
      </c>
      <c r="J44" t="s">
        <v>6</v>
      </c>
    </row>
    <row r="45" spans="2:10" x14ac:dyDescent="0.45">
      <c r="B45" t="s">
        <v>405</v>
      </c>
      <c r="C45" t="s">
        <v>18</v>
      </c>
      <c r="D45">
        <v>0.19147863629745154</v>
      </c>
      <c r="E45" t="s">
        <v>6</v>
      </c>
      <c r="G45" t="s">
        <v>406</v>
      </c>
      <c r="H45" t="s">
        <v>18</v>
      </c>
      <c r="I45">
        <v>0.1113034188112846</v>
      </c>
      <c r="J45" t="s">
        <v>6</v>
      </c>
    </row>
    <row r="46" spans="2:10" x14ac:dyDescent="0.45">
      <c r="B46" t="s">
        <v>405</v>
      </c>
      <c r="C46" t="s">
        <v>19</v>
      </c>
      <c r="D46">
        <v>3.0108095342029433E-3</v>
      </c>
      <c r="E46" t="s">
        <v>6</v>
      </c>
      <c r="G46" t="s">
        <v>406</v>
      </c>
      <c r="H46" t="s">
        <v>19</v>
      </c>
      <c r="I46">
        <v>7.7749556862580768E-2</v>
      </c>
      <c r="J46" t="s">
        <v>6</v>
      </c>
    </row>
    <row r="47" spans="2:10" x14ac:dyDescent="0.45">
      <c r="B47" t="s">
        <v>407</v>
      </c>
      <c r="C47" t="s">
        <v>5</v>
      </c>
      <c r="D47">
        <v>0</v>
      </c>
      <c r="E47" t="s">
        <v>6</v>
      </c>
      <c r="G47" t="s">
        <v>408</v>
      </c>
      <c r="H47" t="s">
        <v>5</v>
      </c>
      <c r="I47">
        <v>0.10742715311832711</v>
      </c>
      <c r="J47" t="s">
        <v>6</v>
      </c>
    </row>
    <row r="48" spans="2:10" x14ac:dyDescent="0.45">
      <c r="B48" t="s">
        <v>407</v>
      </c>
      <c r="C48" t="s">
        <v>9</v>
      </c>
      <c r="D48">
        <v>0.13278596083005575</v>
      </c>
      <c r="E48" t="s">
        <v>6</v>
      </c>
      <c r="G48" t="s">
        <v>408</v>
      </c>
      <c r="H48" t="s">
        <v>9</v>
      </c>
      <c r="I48">
        <v>0.12093575752254261</v>
      </c>
      <c r="J48" t="s">
        <v>6</v>
      </c>
    </row>
    <row r="49" spans="2:10" x14ac:dyDescent="0.45">
      <c r="B49" t="s">
        <v>407</v>
      </c>
      <c r="C49" t="s">
        <v>10</v>
      </c>
      <c r="D49">
        <v>9.5982050591390702E-4</v>
      </c>
      <c r="E49" t="s">
        <v>6</v>
      </c>
      <c r="G49" t="s">
        <v>408</v>
      </c>
      <c r="H49" t="s">
        <v>10</v>
      </c>
      <c r="I49">
        <v>8.064432882927651E-2</v>
      </c>
      <c r="J49" t="s">
        <v>6</v>
      </c>
    </row>
    <row r="50" spans="2:10" x14ac:dyDescent="0.45">
      <c r="B50" t="s">
        <v>407</v>
      </c>
      <c r="C50" t="s">
        <v>11</v>
      </c>
      <c r="D50">
        <v>1.4623247409255931E-3</v>
      </c>
      <c r="E50" t="s">
        <v>6</v>
      </c>
      <c r="G50" t="s">
        <v>408</v>
      </c>
      <c r="H50" t="s">
        <v>11</v>
      </c>
      <c r="I50">
        <v>8.3712934871073189E-2</v>
      </c>
      <c r="J50" t="s">
        <v>6</v>
      </c>
    </row>
    <row r="51" spans="2:10" x14ac:dyDescent="0.45">
      <c r="B51" t="s">
        <v>407</v>
      </c>
      <c r="C51" t="s">
        <v>12</v>
      </c>
      <c r="D51">
        <v>0.28375024226192119</v>
      </c>
      <c r="E51" t="s">
        <v>6</v>
      </c>
      <c r="G51" t="s">
        <v>408</v>
      </c>
      <c r="H51" t="s">
        <v>12</v>
      </c>
      <c r="I51">
        <v>9.4405554185519838E-2</v>
      </c>
      <c r="J51" t="s">
        <v>6</v>
      </c>
    </row>
    <row r="52" spans="2:10" x14ac:dyDescent="0.45">
      <c r="B52" t="s">
        <v>407</v>
      </c>
      <c r="C52" t="s">
        <v>13</v>
      </c>
      <c r="D52">
        <v>1.6442627079738745E-2</v>
      </c>
      <c r="E52" t="s">
        <v>6</v>
      </c>
      <c r="G52" t="s">
        <v>408</v>
      </c>
      <c r="H52" t="s">
        <v>13</v>
      </c>
      <c r="I52">
        <v>6.2148417943415968E-2</v>
      </c>
      <c r="J52" t="s">
        <v>6</v>
      </c>
    </row>
    <row r="53" spans="2:10" x14ac:dyDescent="0.45">
      <c r="B53" t="s">
        <v>407</v>
      </c>
      <c r="C53" t="s">
        <v>14</v>
      </c>
      <c r="D53">
        <v>3.429539262365318E-3</v>
      </c>
      <c r="E53" t="s">
        <v>6</v>
      </c>
      <c r="G53" t="s">
        <v>408</v>
      </c>
      <c r="H53" t="s">
        <v>14</v>
      </c>
      <c r="I53">
        <v>6.0937372791008221E-2</v>
      </c>
      <c r="J53" t="s">
        <v>6</v>
      </c>
    </row>
    <row r="54" spans="2:10" x14ac:dyDescent="0.45">
      <c r="B54" t="s">
        <v>407</v>
      </c>
      <c r="C54" t="s">
        <v>15</v>
      </c>
      <c r="D54">
        <v>0.33710806159451839</v>
      </c>
      <c r="E54" t="s">
        <v>6</v>
      </c>
      <c r="G54" t="s">
        <v>408</v>
      </c>
      <c r="H54" t="s">
        <v>15</v>
      </c>
      <c r="I54">
        <v>5.8873354293984263E-2</v>
      </c>
      <c r="J54" t="s">
        <v>6</v>
      </c>
    </row>
    <row r="55" spans="2:10" x14ac:dyDescent="0.45">
      <c r="B55" t="s">
        <v>407</v>
      </c>
      <c r="C55" t="s">
        <v>16</v>
      </c>
      <c r="D55">
        <v>2.8044197800598036E-2</v>
      </c>
      <c r="E55" t="s">
        <v>6</v>
      </c>
      <c r="G55" t="s">
        <v>408</v>
      </c>
      <c r="H55" t="s">
        <v>16</v>
      </c>
      <c r="I55">
        <v>4.2107860000794084E-2</v>
      </c>
      <c r="J55" t="s">
        <v>6</v>
      </c>
    </row>
    <row r="56" spans="2:10" x14ac:dyDescent="0.45">
      <c r="B56" t="s">
        <v>407</v>
      </c>
      <c r="C56" t="s">
        <v>17</v>
      </c>
      <c r="D56">
        <v>3.8595896082072631E-5</v>
      </c>
      <c r="E56" t="s">
        <v>6</v>
      </c>
      <c r="G56" t="s">
        <v>408</v>
      </c>
      <c r="H56" t="s">
        <v>17</v>
      </c>
      <c r="I56">
        <v>9.9007292288076185E-2</v>
      </c>
      <c r="J56" t="s">
        <v>6</v>
      </c>
    </row>
    <row r="57" spans="2:10" x14ac:dyDescent="0.45">
      <c r="B57" t="s">
        <v>407</v>
      </c>
      <c r="C57" t="s">
        <v>18</v>
      </c>
      <c r="D57">
        <v>0.19252670947727579</v>
      </c>
      <c r="E57" t="s">
        <v>6</v>
      </c>
      <c r="G57" t="s">
        <v>408</v>
      </c>
      <c r="H57" t="s">
        <v>18</v>
      </c>
      <c r="I57">
        <v>0.1113188652555032</v>
      </c>
      <c r="J57" t="s">
        <v>6</v>
      </c>
    </row>
    <row r="58" spans="2:10" x14ac:dyDescent="0.45">
      <c r="B58" t="s">
        <v>407</v>
      </c>
      <c r="C58" t="s">
        <v>19</v>
      </c>
      <c r="D58">
        <v>3.4519205506038791E-3</v>
      </c>
      <c r="E58" t="s">
        <v>6</v>
      </c>
      <c r="G58" t="s">
        <v>408</v>
      </c>
      <c r="H58" t="s">
        <v>19</v>
      </c>
      <c r="I58">
        <v>7.8481108900478824E-2</v>
      </c>
      <c r="J58" t="s">
        <v>6</v>
      </c>
    </row>
    <row r="59" spans="2:10" x14ac:dyDescent="0.45">
      <c r="B59" t="s">
        <v>409</v>
      </c>
      <c r="C59" t="s">
        <v>5</v>
      </c>
      <c r="D59">
        <v>0</v>
      </c>
      <c r="E59" t="s">
        <v>6</v>
      </c>
      <c r="G59" t="s">
        <v>410</v>
      </c>
      <c r="H59" t="s">
        <v>5</v>
      </c>
      <c r="I59">
        <v>0.11345132423772511</v>
      </c>
      <c r="J59" t="s">
        <v>6</v>
      </c>
    </row>
    <row r="60" spans="2:10" x14ac:dyDescent="0.45">
      <c r="B60" t="s">
        <v>409</v>
      </c>
      <c r="C60" t="s">
        <v>9</v>
      </c>
      <c r="D60">
        <v>0.13299949054856033</v>
      </c>
      <c r="E60" t="s">
        <v>6</v>
      </c>
      <c r="G60" t="s">
        <v>410</v>
      </c>
      <c r="H60" t="s">
        <v>9</v>
      </c>
      <c r="I60">
        <v>0.12964042829339598</v>
      </c>
      <c r="J60" t="s">
        <v>6</v>
      </c>
    </row>
    <row r="61" spans="2:10" x14ac:dyDescent="0.45">
      <c r="B61" t="s">
        <v>409</v>
      </c>
      <c r="C61" t="s">
        <v>10</v>
      </c>
      <c r="D61">
        <v>8.2497433081759502E-4</v>
      </c>
      <c r="E61" t="s">
        <v>6</v>
      </c>
      <c r="G61" t="s">
        <v>410</v>
      </c>
      <c r="H61" t="s">
        <v>10</v>
      </c>
      <c r="I61">
        <v>8.2581588798332869E-2</v>
      </c>
      <c r="J61" t="s">
        <v>6</v>
      </c>
    </row>
    <row r="62" spans="2:10" x14ac:dyDescent="0.45">
      <c r="B62" t="s">
        <v>409</v>
      </c>
      <c r="C62" t="s">
        <v>11</v>
      </c>
      <c r="D62">
        <v>1.5575412934569323E-3</v>
      </c>
      <c r="E62" t="s">
        <v>6</v>
      </c>
      <c r="G62" t="s">
        <v>410</v>
      </c>
      <c r="H62" t="s">
        <v>11</v>
      </c>
      <c r="I62">
        <v>8.3845266321781506E-2</v>
      </c>
      <c r="J62" t="s">
        <v>6</v>
      </c>
    </row>
    <row r="63" spans="2:10" x14ac:dyDescent="0.45">
      <c r="B63" t="s">
        <v>409</v>
      </c>
      <c r="C63" t="s">
        <v>12</v>
      </c>
      <c r="D63">
        <v>0.28487236823257095</v>
      </c>
      <c r="E63" t="s">
        <v>6</v>
      </c>
      <c r="G63" t="s">
        <v>410</v>
      </c>
      <c r="H63" t="s">
        <v>12</v>
      </c>
      <c r="I63">
        <v>9.7730394290657399E-2</v>
      </c>
      <c r="J63" t="s">
        <v>6</v>
      </c>
    </row>
    <row r="64" spans="2:10" x14ac:dyDescent="0.45">
      <c r="B64" t="s">
        <v>409</v>
      </c>
      <c r="C64" t="s">
        <v>13</v>
      </c>
      <c r="D64">
        <v>1.5460767418527505E-2</v>
      </c>
      <c r="E64" t="s">
        <v>6</v>
      </c>
      <c r="G64" t="s">
        <v>410</v>
      </c>
      <c r="H64" t="s">
        <v>13</v>
      </c>
      <c r="I64">
        <v>6.2421951147111077E-2</v>
      </c>
      <c r="J64" t="s">
        <v>6</v>
      </c>
    </row>
    <row r="65" spans="2:10" x14ac:dyDescent="0.45">
      <c r="B65" t="s">
        <v>409</v>
      </c>
      <c r="C65" t="s">
        <v>14</v>
      </c>
      <c r="D65">
        <v>3.6947955200181586E-3</v>
      </c>
      <c r="E65" t="s">
        <v>6</v>
      </c>
      <c r="G65" t="s">
        <v>410</v>
      </c>
      <c r="H65" t="s">
        <v>14</v>
      </c>
      <c r="I65">
        <v>5.9913836315609516E-2</v>
      </c>
      <c r="J65" t="s">
        <v>6</v>
      </c>
    </row>
    <row r="66" spans="2:10" x14ac:dyDescent="0.45">
      <c r="B66" t="s">
        <v>409</v>
      </c>
      <c r="C66" t="s">
        <v>15</v>
      </c>
      <c r="D66">
        <v>0.33822535509529617</v>
      </c>
      <c r="E66" t="s">
        <v>6</v>
      </c>
      <c r="G66" t="s">
        <v>410</v>
      </c>
      <c r="H66" t="s">
        <v>15</v>
      </c>
      <c r="I66">
        <v>5.6802808407233632E-2</v>
      </c>
      <c r="J66" t="s">
        <v>6</v>
      </c>
    </row>
    <row r="67" spans="2:10" x14ac:dyDescent="0.45">
      <c r="B67" t="s">
        <v>409</v>
      </c>
      <c r="C67" t="s">
        <v>16</v>
      </c>
      <c r="D67">
        <v>2.7230586746127657E-2</v>
      </c>
      <c r="E67" t="s">
        <v>6</v>
      </c>
      <c r="G67" t="s">
        <v>410</v>
      </c>
      <c r="H67" t="s">
        <v>16</v>
      </c>
      <c r="I67">
        <v>4.3283817590463548E-2</v>
      </c>
      <c r="J67" t="s">
        <v>6</v>
      </c>
    </row>
    <row r="68" spans="2:10" x14ac:dyDescent="0.45">
      <c r="B68" t="s">
        <v>409</v>
      </c>
      <c r="C68" t="s">
        <v>17</v>
      </c>
      <c r="D68">
        <v>4.8314624173405282E-5</v>
      </c>
      <c r="E68" t="s">
        <v>6</v>
      </c>
      <c r="G68" t="s">
        <v>410</v>
      </c>
      <c r="H68" t="s">
        <v>17</v>
      </c>
      <c r="I68">
        <v>9.1513334487700312E-2</v>
      </c>
      <c r="J68" t="s">
        <v>6</v>
      </c>
    </row>
    <row r="69" spans="2:10" x14ac:dyDescent="0.45">
      <c r="B69" t="s">
        <v>409</v>
      </c>
      <c r="C69" t="s">
        <v>18</v>
      </c>
      <c r="D69">
        <v>0.19184549542164192</v>
      </c>
      <c r="E69" t="s">
        <v>6</v>
      </c>
      <c r="G69" t="s">
        <v>410</v>
      </c>
      <c r="H69" t="s">
        <v>18</v>
      </c>
      <c r="I69">
        <v>0.10437027939740161</v>
      </c>
      <c r="J69" t="s">
        <v>6</v>
      </c>
    </row>
    <row r="70" spans="2:10" x14ac:dyDescent="0.45">
      <c r="B70" t="s">
        <v>409</v>
      </c>
      <c r="C70" t="s">
        <v>19</v>
      </c>
      <c r="D70">
        <v>3.2403107688086571E-3</v>
      </c>
      <c r="E70" t="s">
        <v>6</v>
      </c>
      <c r="G70" t="s">
        <v>410</v>
      </c>
      <c r="H70" t="s">
        <v>19</v>
      </c>
      <c r="I70">
        <v>7.4444970712586531E-2</v>
      </c>
      <c r="J70" t="s">
        <v>6</v>
      </c>
    </row>
    <row r="71" spans="2:10" x14ac:dyDescent="0.45">
      <c r="B71" t="s">
        <v>411</v>
      </c>
      <c r="C71" t="s">
        <v>5</v>
      </c>
      <c r="D71">
        <v>0</v>
      </c>
      <c r="E71" t="s">
        <v>6</v>
      </c>
      <c r="G71" t="s">
        <v>412</v>
      </c>
      <c r="H71" t="s">
        <v>5</v>
      </c>
      <c r="I71">
        <v>0.11721346739348749</v>
      </c>
      <c r="J71" t="s">
        <v>6</v>
      </c>
    </row>
    <row r="72" spans="2:10" x14ac:dyDescent="0.45">
      <c r="B72" t="s">
        <v>411</v>
      </c>
      <c r="C72" t="s">
        <v>9</v>
      </c>
      <c r="D72">
        <v>0.12181979535270721</v>
      </c>
      <c r="E72" t="s">
        <v>6</v>
      </c>
      <c r="G72" t="s">
        <v>412</v>
      </c>
      <c r="H72" t="s">
        <v>9</v>
      </c>
      <c r="I72">
        <v>0.13137403832623293</v>
      </c>
      <c r="J72" t="s">
        <v>6</v>
      </c>
    </row>
    <row r="73" spans="2:10" x14ac:dyDescent="0.45">
      <c r="B73" t="s">
        <v>411</v>
      </c>
      <c r="C73" t="s">
        <v>10</v>
      </c>
      <c r="D73">
        <v>7.3465394764607526E-4</v>
      </c>
      <c r="E73" t="s">
        <v>6</v>
      </c>
      <c r="G73" t="s">
        <v>412</v>
      </c>
      <c r="H73" t="s">
        <v>10</v>
      </c>
      <c r="I73">
        <v>8.47606194223543E-2</v>
      </c>
      <c r="J73" t="s">
        <v>6</v>
      </c>
    </row>
    <row r="74" spans="2:10" x14ac:dyDescent="0.45">
      <c r="B74" t="s">
        <v>411</v>
      </c>
      <c r="C74" t="s">
        <v>11</v>
      </c>
      <c r="D74">
        <v>1.8853368213856908E-3</v>
      </c>
      <c r="E74" t="s">
        <v>6</v>
      </c>
      <c r="G74" t="s">
        <v>412</v>
      </c>
      <c r="H74" t="s">
        <v>11</v>
      </c>
      <c r="I74">
        <v>8.1168896665189616E-2</v>
      </c>
      <c r="J74" t="s">
        <v>6</v>
      </c>
    </row>
    <row r="75" spans="2:10" x14ac:dyDescent="0.45">
      <c r="B75" t="s">
        <v>411</v>
      </c>
      <c r="C75" t="s">
        <v>12</v>
      </c>
      <c r="D75">
        <v>0.29707779668109624</v>
      </c>
      <c r="E75" t="s">
        <v>6</v>
      </c>
      <c r="G75" t="s">
        <v>412</v>
      </c>
      <c r="H75" t="s">
        <v>12</v>
      </c>
      <c r="I75">
        <v>9.3260620486299267E-2</v>
      </c>
      <c r="J75" t="s">
        <v>6</v>
      </c>
    </row>
    <row r="76" spans="2:10" x14ac:dyDescent="0.45">
      <c r="B76" t="s">
        <v>411</v>
      </c>
      <c r="C76" t="s">
        <v>13</v>
      </c>
      <c r="D76">
        <v>1.3464998270986668E-2</v>
      </c>
      <c r="E76" t="s">
        <v>6</v>
      </c>
      <c r="G76" t="s">
        <v>412</v>
      </c>
      <c r="H76" t="s">
        <v>13</v>
      </c>
      <c r="I76">
        <v>6.1310344374085696E-2</v>
      </c>
      <c r="J76" t="s">
        <v>6</v>
      </c>
    </row>
    <row r="77" spans="2:10" x14ac:dyDescent="0.45">
      <c r="B77" t="s">
        <v>411</v>
      </c>
      <c r="C77" t="s">
        <v>14</v>
      </c>
      <c r="D77">
        <v>4.6695441378941313E-3</v>
      </c>
      <c r="E77" t="s">
        <v>6</v>
      </c>
      <c r="G77" t="s">
        <v>412</v>
      </c>
      <c r="H77" t="s">
        <v>14</v>
      </c>
      <c r="I77">
        <v>5.846280524051823E-2</v>
      </c>
      <c r="J77" t="s">
        <v>6</v>
      </c>
    </row>
    <row r="78" spans="2:10" x14ac:dyDescent="0.45">
      <c r="B78" t="s">
        <v>411</v>
      </c>
      <c r="C78" t="s">
        <v>15</v>
      </c>
      <c r="D78">
        <v>0.35472028953802343</v>
      </c>
      <c r="E78" t="s">
        <v>6</v>
      </c>
      <c r="G78" t="s">
        <v>412</v>
      </c>
      <c r="H78" t="s">
        <v>15</v>
      </c>
      <c r="I78">
        <v>5.6286020525081019E-2</v>
      </c>
      <c r="J78" t="s">
        <v>6</v>
      </c>
    </row>
    <row r="79" spans="2:10" x14ac:dyDescent="0.45">
      <c r="B79" t="s">
        <v>411</v>
      </c>
      <c r="C79" t="s">
        <v>16</v>
      </c>
      <c r="D79">
        <v>2.3624892277271839E-2</v>
      </c>
      <c r="E79" t="s">
        <v>6</v>
      </c>
      <c r="G79" t="s">
        <v>412</v>
      </c>
      <c r="H79" t="s">
        <v>16</v>
      </c>
      <c r="I79">
        <v>4.1295905339639581E-2</v>
      </c>
      <c r="J79" t="s">
        <v>6</v>
      </c>
    </row>
    <row r="80" spans="2:10" x14ac:dyDescent="0.45">
      <c r="B80" t="s">
        <v>411</v>
      </c>
      <c r="C80" t="s">
        <v>17</v>
      </c>
      <c r="D80">
        <v>8.129426226021658E-5</v>
      </c>
      <c r="E80" t="s">
        <v>6</v>
      </c>
      <c r="G80" t="s">
        <v>412</v>
      </c>
      <c r="H80" t="s">
        <v>17</v>
      </c>
      <c r="I80">
        <v>9.5404967095980939E-2</v>
      </c>
      <c r="J80" t="s">
        <v>6</v>
      </c>
    </row>
    <row r="81" spans="2:10" x14ac:dyDescent="0.45">
      <c r="B81" t="s">
        <v>411</v>
      </c>
      <c r="C81" t="s">
        <v>18</v>
      </c>
      <c r="D81">
        <v>0.17926450942942107</v>
      </c>
      <c r="E81" t="s">
        <v>6</v>
      </c>
      <c r="G81" t="s">
        <v>412</v>
      </c>
      <c r="H81" t="s">
        <v>18</v>
      </c>
      <c r="I81">
        <v>0.10510994661566346</v>
      </c>
      <c r="J81" t="s">
        <v>6</v>
      </c>
    </row>
    <row r="82" spans="2:10" x14ac:dyDescent="0.45">
      <c r="B82" t="s">
        <v>411</v>
      </c>
      <c r="C82" t="s">
        <v>19</v>
      </c>
      <c r="D82">
        <v>2.6568892813066138E-3</v>
      </c>
      <c r="E82" t="s">
        <v>6</v>
      </c>
      <c r="G82" t="s">
        <v>412</v>
      </c>
      <c r="H82" t="s">
        <v>19</v>
      </c>
      <c r="I82">
        <v>7.4352368515467462E-2</v>
      </c>
      <c r="J82" t="s">
        <v>6</v>
      </c>
    </row>
    <row r="83" spans="2:10" x14ac:dyDescent="0.45">
      <c r="B83" t="s">
        <v>413</v>
      </c>
      <c r="C83" t="s">
        <v>5</v>
      </c>
      <c r="D83">
        <v>0</v>
      </c>
      <c r="E83" t="s">
        <v>6</v>
      </c>
      <c r="G83" t="s">
        <v>414</v>
      </c>
      <c r="H83" t="s">
        <v>5</v>
      </c>
      <c r="I83">
        <v>0.11208898644443266</v>
      </c>
      <c r="J83" t="s">
        <v>6</v>
      </c>
    </row>
    <row r="84" spans="2:10" x14ac:dyDescent="0.45">
      <c r="B84" t="s">
        <v>413</v>
      </c>
      <c r="C84" t="s">
        <v>9</v>
      </c>
      <c r="D84">
        <v>0.12316509582836756</v>
      </c>
      <c r="E84" t="s">
        <v>6</v>
      </c>
      <c r="G84" t="s">
        <v>414</v>
      </c>
      <c r="H84" t="s">
        <v>9</v>
      </c>
      <c r="I84">
        <v>0.12633115784678897</v>
      </c>
      <c r="J84" t="s">
        <v>6</v>
      </c>
    </row>
    <row r="85" spans="2:10" x14ac:dyDescent="0.45">
      <c r="B85" t="s">
        <v>413</v>
      </c>
      <c r="C85" t="s">
        <v>10</v>
      </c>
      <c r="D85">
        <v>6.6732893424343014E-4</v>
      </c>
      <c r="E85" t="s">
        <v>6</v>
      </c>
      <c r="G85" t="s">
        <v>414</v>
      </c>
      <c r="H85" t="s">
        <v>10</v>
      </c>
      <c r="I85">
        <v>8.2778526289644841E-2</v>
      </c>
      <c r="J85" t="s">
        <v>6</v>
      </c>
    </row>
    <row r="86" spans="2:10" x14ac:dyDescent="0.45">
      <c r="B86" t="s">
        <v>413</v>
      </c>
      <c r="C86" t="s">
        <v>11</v>
      </c>
      <c r="D86">
        <v>1.757871104816993E-3</v>
      </c>
      <c r="E86" t="s">
        <v>6</v>
      </c>
      <c r="G86" t="s">
        <v>414</v>
      </c>
      <c r="H86" t="s">
        <v>11</v>
      </c>
      <c r="I86">
        <v>8.1631591094818892E-2</v>
      </c>
      <c r="J86" t="s">
        <v>6</v>
      </c>
    </row>
    <row r="87" spans="2:10" x14ac:dyDescent="0.45">
      <c r="B87" t="s">
        <v>413</v>
      </c>
      <c r="C87" t="s">
        <v>12</v>
      </c>
      <c r="D87">
        <v>0.29176488682252338</v>
      </c>
      <c r="E87" t="s">
        <v>6</v>
      </c>
      <c r="G87" t="s">
        <v>414</v>
      </c>
      <c r="H87" t="s">
        <v>12</v>
      </c>
      <c r="I87">
        <v>9.1969752583628855E-2</v>
      </c>
      <c r="J87" t="s">
        <v>6</v>
      </c>
    </row>
    <row r="88" spans="2:10" x14ac:dyDescent="0.45">
      <c r="B88" t="s">
        <v>413</v>
      </c>
      <c r="C88" t="s">
        <v>13</v>
      </c>
      <c r="D88">
        <v>1.3934013835206227E-2</v>
      </c>
      <c r="E88" t="s">
        <v>6</v>
      </c>
      <c r="G88" t="s">
        <v>414</v>
      </c>
      <c r="H88" t="s">
        <v>13</v>
      </c>
      <c r="I88">
        <v>6.0012328679860671E-2</v>
      </c>
      <c r="J88" t="s">
        <v>6</v>
      </c>
    </row>
    <row r="89" spans="2:10" x14ac:dyDescent="0.45">
      <c r="B89" t="s">
        <v>413</v>
      </c>
      <c r="C89" t="s">
        <v>14</v>
      </c>
      <c r="D89">
        <v>4.3001072309664327E-3</v>
      </c>
      <c r="E89" t="s">
        <v>6</v>
      </c>
      <c r="G89" t="s">
        <v>414</v>
      </c>
      <c r="H89" t="s">
        <v>14</v>
      </c>
      <c r="I89">
        <v>5.7816138181450573E-2</v>
      </c>
      <c r="J89" t="s">
        <v>6</v>
      </c>
    </row>
    <row r="90" spans="2:10" x14ac:dyDescent="0.45">
      <c r="B90" t="s">
        <v>413</v>
      </c>
      <c r="C90" t="s">
        <v>15</v>
      </c>
      <c r="D90">
        <v>0.35358021103528325</v>
      </c>
      <c r="E90" t="s">
        <v>6</v>
      </c>
      <c r="G90" t="s">
        <v>414</v>
      </c>
      <c r="H90" t="s">
        <v>15</v>
      </c>
      <c r="I90">
        <v>5.8811680486082506E-2</v>
      </c>
      <c r="J90" t="s">
        <v>6</v>
      </c>
    </row>
    <row r="91" spans="2:10" x14ac:dyDescent="0.45">
      <c r="B91" t="s">
        <v>413</v>
      </c>
      <c r="C91" t="s">
        <v>16</v>
      </c>
      <c r="D91">
        <v>2.4846591531202934E-2</v>
      </c>
      <c r="E91" t="s">
        <v>6</v>
      </c>
      <c r="G91" t="s">
        <v>414</v>
      </c>
      <c r="H91" t="s">
        <v>16</v>
      </c>
      <c r="I91">
        <v>4.0821363110212526E-2</v>
      </c>
      <c r="J91" t="s">
        <v>6</v>
      </c>
    </row>
    <row r="92" spans="2:10" x14ac:dyDescent="0.45">
      <c r="B92" t="s">
        <v>413</v>
      </c>
      <c r="C92" t="s">
        <v>17</v>
      </c>
      <c r="D92">
        <v>6.3086738599880149E-5</v>
      </c>
      <c r="E92" t="s">
        <v>6</v>
      </c>
      <c r="G92" t="s">
        <v>414</v>
      </c>
      <c r="H92" t="s">
        <v>17</v>
      </c>
      <c r="I92">
        <v>9.8004665989909992E-2</v>
      </c>
      <c r="J92" t="s">
        <v>6</v>
      </c>
    </row>
    <row r="93" spans="2:10" x14ac:dyDescent="0.45">
      <c r="B93" t="s">
        <v>413</v>
      </c>
      <c r="C93" t="s">
        <v>18</v>
      </c>
      <c r="D93">
        <v>0.18311076869370393</v>
      </c>
      <c r="E93" t="s">
        <v>6</v>
      </c>
      <c r="G93" t="s">
        <v>414</v>
      </c>
      <c r="H93" t="s">
        <v>18</v>
      </c>
      <c r="I93">
        <v>0.11172367517013258</v>
      </c>
      <c r="J93" t="s">
        <v>6</v>
      </c>
    </row>
    <row r="94" spans="2:10" x14ac:dyDescent="0.45">
      <c r="B94" t="s">
        <v>413</v>
      </c>
      <c r="C94" t="s">
        <v>19</v>
      </c>
      <c r="D94">
        <v>2.810038245083623E-3</v>
      </c>
      <c r="E94" t="s">
        <v>6</v>
      </c>
      <c r="G94" t="s">
        <v>414</v>
      </c>
      <c r="H94" t="s">
        <v>19</v>
      </c>
      <c r="I94">
        <v>7.8010134123038588E-2</v>
      </c>
      <c r="J94" t="s">
        <v>6</v>
      </c>
    </row>
    <row r="95" spans="2:10" x14ac:dyDescent="0.45">
      <c r="B95" t="s">
        <v>415</v>
      </c>
      <c r="C95" t="s">
        <v>5</v>
      </c>
      <c r="D95">
        <v>0</v>
      </c>
      <c r="E95" t="s">
        <v>6</v>
      </c>
      <c r="G95" t="s">
        <v>416</v>
      </c>
      <c r="H95" t="s">
        <v>5</v>
      </c>
      <c r="I95">
        <v>0.11616930771087905</v>
      </c>
      <c r="J95" t="s">
        <v>6</v>
      </c>
    </row>
    <row r="96" spans="2:10" x14ac:dyDescent="0.45">
      <c r="B96" t="s">
        <v>415</v>
      </c>
      <c r="C96" t="s">
        <v>9</v>
      </c>
      <c r="D96">
        <v>0.12356155650439607</v>
      </c>
      <c r="E96" t="s">
        <v>6</v>
      </c>
      <c r="G96" t="s">
        <v>416</v>
      </c>
      <c r="H96" t="s">
        <v>9</v>
      </c>
      <c r="I96">
        <v>0.13049445817666827</v>
      </c>
      <c r="J96" t="s">
        <v>6</v>
      </c>
    </row>
    <row r="97" spans="2:10" x14ac:dyDescent="0.45">
      <c r="B97" t="s">
        <v>415</v>
      </c>
      <c r="C97" t="s">
        <v>10</v>
      </c>
      <c r="D97">
        <v>5.3252444163692694E-4</v>
      </c>
      <c r="E97" t="s">
        <v>6</v>
      </c>
      <c r="G97" t="s">
        <v>416</v>
      </c>
      <c r="H97" t="s">
        <v>10</v>
      </c>
      <c r="I97">
        <v>8.4138823863224979E-2</v>
      </c>
      <c r="J97" t="s">
        <v>6</v>
      </c>
    </row>
    <row r="98" spans="2:10" x14ac:dyDescent="0.45">
      <c r="B98" t="s">
        <v>415</v>
      </c>
      <c r="C98" t="s">
        <v>11</v>
      </c>
      <c r="D98">
        <v>1.8673856580705113E-3</v>
      </c>
      <c r="E98" t="s">
        <v>6</v>
      </c>
      <c r="G98" t="s">
        <v>416</v>
      </c>
      <c r="H98" t="s">
        <v>11</v>
      </c>
      <c r="I98">
        <v>8.1292368467821507E-2</v>
      </c>
      <c r="J98" t="s">
        <v>6</v>
      </c>
    </row>
    <row r="99" spans="2:10" x14ac:dyDescent="0.45">
      <c r="B99" t="s">
        <v>415</v>
      </c>
      <c r="C99" t="s">
        <v>12</v>
      </c>
      <c r="D99">
        <v>0.29575274136296903</v>
      </c>
      <c r="E99" t="s">
        <v>6</v>
      </c>
      <c r="G99" t="s">
        <v>416</v>
      </c>
      <c r="H99" t="s">
        <v>12</v>
      </c>
      <c r="I99">
        <v>9.0468107945832196E-2</v>
      </c>
      <c r="J99" t="s">
        <v>6</v>
      </c>
    </row>
    <row r="100" spans="2:10" x14ac:dyDescent="0.45">
      <c r="B100" t="s">
        <v>415</v>
      </c>
      <c r="C100" t="s">
        <v>13</v>
      </c>
      <c r="D100">
        <v>1.3887764289809073E-2</v>
      </c>
      <c r="E100" t="s">
        <v>6</v>
      </c>
      <c r="G100" t="s">
        <v>416</v>
      </c>
      <c r="H100" t="s">
        <v>13</v>
      </c>
      <c r="I100">
        <v>5.9315470883989398E-2</v>
      </c>
      <c r="J100" t="s">
        <v>6</v>
      </c>
    </row>
    <row r="101" spans="2:10" x14ac:dyDescent="0.45">
      <c r="B101" t="s">
        <v>415</v>
      </c>
      <c r="C101" t="s">
        <v>14</v>
      </c>
      <c r="D101">
        <v>4.5899982936323741E-3</v>
      </c>
      <c r="E101" t="s">
        <v>6</v>
      </c>
      <c r="G101" t="s">
        <v>416</v>
      </c>
      <c r="H101" t="s">
        <v>14</v>
      </c>
      <c r="I101">
        <v>5.6984728525676778E-2</v>
      </c>
      <c r="J101" t="s">
        <v>6</v>
      </c>
    </row>
    <row r="102" spans="2:10" x14ac:dyDescent="0.45">
      <c r="B102" t="s">
        <v>415</v>
      </c>
      <c r="C102" t="s">
        <v>15</v>
      </c>
      <c r="D102">
        <v>0.34485304273754092</v>
      </c>
      <c r="E102" t="s">
        <v>6</v>
      </c>
      <c r="G102" t="s">
        <v>416</v>
      </c>
      <c r="H102" t="s">
        <v>15</v>
      </c>
      <c r="I102">
        <v>5.7152662069604052E-2</v>
      </c>
      <c r="J102" t="s">
        <v>6</v>
      </c>
    </row>
    <row r="103" spans="2:10" x14ac:dyDescent="0.45">
      <c r="B103" t="s">
        <v>415</v>
      </c>
      <c r="C103" t="s">
        <v>16</v>
      </c>
      <c r="D103">
        <v>2.4346487648598265E-2</v>
      </c>
      <c r="E103" t="s">
        <v>6</v>
      </c>
      <c r="G103" t="s">
        <v>416</v>
      </c>
      <c r="H103" t="s">
        <v>16</v>
      </c>
      <c r="I103">
        <v>3.954205713716933E-2</v>
      </c>
      <c r="J103" t="s">
        <v>6</v>
      </c>
    </row>
    <row r="104" spans="2:10" x14ac:dyDescent="0.45">
      <c r="B104" t="s">
        <v>415</v>
      </c>
      <c r="C104" t="s">
        <v>17</v>
      </c>
      <c r="D104">
        <v>7.5753442613477138E-5</v>
      </c>
      <c r="E104" t="s">
        <v>6</v>
      </c>
      <c r="G104" t="s">
        <v>416</v>
      </c>
      <c r="H104" t="s">
        <v>17</v>
      </c>
      <c r="I104">
        <v>9.7958083627992507E-2</v>
      </c>
      <c r="J104" t="s">
        <v>6</v>
      </c>
    </row>
    <row r="105" spans="2:10" x14ac:dyDescent="0.45">
      <c r="B105" t="s">
        <v>415</v>
      </c>
      <c r="C105" t="s">
        <v>18</v>
      </c>
      <c r="D105">
        <v>0.18789184267781134</v>
      </c>
      <c r="E105" t="s">
        <v>6</v>
      </c>
      <c r="G105" t="s">
        <v>416</v>
      </c>
      <c r="H105" t="s">
        <v>18</v>
      </c>
      <c r="I105">
        <v>0.10983728635916229</v>
      </c>
      <c r="J105" t="s">
        <v>6</v>
      </c>
    </row>
    <row r="106" spans="2:10" x14ac:dyDescent="0.45">
      <c r="B106" t="s">
        <v>415</v>
      </c>
      <c r="C106" t="s">
        <v>19</v>
      </c>
      <c r="D106">
        <v>2.6409029429207242E-3</v>
      </c>
      <c r="E106" t="s">
        <v>6</v>
      </c>
      <c r="G106" t="s">
        <v>416</v>
      </c>
      <c r="H106" t="s">
        <v>19</v>
      </c>
      <c r="I106">
        <v>7.6646645231979643E-2</v>
      </c>
      <c r="J106" t="s">
        <v>6</v>
      </c>
    </row>
    <row r="107" spans="2:10" x14ac:dyDescent="0.45">
      <c r="B107" t="s">
        <v>417</v>
      </c>
      <c r="C107" t="s">
        <v>5</v>
      </c>
      <c r="D107">
        <v>0</v>
      </c>
      <c r="E107" t="s">
        <v>6</v>
      </c>
      <c r="G107" t="s">
        <v>418</v>
      </c>
      <c r="H107" t="s">
        <v>5</v>
      </c>
      <c r="I107">
        <v>0.11341986797600341</v>
      </c>
      <c r="J107" t="s">
        <v>6</v>
      </c>
    </row>
    <row r="108" spans="2:10" x14ac:dyDescent="0.45">
      <c r="B108" t="s">
        <v>417</v>
      </c>
      <c r="C108" t="s">
        <v>9</v>
      </c>
      <c r="D108">
        <v>0.12655628071603656</v>
      </c>
      <c r="E108" t="s">
        <v>6</v>
      </c>
      <c r="G108" t="s">
        <v>418</v>
      </c>
      <c r="H108" t="s">
        <v>9</v>
      </c>
      <c r="I108">
        <v>0.12846630061833503</v>
      </c>
      <c r="J108" t="s">
        <v>6</v>
      </c>
    </row>
    <row r="109" spans="2:10" x14ac:dyDescent="0.45">
      <c r="B109" t="s">
        <v>417</v>
      </c>
      <c r="C109" t="s">
        <v>10</v>
      </c>
      <c r="D109">
        <v>4.9619119132308866E-4</v>
      </c>
      <c r="E109" t="s">
        <v>6</v>
      </c>
      <c r="G109" t="s">
        <v>418</v>
      </c>
      <c r="H109" t="s">
        <v>10</v>
      </c>
      <c r="I109">
        <v>8.2726996631782748E-2</v>
      </c>
      <c r="J109" t="s">
        <v>6</v>
      </c>
    </row>
    <row r="110" spans="2:10" x14ac:dyDescent="0.45">
      <c r="B110" t="s">
        <v>417</v>
      </c>
      <c r="C110" t="s">
        <v>11</v>
      </c>
      <c r="D110">
        <v>1.8351440429166801E-3</v>
      </c>
      <c r="E110" t="s">
        <v>6</v>
      </c>
      <c r="G110" t="s">
        <v>418</v>
      </c>
      <c r="H110" t="s">
        <v>11</v>
      </c>
      <c r="I110">
        <v>8.3429958045768846E-2</v>
      </c>
      <c r="J110" t="s">
        <v>6</v>
      </c>
    </row>
    <row r="111" spans="2:10" x14ac:dyDescent="0.45">
      <c r="B111" t="s">
        <v>417</v>
      </c>
      <c r="C111" t="s">
        <v>12</v>
      </c>
      <c r="D111">
        <v>0.29438210878464843</v>
      </c>
      <c r="E111" t="s">
        <v>6</v>
      </c>
      <c r="G111" t="s">
        <v>418</v>
      </c>
      <c r="H111" t="s">
        <v>12</v>
      </c>
      <c r="I111">
        <v>9.4451442602316915E-2</v>
      </c>
      <c r="J111" t="s">
        <v>6</v>
      </c>
    </row>
    <row r="112" spans="2:10" x14ac:dyDescent="0.45">
      <c r="B112" t="s">
        <v>417</v>
      </c>
      <c r="C112" t="s">
        <v>13</v>
      </c>
      <c r="D112">
        <v>1.4138870838138489E-2</v>
      </c>
      <c r="E112" t="s">
        <v>6</v>
      </c>
      <c r="G112" t="s">
        <v>418</v>
      </c>
      <c r="H112" t="s">
        <v>13</v>
      </c>
      <c r="I112">
        <v>6.071700574820503E-2</v>
      </c>
      <c r="J112" t="s">
        <v>6</v>
      </c>
    </row>
    <row r="113" spans="2:10" x14ac:dyDescent="0.45">
      <c r="B113" t="s">
        <v>417</v>
      </c>
      <c r="C113" t="s">
        <v>14</v>
      </c>
      <c r="D113">
        <v>4.5192346947956416E-3</v>
      </c>
      <c r="E113" t="s">
        <v>6</v>
      </c>
      <c r="G113" t="s">
        <v>418</v>
      </c>
      <c r="H113" t="s">
        <v>14</v>
      </c>
      <c r="I113">
        <v>6.0332825612077964E-2</v>
      </c>
      <c r="J113" t="s">
        <v>6</v>
      </c>
    </row>
    <row r="114" spans="2:10" x14ac:dyDescent="0.45">
      <c r="B114" t="s">
        <v>417</v>
      </c>
      <c r="C114" t="s">
        <v>15</v>
      </c>
      <c r="D114">
        <v>0.33816939824106906</v>
      </c>
      <c r="E114" t="s">
        <v>6</v>
      </c>
      <c r="G114" t="s">
        <v>418</v>
      </c>
      <c r="H114" t="s">
        <v>15</v>
      </c>
      <c r="I114">
        <v>5.7907999641267076E-2</v>
      </c>
      <c r="J114" t="s">
        <v>6</v>
      </c>
    </row>
    <row r="115" spans="2:10" x14ac:dyDescent="0.45">
      <c r="B115" t="s">
        <v>417</v>
      </c>
      <c r="C115" t="s">
        <v>16</v>
      </c>
      <c r="D115">
        <v>2.4961474526933331E-2</v>
      </c>
      <c r="E115" t="s">
        <v>6</v>
      </c>
      <c r="G115" t="s">
        <v>418</v>
      </c>
      <c r="H115" t="s">
        <v>16</v>
      </c>
      <c r="I115">
        <v>4.214641905728201E-2</v>
      </c>
      <c r="J115" t="s">
        <v>6</v>
      </c>
    </row>
    <row r="116" spans="2:10" x14ac:dyDescent="0.45">
      <c r="B116" t="s">
        <v>417</v>
      </c>
      <c r="C116" t="s">
        <v>17</v>
      </c>
      <c r="D116">
        <v>7.0777646197447755E-5</v>
      </c>
      <c r="E116" t="s">
        <v>6</v>
      </c>
      <c r="G116" t="s">
        <v>418</v>
      </c>
      <c r="H116" t="s">
        <v>17</v>
      </c>
      <c r="I116">
        <v>9.3393670609160095E-2</v>
      </c>
      <c r="J116" t="s">
        <v>6</v>
      </c>
    </row>
    <row r="117" spans="2:10" x14ac:dyDescent="0.45">
      <c r="B117" t="s">
        <v>417</v>
      </c>
      <c r="C117" t="s">
        <v>18</v>
      </c>
      <c r="D117">
        <v>0.19214689627938528</v>
      </c>
      <c r="E117" t="s">
        <v>6</v>
      </c>
      <c r="G117" t="s">
        <v>418</v>
      </c>
      <c r="H117" t="s">
        <v>18</v>
      </c>
      <c r="I117">
        <v>0.10712105543433906</v>
      </c>
      <c r="J117" t="s">
        <v>6</v>
      </c>
    </row>
    <row r="118" spans="2:10" x14ac:dyDescent="0.45">
      <c r="B118" t="s">
        <v>417</v>
      </c>
      <c r="C118" t="s">
        <v>19</v>
      </c>
      <c r="D118">
        <v>2.7236230385560044E-3</v>
      </c>
      <c r="E118" t="s">
        <v>6</v>
      </c>
      <c r="G118" t="s">
        <v>418</v>
      </c>
      <c r="H118" t="s">
        <v>19</v>
      </c>
      <c r="I118">
        <v>7.5886458023460612E-2</v>
      </c>
      <c r="J118" t="s">
        <v>6</v>
      </c>
    </row>
    <row r="119" spans="2:10" x14ac:dyDescent="0.45">
      <c r="B119" t="s">
        <v>419</v>
      </c>
      <c r="C119" t="s">
        <v>5</v>
      </c>
      <c r="D119">
        <v>0</v>
      </c>
      <c r="E119" t="s">
        <v>6</v>
      </c>
      <c r="G119" t="s">
        <v>420</v>
      </c>
      <c r="H119" t="s">
        <v>5</v>
      </c>
      <c r="I119">
        <v>0.10896562731016246</v>
      </c>
      <c r="J119" t="s">
        <v>6</v>
      </c>
    </row>
    <row r="120" spans="2:10" x14ac:dyDescent="0.45">
      <c r="B120" t="s">
        <v>419</v>
      </c>
      <c r="C120" t="s">
        <v>9</v>
      </c>
      <c r="D120">
        <v>0.12121506463520068</v>
      </c>
      <c r="E120" t="s">
        <v>6</v>
      </c>
      <c r="G120" t="s">
        <v>420</v>
      </c>
      <c r="H120" t="s">
        <v>9</v>
      </c>
      <c r="I120">
        <v>0.1233151738939178</v>
      </c>
      <c r="J120" t="s">
        <v>6</v>
      </c>
    </row>
    <row r="121" spans="2:10" x14ac:dyDescent="0.45">
      <c r="B121" t="s">
        <v>419</v>
      </c>
      <c r="C121" t="s">
        <v>10</v>
      </c>
      <c r="D121">
        <v>3.7472003262164312E-4</v>
      </c>
      <c r="E121" t="s">
        <v>6</v>
      </c>
      <c r="G121" t="s">
        <v>420</v>
      </c>
      <c r="H121" t="s">
        <v>10</v>
      </c>
      <c r="I121">
        <v>8.1253582855162501E-2</v>
      </c>
      <c r="J121" t="s">
        <v>6</v>
      </c>
    </row>
    <row r="122" spans="2:10" x14ac:dyDescent="0.45">
      <c r="B122" t="s">
        <v>419</v>
      </c>
      <c r="C122" t="s">
        <v>11</v>
      </c>
      <c r="D122">
        <v>2.0512506213339618E-3</v>
      </c>
      <c r="E122" t="s">
        <v>6</v>
      </c>
      <c r="G122" t="s">
        <v>420</v>
      </c>
      <c r="H122" t="s">
        <v>11</v>
      </c>
      <c r="I122">
        <v>8.3416671815023324E-2</v>
      </c>
      <c r="J122" t="s">
        <v>6</v>
      </c>
    </row>
    <row r="123" spans="2:10" x14ac:dyDescent="0.45">
      <c r="B123" t="s">
        <v>419</v>
      </c>
      <c r="C123" t="s">
        <v>12</v>
      </c>
      <c r="D123">
        <v>0.29990459520429563</v>
      </c>
      <c r="E123" t="s">
        <v>6</v>
      </c>
      <c r="G123" t="s">
        <v>420</v>
      </c>
      <c r="H123" t="s">
        <v>12</v>
      </c>
      <c r="I123">
        <v>9.5562112991164377E-2</v>
      </c>
      <c r="J123" t="s">
        <v>6</v>
      </c>
    </row>
    <row r="124" spans="2:10" x14ac:dyDescent="0.45">
      <c r="B124" t="s">
        <v>419</v>
      </c>
      <c r="C124" t="s">
        <v>13</v>
      </c>
      <c r="D124">
        <v>1.3529307047831072E-2</v>
      </c>
      <c r="E124" t="s">
        <v>6</v>
      </c>
      <c r="G124" t="s">
        <v>420</v>
      </c>
      <c r="H124" t="s">
        <v>13</v>
      </c>
      <c r="I124">
        <v>6.1093862200234189E-2</v>
      </c>
      <c r="J124" t="s">
        <v>6</v>
      </c>
    </row>
    <row r="125" spans="2:10" x14ac:dyDescent="0.45">
      <c r="B125" t="s">
        <v>419</v>
      </c>
      <c r="C125" t="s">
        <v>14</v>
      </c>
      <c r="D125">
        <v>4.8733270214588722E-3</v>
      </c>
      <c r="E125" t="s">
        <v>6</v>
      </c>
      <c r="G125" t="s">
        <v>420</v>
      </c>
      <c r="H125" t="s">
        <v>14</v>
      </c>
      <c r="I125">
        <v>6.3398945311680346E-2</v>
      </c>
      <c r="J125" t="s">
        <v>6</v>
      </c>
    </row>
    <row r="126" spans="2:10" x14ac:dyDescent="0.45">
      <c r="B126" t="s">
        <v>419</v>
      </c>
      <c r="C126" t="s">
        <v>15</v>
      </c>
      <c r="D126">
        <v>0.34075893067635349</v>
      </c>
      <c r="E126" t="s">
        <v>6</v>
      </c>
      <c r="G126" t="s">
        <v>420</v>
      </c>
      <c r="H126" t="s">
        <v>15</v>
      </c>
      <c r="I126">
        <v>6.0568287080787812E-2</v>
      </c>
      <c r="J126" t="s">
        <v>6</v>
      </c>
    </row>
    <row r="127" spans="2:10" x14ac:dyDescent="0.45">
      <c r="B127" t="s">
        <v>419</v>
      </c>
      <c r="C127" t="s">
        <v>16</v>
      </c>
      <c r="D127">
        <v>2.4126274768948061E-2</v>
      </c>
      <c r="E127" t="s">
        <v>6</v>
      </c>
      <c r="G127" t="s">
        <v>420</v>
      </c>
      <c r="H127" t="s">
        <v>16</v>
      </c>
      <c r="I127">
        <v>4.5075852309708425E-2</v>
      </c>
      <c r="J127" t="s">
        <v>6</v>
      </c>
    </row>
    <row r="128" spans="2:10" x14ac:dyDescent="0.45">
      <c r="B128" t="s">
        <v>419</v>
      </c>
      <c r="C128" t="s">
        <v>17</v>
      </c>
      <c r="D128">
        <v>8.7752915847986299E-5</v>
      </c>
      <c r="E128" t="s">
        <v>6</v>
      </c>
      <c r="G128" t="s">
        <v>420</v>
      </c>
      <c r="H128" t="s">
        <v>17</v>
      </c>
      <c r="I128">
        <v>9.2599799613344552E-2</v>
      </c>
      <c r="J128" t="s">
        <v>6</v>
      </c>
    </row>
    <row r="129" spans="2:10" x14ac:dyDescent="0.45">
      <c r="B129" t="s">
        <v>419</v>
      </c>
      <c r="C129" t="s">
        <v>18</v>
      </c>
      <c r="D129">
        <v>0.19067808510536438</v>
      </c>
      <c r="E129" t="s">
        <v>6</v>
      </c>
      <c r="G129" t="s">
        <v>420</v>
      </c>
      <c r="H129" t="s">
        <v>18</v>
      </c>
      <c r="I129">
        <v>0.10925706491916427</v>
      </c>
      <c r="J129" t="s">
        <v>6</v>
      </c>
    </row>
    <row r="130" spans="2:10" x14ac:dyDescent="0.45">
      <c r="B130" t="s">
        <v>419</v>
      </c>
      <c r="C130" t="s">
        <v>19</v>
      </c>
      <c r="D130">
        <v>2.400691970744182E-3</v>
      </c>
      <c r="E130" t="s">
        <v>6</v>
      </c>
      <c r="G130" t="s">
        <v>420</v>
      </c>
      <c r="H130" t="s">
        <v>19</v>
      </c>
      <c r="I130">
        <v>7.5493019699652303E-2</v>
      </c>
      <c r="J130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1A26-7186-4CEB-8670-0DECF230CAAD}">
  <dimension ref="B9:CI3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region=BEL")</f>
        <v>~TFM_DINS-TSL: attribute=FLO_EMIS; other_indexes=ACT; region=BEL</v>
      </c>
      <c r="Q9" t="str">
        <f>IF(A11="x","DeActivated","~TFM_DINS-TSL: attribute=FLO_SHAR; limtype=FX; region=BEL")</f>
        <v>~TFM_DINS-TSL: attribute=FLO_SHAR; limtype=FX; region=BEL</v>
      </c>
      <c r="AF9" t="str">
        <f>IF(A11="x","DeActivated","~TFM_DINS-TSL: attribute=FLO_SHAR; limtype=FX; region=BEL")</f>
        <v>~TFM_DINS-TSL: attribute=FLO_SHAR; limtype=FX; region=BEL</v>
      </c>
      <c r="AU9" t="str">
        <f>IF(A11="x","DeActivated","~TFM_DINS-TSL: attribute=FLO_SHAR; limtype=FX; region=BEL")</f>
        <v>~TFM_DINS-TSL: attribute=FLO_SHAR; limtype=FX; region=BEL</v>
      </c>
      <c r="BJ9" t="str">
        <f>IF(A11="x","DeActivated","~TFM_INS: region=BEL")</f>
        <v>~TFM_INS: region=BEL</v>
      </c>
      <c r="BR9" t="str">
        <f>IF(A11="x","DeActivated","~TFM_DINS-TSL: attribute=NCAP_PKCNT; region=BEL")</f>
        <v>~TFM_DINS-TSL: attribute=NCAP_PKCNT; region=BEL</v>
      </c>
      <c r="CF9" t="str">
        <f>IF(A11="x","DeActivated","~TFM_DINS-AT: region=BEL")</f>
        <v>~TFM_DINS-AT: region=BEL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421</v>
      </c>
      <c r="C11" t="s">
        <v>99</v>
      </c>
      <c r="D11">
        <v>0</v>
      </c>
      <c r="E11">
        <v>0.44434321621788425</v>
      </c>
      <c r="F11">
        <v>0.95376936224234854</v>
      </c>
      <c r="G11">
        <v>0.88743749879812583</v>
      </c>
      <c r="H11">
        <v>0.257835434275971</v>
      </c>
      <c r="I11">
        <v>0.68862939129993805</v>
      </c>
      <c r="J11">
        <v>0.79780852777187417</v>
      </c>
      <c r="K11">
        <v>0.20087500156873125</v>
      </c>
      <c r="L11">
        <v>0.6061293695459089</v>
      </c>
      <c r="M11">
        <v>0.98076923076923095</v>
      </c>
      <c r="N11">
        <v>0.36592100727388366</v>
      </c>
      <c r="O11">
        <v>0.88723211647946654</v>
      </c>
      <c r="Q11" t="s">
        <v>421</v>
      </c>
      <c r="R11" t="s">
        <v>100</v>
      </c>
      <c r="S11">
        <v>0</v>
      </c>
      <c r="T11">
        <v>0.27325444743393235</v>
      </c>
      <c r="U11">
        <v>0.46163564205343771</v>
      </c>
      <c r="V11">
        <v>0.80415658212670438</v>
      </c>
      <c r="W11">
        <v>0.13482933080117426</v>
      </c>
      <c r="X11">
        <v>0.34104034724166871</v>
      </c>
      <c r="Y11">
        <v>0.65680323348919378</v>
      </c>
      <c r="Z11">
        <v>9.9979139715079282E-2</v>
      </c>
      <c r="AA11">
        <v>0.28789384662680501</v>
      </c>
      <c r="AB11">
        <v>0.96284607915072884</v>
      </c>
      <c r="AC11">
        <v>0.19504050037189505</v>
      </c>
      <c r="AD11">
        <v>0.27867886926698499</v>
      </c>
      <c r="AF11" t="s">
        <v>421</v>
      </c>
      <c r="AG11" t="s">
        <v>101</v>
      </c>
      <c r="AH11">
        <v>0</v>
      </c>
      <c r="AI11">
        <v>2.4252607040988545E-2</v>
      </c>
      <c r="AJ11">
        <v>0.44982090368897848</v>
      </c>
      <c r="AK11">
        <v>0</v>
      </c>
      <c r="AL11">
        <v>2.2412666050927357E-2</v>
      </c>
      <c r="AM11">
        <v>0.18581204163445439</v>
      </c>
      <c r="AN11">
        <v>0</v>
      </c>
      <c r="AO11">
        <v>1.4302713120865271E-2</v>
      </c>
      <c r="AP11">
        <v>0.14852282120734886</v>
      </c>
      <c r="AQ11">
        <v>0</v>
      </c>
      <c r="AR11">
        <v>3.6646937166682679E-2</v>
      </c>
      <c r="AS11">
        <v>0.49785837754637197</v>
      </c>
      <c r="AU11" t="s">
        <v>421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6.7491214319923528E-3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2.1298580490043881E-2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421</v>
      </c>
      <c r="BS11">
        <v>0</v>
      </c>
      <c r="BT11">
        <v>0.14242029244788385</v>
      </c>
      <c r="BU11">
        <v>1.4616601473471016E-3</v>
      </c>
      <c r="BV11">
        <v>2.2633240341359247E-3</v>
      </c>
      <c r="BW11">
        <v>0.31465691007701846</v>
      </c>
      <c r="BX11">
        <v>2.65545730979257E-2</v>
      </c>
      <c r="BY11">
        <v>5.3467542465671647E-3</v>
      </c>
      <c r="BZ11">
        <v>0.38544003436328689</v>
      </c>
      <c r="CA11">
        <v>4.7757927836282826E-2</v>
      </c>
      <c r="CB11">
        <v>7.2783130907620028E-5</v>
      </c>
      <c r="CC11">
        <v>0.20978196083099243</v>
      </c>
      <c r="CD11">
        <v>5.6435309696620233E-3</v>
      </c>
      <c r="CF11" t="s">
        <v>421</v>
      </c>
      <c r="CG11" t="s">
        <v>108</v>
      </c>
      <c r="CH11" t="s">
        <v>109</v>
      </c>
      <c r="CI11">
        <v>0.37587406657784828</v>
      </c>
    </row>
    <row r="12" spans="2:87" x14ac:dyDescent="0.45">
      <c r="B12" t="s">
        <v>422</v>
      </c>
      <c r="C12" t="s">
        <v>99</v>
      </c>
      <c r="D12">
        <v>0</v>
      </c>
      <c r="E12">
        <v>0.42592930855161426</v>
      </c>
      <c r="F12">
        <v>0.95285994836503851</v>
      </c>
      <c r="G12">
        <v>0.89019243087860167</v>
      </c>
      <c r="H12">
        <v>0.25278582256631221</v>
      </c>
      <c r="I12">
        <v>0.68079120685393346</v>
      </c>
      <c r="J12">
        <v>0.80258472822958504</v>
      </c>
      <c r="K12">
        <v>0.20415760072046871</v>
      </c>
      <c r="L12">
        <v>0.60259294294270405</v>
      </c>
      <c r="M12">
        <v>0.98214285714285732</v>
      </c>
      <c r="N12">
        <v>0.35575334129725844</v>
      </c>
      <c r="O12">
        <v>0.88315553047420536</v>
      </c>
      <c r="Q12" t="s">
        <v>422</v>
      </c>
      <c r="R12" t="s">
        <v>100</v>
      </c>
      <c r="S12">
        <v>0</v>
      </c>
      <c r="T12">
        <v>0.25168376648176283</v>
      </c>
      <c r="U12">
        <v>0.34874847304812873</v>
      </c>
      <c r="V12">
        <v>0.80798779154333011</v>
      </c>
      <c r="W12">
        <v>0.133610831062283</v>
      </c>
      <c r="X12">
        <v>0.33041731215830489</v>
      </c>
      <c r="Y12">
        <v>0.66165179151046816</v>
      </c>
      <c r="Z12">
        <v>0.10023001804641121</v>
      </c>
      <c r="AA12">
        <v>0.27240790226023898</v>
      </c>
      <c r="AB12">
        <v>0.96460459183673475</v>
      </c>
      <c r="AC12">
        <v>0.18916366270478394</v>
      </c>
      <c r="AD12">
        <v>0.29076273936874636</v>
      </c>
      <c r="AF12" t="s">
        <v>422</v>
      </c>
      <c r="AG12" t="s">
        <v>101</v>
      </c>
      <c r="AH12">
        <v>0</v>
      </c>
      <c r="AI12">
        <v>2.7386917705755437E-2</v>
      </c>
      <c r="AJ12">
        <v>0.56050649805357189</v>
      </c>
      <c r="AK12">
        <v>0</v>
      </c>
      <c r="AL12">
        <v>1.868936678115975E-2</v>
      </c>
      <c r="AM12">
        <v>0.19209068722909289</v>
      </c>
      <c r="AN12">
        <v>0</v>
      </c>
      <c r="AO12">
        <v>1.5200383373909623E-2</v>
      </c>
      <c r="AP12">
        <v>0.16090032454052897</v>
      </c>
      <c r="AQ12">
        <v>0</v>
      </c>
      <c r="AR12">
        <v>3.3371834311871601E-2</v>
      </c>
      <c r="AS12">
        <v>0.48921384067298496</v>
      </c>
      <c r="AU12" t="s">
        <v>422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1.2846591793280871E-2</v>
      </c>
      <c r="BR12" t="s">
        <v>422</v>
      </c>
      <c r="BS12">
        <v>0</v>
      </c>
      <c r="BT12">
        <v>0.15010232424569098</v>
      </c>
      <c r="BU12">
        <v>1.9514486378947346E-3</v>
      </c>
      <c r="BV12">
        <v>2.1638176053558693E-3</v>
      </c>
      <c r="BW12">
        <v>0.31260194005518394</v>
      </c>
      <c r="BX12">
        <v>2.8716617793001154E-2</v>
      </c>
      <c r="BY12">
        <v>4.8519963056157583E-3</v>
      </c>
      <c r="BZ12">
        <v>0.38083954403452258</v>
      </c>
      <c r="CA12">
        <v>5.0702769164669044E-2</v>
      </c>
      <c r="CB12">
        <v>5.9935636942928279E-5</v>
      </c>
      <c r="CC12">
        <v>0.21844063261017027</v>
      </c>
      <c r="CD12">
        <v>6.4280616551964523E-3</v>
      </c>
      <c r="CF12" t="s">
        <v>422</v>
      </c>
      <c r="CG12" t="s">
        <v>108</v>
      </c>
      <c r="CH12" t="s">
        <v>109</v>
      </c>
      <c r="CI12">
        <v>0.36742805105630866</v>
      </c>
    </row>
    <row r="13" spans="2:87" x14ac:dyDescent="0.45">
      <c r="B13" t="s">
        <v>423</v>
      </c>
      <c r="C13" t="s">
        <v>99</v>
      </c>
      <c r="D13">
        <v>0</v>
      </c>
      <c r="E13">
        <v>0.43197753589087445</v>
      </c>
      <c r="F13">
        <v>0.95606364316565184</v>
      </c>
      <c r="G13">
        <v>0.88312277609916878</v>
      </c>
      <c r="H13">
        <v>0.26103991978545737</v>
      </c>
      <c r="I13">
        <v>0.68704037707583887</v>
      </c>
      <c r="J13">
        <v>0.79549553784431626</v>
      </c>
      <c r="K13">
        <v>0.20352650712483092</v>
      </c>
      <c r="L13">
        <v>0.60223646825639099</v>
      </c>
      <c r="M13">
        <v>0.97943794826685704</v>
      </c>
      <c r="N13">
        <v>0.35482908813774683</v>
      </c>
      <c r="O13">
        <v>0.89101002884431157</v>
      </c>
      <c r="Q13" t="s">
        <v>423</v>
      </c>
      <c r="R13" t="s">
        <v>100</v>
      </c>
      <c r="S13">
        <v>0</v>
      </c>
      <c r="T13">
        <v>0.26314179993646369</v>
      </c>
      <c r="U13">
        <v>0.65260063339168328</v>
      </c>
      <c r="V13">
        <v>0.79446535935005558</v>
      </c>
      <c r="W13">
        <v>0.14260629322295867</v>
      </c>
      <c r="X13">
        <v>0.39544983417673502</v>
      </c>
      <c r="Y13">
        <v>0.65070017213846987</v>
      </c>
      <c r="Z13">
        <v>0.10104021033535053</v>
      </c>
      <c r="AA13">
        <v>0.2927951790246639</v>
      </c>
      <c r="AB13">
        <v>0.96060260310787926</v>
      </c>
      <c r="AC13">
        <v>0.18991256611291765</v>
      </c>
      <c r="AD13">
        <v>0.34020943920506463</v>
      </c>
      <c r="AF13" t="s">
        <v>423</v>
      </c>
      <c r="AG13" t="s">
        <v>101</v>
      </c>
      <c r="AH13">
        <v>0</v>
      </c>
      <c r="AI13">
        <v>1.7517460980619102E-2</v>
      </c>
      <c r="AJ13">
        <v>0.26481409209699897</v>
      </c>
      <c r="AK13">
        <v>0</v>
      </c>
      <c r="AL13">
        <v>1.5769584663982577E-2</v>
      </c>
      <c r="AM13">
        <v>0.13247768256676384</v>
      </c>
      <c r="AN13">
        <v>0</v>
      </c>
      <c r="AO13">
        <v>1.5381160828771449E-2</v>
      </c>
      <c r="AP13">
        <v>0.14198542533339212</v>
      </c>
      <c r="AQ13">
        <v>0</v>
      </c>
      <c r="AR13">
        <v>3.0786682515064626E-2</v>
      </c>
      <c r="AS13">
        <v>0.45039414641724679</v>
      </c>
      <c r="AU13" t="s">
        <v>423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3.6151662494775757E-3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1.4506930371221808E-2</v>
      </c>
      <c r="BR13" t="s">
        <v>423</v>
      </c>
      <c r="BS13">
        <v>0</v>
      </c>
      <c r="BT13">
        <v>0.1446333794808814</v>
      </c>
      <c r="BU13">
        <v>1.2313531588025132E-3</v>
      </c>
      <c r="BV13">
        <v>2.2639304312952742E-3</v>
      </c>
      <c r="BW13">
        <v>0.31216201475730304</v>
      </c>
      <c r="BX13">
        <v>2.6613960481912578E-2</v>
      </c>
      <c r="BY13">
        <v>5.513545576160018E-3</v>
      </c>
      <c r="BZ13">
        <v>0.36751386938849923</v>
      </c>
      <c r="CA13">
        <v>4.7225783651665666E-2</v>
      </c>
      <c r="CB13">
        <v>7.9540354176845771E-5</v>
      </c>
      <c r="CC13">
        <v>0.20967627998096888</v>
      </c>
      <c r="CD13">
        <v>5.4949153864718367E-3</v>
      </c>
      <c r="CF13" t="s">
        <v>423</v>
      </c>
      <c r="CG13" t="s">
        <v>108</v>
      </c>
      <c r="CH13" t="s">
        <v>109</v>
      </c>
      <c r="CI13">
        <v>0.35472009298240581</v>
      </c>
    </row>
    <row r="14" spans="2:87" x14ac:dyDescent="0.45">
      <c r="B14" t="s">
        <v>424</v>
      </c>
      <c r="C14" t="s">
        <v>99</v>
      </c>
      <c r="D14">
        <v>0</v>
      </c>
      <c r="E14">
        <v>0.43012654405120365</v>
      </c>
      <c r="F14">
        <v>0.95480006040220233</v>
      </c>
      <c r="G14">
        <v>0.89114916685020906</v>
      </c>
      <c r="H14">
        <v>0.25775747651587377</v>
      </c>
      <c r="I14">
        <v>0.67993606356478842</v>
      </c>
      <c r="J14">
        <v>0.80220696787976076</v>
      </c>
      <c r="K14">
        <v>0.20450282371725426</v>
      </c>
      <c r="L14">
        <v>0.60177435127262069</v>
      </c>
      <c r="M14">
        <v>0.9821428571428571</v>
      </c>
      <c r="N14">
        <v>0.35641252491787789</v>
      </c>
      <c r="O14">
        <v>0.88518631024204586</v>
      </c>
      <c r="Q14" t="s">
        <v>424</v>
      </c>
      <c r="R14" t="s">
        <v>100</v>
      </c>
      <c r="S14">
        <v>0</v>
      </c>
      <c r="T14">
        <v>0.25824096721489465</v>
      </c>
      <c r="U14">
        <v>0.30301467014729572</v>
      </c>
      <c r="V14">
        <v>0.80815345377968728</v>
      </c>
      <c r="W14">
        <v>0.13862796556360793</v>
      </c>
      <c r="X14">
        <v>0.26866565654667002</v>
      </c>
      <c r="Y14">
        <v>0.66456501093880183</v>
      </c>
      <c r="Z14">
        <v>0.10092010442021447</v>
      </c>
      <c r="AA14">
        <v>0.25741044805107471</v>
      </c>
      <c r="AB14">
        <v>0.96469568193377142</v>
      </c>
      <c r="AC14">
        <v>0.19128905989145098</v>
      </c>
      <c r="AD14">
        <v>0.32066527232305558</v>
      </c>
      <c r="AF14" t="s">
        <v>424</v>
      </c>
      <c r="AG14" t="s">
        <v>101</v>
      </c>
      <c r="AH14">
        <v>0</v>
      </c>
      <c r="AI14">
        <v>2.0591093833085893E-2</v>
      </c>
      <c r="AJ14">
        <v>0.60934983201480908</v>
      </c>
      <c r="AK14">
        <v>0</v>
      </c>
      <c r="AL14">
        <v>1.6012007855987696E-2</v>
      </c>
      <c r="AM14">
        <v>0.25101510133870292</v>
      </c>
      <c r="AN14">
        <v>0</v>
      </c>
      <c r="AO14">
        <v>1.3166792969902853E-2</v>
      </c>
      <c r="AP14">
        <v>0.17493489357362432</v>
      </c>
      <c r="AQ14">
        <v>0</v>
      </c>
      <c r="AR14">
        <v>3.0824867862850644E-2</v>
      </c>
      <c r="AS14">
        <v>0.47913452571055953</v>
      </c>
      <c r="AU14" t="s">
        <v>424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424</v>
      </c>
      <c r="BS14">
        <v>0</v>
      </c>
      <c r="BT14">
        <v>0.15465762439354794</v>
      </c>
      <c r="BU14">
        <v>1.8631934475718858E-3</v>
      </c>
      <c r="BV14">
        <v>2.082704701647833E-3</v>
      </c>
      <c r="BW14">
        <v>0.32330327025913858</v>
      </c>
      <c r="BX14">
        <v>3.1224379253122724E-2</v>
      </c>
      <c r="BY14">
        <v>4.884494768031507E-3</v>
      </c>
      <c r="BZ14">
        <v>0.38409883944212914</v>
      </c>
      <c r="CA14">
        <v>5.3255642406102449E-2</v>
      </c>
      <c r="CB14">
        <v>5.5573971374187573E-5</v>
      </c>
      <c r="CC14">
        <v>0.22177433203788618</v>
      </c>
      <c r="CD14">
        <v>6.6271962683043233E-3</v>
      </c>
      <c r="CF14" t="s">
        <v>424</v>
      </c>
      <c r="CG14" t="s">
        <v>108</v>
      </c>
      <c r="CH14" t="s">
        <v>109</v>
      </c>
      <c r="CI14">
        <v>0.3724163917580216</v>
      </c>
    </row>
    <row r="15" spans="2:87" x14ac:dyDescent="0.45">
      <c r="B15" t="s">
        <v>425</v>
      </c>
      <c r="C15" t="s">
        <v>99</v>
      </c>
      <c r="D15">
        <v>0</v>
      </c>
      <c r="E15">
        <v>0.42686767660055691</v>
      </c>
      <c r="F15">
        <v>0.95460348654124361</v>
      </c>
      <c r="G15">
        <v>0.88718187927184511</v>
      </c>
      <c r="H15">
        <v>0.26070601581719582</v>
      </c>
      <c r="I15">
        <v>0.68278212844469599</v>
      </c>
      <c r="J15">
        <v>0.79866027676089302</v>
      </c>
      <c r="K15">
        <v>0.20366263425950507</v>
      </c>
      <c r="L15">
        <v>0.60170156974781597</v>
      </c>
      <c r="M15">
        <v>0.98214285714285732</v>
      </c>
      <c r="N15">
        <v>0.35277406151546725</v>
      </c>
      <c r="O15">
        <v>0.88786083715659292</v>
      </c>
      <c r="Q15" t="s">
        <v>425</v>
      </c>
      <c r="R15" t="s">
        <v>100</v>
      </c>
      <c r="S15">
        <v>0</v>
      </c>
      <c r="T15">
        <v>0.25474732732785216</v>
      </c>
      <c r="U15">
        <v>0.45204932025534872</v>
      </c>
      <c r="V15">
        <v>0.80340549317328336</v>
      </c>
      <c r="W15">
        <v>0.14240576545068501</v>
      </c>
      <c r="X15">
        <v>0.35226214200650868</v>
      </c>
      <c r="Y15">
        <v>0.65700799036423407</v>
      </c>
      <c r="Z15">
        <v>9.9988886894703269E-2</v>
      </c>
      <c r="AA15">
        <v>0.28534313110129561</v>
      </c>
      <c r="AB15">
        <v>0.96460459183673475</v>
      </c>
      <c r="AC15">
        <v>0.18845828816963403</v>
      </c>
      <c r="AD15">
        <v>0.27370395395018937</v>
      </c>
      <c r="AF15" t="s">
        <v>425</v>
      </c>
      <c r="AG15" t="s">
        <v>101</v>
      </c>
      <c r="AH15">
        <v>0</v>
      </c>
      <c r="AI15">
        <v>1.9788220428189545E-2</v>
      </c>
      <c r="AJ15">
        <v>0.46012734466183947</v>
      </c>
      <c r="AK15">
        <v>0</v>
      </c>
      <c r="AL15">
        <v>1.3426076988098798E-2</v>
      </c>
      <c r="AM15">
        <v>0.17377525501065605</v>
      </c>
      <c r="AN15">
        <v>0</v>
      </c>
      <c r="AO15">
        <v>1.4776141230276922E-2</v>
      </c>
      <c r="AP15">
        <v>0.14793582697574892</v>
      </c>
      <c r="AQ15">
        <v>0</v>
      </c>
      <c r="AR15">
        <v>3.3714058754208638E-2</v>
      </c>
      <c r="AS15">
        <v>0.51314447003047359</v>
      </c>
      <c r="AU15" t="s">
        <v>425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1.5218456064455174E-2</v>
      </c>
      <c r="BR15" t="s">
        <v>425</v>
      </c>
      <c r="BS15">
        <v>0</v>
      </c>
      <c r="BT15">
        <v>0.15077839692823725</v>
      </c>
      <c r="BU15">
        <v>1.5587566863925445E-3</v>
      </c>
      <c r="BV15">
        <v>2.1592026708670072E-3</v>
      </c>
      <c r="BW15">
        <v>0.31593238955676395</v>
      </c>
      <c r="BX15">
        <v>2.8577459824212597E-2</v>
      </c>
      <c r="BY15">
        <v>5.122055118952298E-3</v>
      </c>
      <c r="BZ15">
        <v>0.37510252506028935</v>
      </c>
      <c r="CA15">
        <v>5.0332624355674684E-2</v>
      </c>
      <c r="CB15">
        <v>6.7714064041835023E-5</v>
      </c>
      <c r="CC15">
        <v>0.21510072174411005</v>
      </c>
      <c r="CD15">
        <v>6.0551607211668653E-3</v>
      </c>
      <c r="CF15" t="s">
        <v>425</v>
      </c>
      <c r="CG15" t="s">
        <v>108</v>
      </c>
      <c r="CH15" t="s">
        <v>109</v>
      </c>
      <c r="CI15">
        <v>0.36192191031014409</v>
      </c>
    </row>
    <row r="16" spans="2:87" x14ac:dyDescent="0.45">
      <c r="B16" t="s">
        <v>426</v>
      </c>
      <c r="C16" t="s">
        <v>99</v>
      </c>
      <c r="D16">
        <v>0</v>
      </c>
      <c r="E16">
        <v>0.45175038850322241</v>
      </c>
      <c r="F16">
        <v>0.95925925925925914</v>
      </c>
      <c r="G16">
        <v>0.88150062498697901</v>
      </c>
      <c r="H16">
        <v>0.2582135433029174</v>
      </c>
      <c r="I16">
        <v>0.69617780700608523</v>
      </c>
      <c r="J16">
        <v>0.79693243308322703</v>
      </c>
      <c r="K16">
        <v>0.20060783997824874</v>
      </c>
      <c r="L16">
        <v>0.61364087122399891</v>
      </c>
      <c r="M16">
        <v>0.98042202152751534</v>
      </c>
      <c r="N16">
        <v>0.36310646729754903</v>
      </c>
      <c r="O16">
        <v>0.89618241042253155</v>
      </c>
      <c r="Q16" t="s">
        <v>426</v>
      </c>
      <c r="R16" t="s">
        <v>100</v>
      </c>
      <c r="S16">
        <v>0</v>
      </c>
      <c r="T16">
        <v>0.27071714988007106</v>
      </c>
      <c r="U16">
        <v>0.30473872664323653</v>
      </c>
      <c r="V16">
        <v>0.79349188576886731</v>
      </c>
      <c r="W16">
        <v>0.14206382353373154</v>
      </c>
      <c r="X16">
        <v>0.38180935822149964</v>
      </c>
      <c r="Y16">
        <v>0.65351848353568143</v>
      </c>
      <c r="Z16">
        <v>0.1024851116284248</v>
      </c>
      <c r="AA16">
        <v>0.31005990994198035</v>
      </c>
      <c r="AB16">
        <v>0.96156775188275512</v>
      </c>
      <c r="AC16">
        <v>0.18826125977441316</v>
      </c>
      <c r="AD16">
        <v>0.35407005993343438</v>
      </c>
      <c r="AF16" t="s">
        <v>426</v>
      </c>
      <c r="AG16" t="s">
        <v>101</v>
      </c>
      <c r="AH16">
        <v>0</v>
      </c>
      <c r="AI16">
        <v>3.1587231226235121E-2</v>
      </c>
      <c r="AJ16">
        <v>0.61738661200324219</v>
      </c>
      <c r="AK16">
        <v>0</v>
      </c>
      <c r="AL16">
        <v>2.1237637027724417E-2</v>
      </c>
      <c r="AM16">
        <v>0.15793193654484225</v>
      </c>
      <c r="AN16">
        <v>0</v>
      </c>
      <c r="AO16">
        <v>1.4075836185085778E-2</v>
      </c>
      <c r="AP16">
        <v>0.13440873197149997</v>
      </c>
      <c r="AQ16">
        <v>0</v>
      </c>
      <c r="AR16">
        <v>4.2390825292818513E-2</v>
      </c>
      <c r="AS16">
        <v>0.4420587673530057</v>
      </c>
      <c r="AU16" t="s">
        <v>426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1.9471194753272573E-2</v>
      </c>
      <c r="BR16" t="s">
        <v>426</v>
      </c>
      <c r="BS16">
        <v>0</v>
      </c>
      <c r="BT16">
        <v>0.13532686516406794</v>
      </c>
      <c r="BU16">
        <v>1.3601841888326743E-3</v>
      </c>
      <c r="BV16">
        <v>2.5610602798543354E-3</v>
      </c>
      <c r="BW16">
        <v>0.32284274575294081</v>
      </c>
      <c r="BX16">
        <v>2.4387983338196025E-2</v>
      </c>
      <c r="BY16">
        <v>6.3431551757407792E-3</v>
      </c>
      <c r="BZ16">
        <v>0.38548445399864761</v>
      </c>
      <c r="CA16">
        <v>4.2789718025159629E-2</v>
      </c>
      <c r="CB16">
        <v>1.116444607282104E-4</v>
      </c>
      <c r="CC16">
        <v>0.19695254180563948</v>
      </c>
      <c r="CD16">
        <v>4.8650743242954373E-3</v>
      </c>
      <c r="CF16" t="s">
        <v>426</v>
      </c>
      <c r="CG16" t="s">
        <v>108</v>
      </c>
      <c r="CH16" t="s">
        <v>109</v>
      </c>
      <c r="CI16">
        <v>0.38021487276792332</v>
      </c>
    </row>
    <row r="17" spans="2:87" x14ac:dyDescent="0.45">
      <c r="B17" t="s">
        <v>427</v>
      </c>
      <c r="C17" t="s">
        <v>99</v>
      </c>
      <c r="D17">
        <v>0</v>
      </c>
      <c r="E17">
        <v>0.45423353172883629</v>
      </c>
      <c r="F17">
        <v>0.95696814876854697</v>
      </c>
      <c r="G17">
        <v>0.88489531559917578</v>
      </c>
      <c r="H17">
        <v>0.26198206846483579</v>
      </c>
      <c r="I17">
        <v>0.69227290657003293</v>
      </c>
      <c r="J17">
        <v>0.79601444597727855</v>
      </c>
      <c r="K17">
        <v>0.20225355309890927</v>
      </c>
      <c r="L17">
        <v>0.61064629529101955</v>
      </c>
      <c r="M17">
        <v>0.9797050234132969</v>
      </c>
      <c r="N17">
        <v>0.37042098527060735</v>
      </c>
      <c r="O17">
        <v>0.89121184348511373</v>
      </c>
      <c r="Q17" t="s">
        <v>427</v>
      </c>
      <c r="R17" t="s">
        <v>100</v>
      </c>
      <c r="S17">
        <v>0</v>
      </c>
      <c r="T17">
        <v>0.27569452478851658</v>
      </c>
      <c r="U17">
        <v>0.44414724873317563</v>
      </c>
      <c r="V17">
        <v>0.79771385069578171</v>
      </c>
      <c r="W17">
        <v>0.1384680180185342</v>
      </c>
      <c r="X17">
        <v>0.35036761108328496</v>
      </c>
      <c r="Y17">
        <v>0.65571974333127014</v>
      </c>
      <c r="Z17">
        <v>0.1014702715972759</v>
      </c>
      <c r="AA17">
        <v>0.29713037419289035</v>
      </c>
      <c r="AB17">
        <v>0.96086454219381079</v>
      </c>
      <c r="AC17">
        <v>0.19191925865944617</v>
      </c>
      <c r="AD17">
        <v>0.34403464818957713</v>
      </c>
      <c r="AF17" t="s">
        <v>427</v>
      </c>
      <c r="AG17" t="s">
        <v>101</v>
      </c>
      <c r="AH17">
        <v>0</v>
      </c>
      <c r="AI17">
        <v>2.9977865999378527E-2</v>
      </c>
      <c r="AJ17">
        <v>0.47383330878924568</v>
      </c>
      <c r="AK17">
        <v>0</v>
      </c>
      <c r="AL17">
        <v>2.4024430706543084E-2</v>
      </c>
      <c r="AM17">
        <v>0.18392358518343455</v>
      </c>
      <c r="AN17">
        <v>0</v>
      </c>
      <c r="AO17">
        <v>1.5544475272144666E-2</v>
      </c>
      <c r="AP17">
        <v>0.14467517246884576</v>
      </c>
      <c r="AQ17">
        <v>0</v>
      </c>
      <c r="AR17">
        <v>4.0853992805836091E-2</v>
      </c>
      <c r="AS17">
        <v>0.43802441491732369</v>
      </c>
      <c r="AU17" t="s">
        <v>427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3.7355337843534278E-3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2.24139046090868E-2</v>
      </c>
      <c r="BR17" t="s">
        <v>427</v>
      </c>
      <c r="BS17">
        <v>0</v>
      </c>
      <c r="BT17">
        <v>0.13639313061386107</v>
      </c>
      <c r="BU17">
        <v>1.2316677042104706E-3</v>
      </c>
      <c r="BV17">
        <v>2.3804363379416695E-3</v>
      </c>
      <c r="BW17">
        <v>0.31607675298813376</v>
      </c>
      <c r="BX17">
        <v>2.5158486896121619E-2</v>
      </c>
      <c r="BY17">
        <v>5.8230273434660505E-3</v>
      </c>
      <c r="BZ17">
        <v>0.38304295709467123</v>
      </c>
      <c r="CA17">
        <v>4.4861635336664193E-2</v>
      </c>
      <c r="CB17">
        <v>8.6368237091476345E-5</v>
      </c>
      <c r="CC17">
        <v>0.20054870022487234</v>
      </c>
      <c r="CD17">
        <v>5.1294044733506969E-3</v>
      </c>
      <c r="CF17" t="s">
        <v>427</v>
      </c>
      <c r="CG17" t="s">
        <v>108</v>
      </c>
      <c r="CH17" t="s">
        <v>109</v>
      </c>
      <c r="CI17">
        <v>0.37682015913833444</v>
      </c>
    </row>
    <row r="18" spans="2:87" x14ac:dyDescent="0.45">
      <c r="B18" t="s">
        <v>428</v>
      </c>
      <c r="C18" t="s">
        <v>99</v>
      </c>
      <c r="D18">
        <v>0</v>
      </c>
      <c r="E18">
        <v>0.43876985450001499</v>
      </c>
      <c r="F18">
        <v>0.96052200473837324</v>
      </c>
      <c r="G18">
        <v>0.8774418728001333</v>
      </c>
      <c r="H18">
        <v>0.25977930517103265</v>
      </c>
      <c r="I18">
        <v>0.69275400246615881</v>
      </c>
      <c r="J18">
        <v>0.79269750567180464</v>
      </c>
      <c r="K18">
        <v>0.20087677875407928</v>
      </c>
      <c r="L18">
        <v>0.60728930845509099</v>
      </c>
      <c r="M18">
        <v>0.97665938274185771</v>
      </c>
      <c r="N18">
        <v>0.36455370598575082</v>
      </c>
      <c r="O18">
        <v>0.89624162778077299</v>
      </c>
      <c r="Q18" t="s">
        <v>428</v>
      </c>
      <c r="R18" t="s">
        <v>100</v>
      </c>
      <c r="S18">
        <v>0</v>
      </c>
      <c r="T18">
        <v>0.27024440752945311</v>
      </c>
      <c r="U18">
        <v>0.60724835050119252</v>
      </c>
      <c r="V18">
        <v>0.78758757861761508</v>
      </c>
      <c r="W18">
        <v>0.14147625929698573</v>
      </c>
      <c r="X18">
        <v>0.39659893226152998</v>
      </c>
      <c r="Y18">
        <v>0.64782762909032887</v>
      </c>
      <c r="Z18">
        <v>0.10288003763008029</v>
      </c>
      <c r="AA18">
        <v>0.31372860760764804</v>
      </c>
      <c r="AB18">
        <v>0.95519434136291614</v>
      </c>
      <c r="AC18">
        <v>0.18988099325317279</v>
      </c>
      <c r="AD18">
        <v>0.40626366611328196</v>
      </c>
      <c r="AF18" t="s">
        <v>428</v>
      </c>
      <c r="AG18" t="s">
        <v>101</v>
      </c>
      <c r="AH18">
        <v>0</v>
      </c>
      <c r="AI18">
        <v>2.0571563644029491E-2</v>
      </c>
      <c r="AJ18">
        <v>0.31679804497216152</v>
      </c>
      <c r="AK18">
        <v>0</v>
      </c>
      <c r="AL18">
        <v>2.0220681323823896E-2</v>
      </c>
      <c r="AM18">
        <v>0.13965663696566338</v>
      </c>
      <c r="AN18">
        <v>0</v>
      </c>
      <c r="AO18">
        <v>1.3576337821479748E-2</v>
      </c>
      <c r="AP18">
        <v>0.1272838287214452</v>
      </c>
      <c r="AQ18">
        <v>0</v>
      </c>
      <c r="AR18">
        <v>3.7997859000338474E-2</v>
      </c>
      <c r="AS18">
        <v>0.38935993960461907</v>
      </c>
      <c r="AU18" t="s">
        <v>428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1.783390670147578E-2</v>
      </c>
      <c r="BR18" t="s">
        <v>428</v>
      </c>
      <c r="BS18">
        <v>0</v>
      </c>
      <c r="BT18">
        <v>0.13570589469788205</v>
      </c>
      <c r="BU18">
        <v>9.7477332817318119E-4</v>
      </c>
      <c r="BV18">
        <v>2.5079221796329601E-3</v>
      </c>
      <c r="BW18">
        <v>0.31775968999047904</v>
      </c>
      <c r="BX18">
        <v>2.48685870447811E-2</v>
      </c>
      <c r="BY18">
        <v>6.1644248338997435E-3</v>
      </c>
      <c r="BZ18">
        <v>0.37051354265578718</v>
      </c>
      <c r="CA18">
        <v>4.3596847893519204E-2</v>
      </c>
      <c r="CB18">
        <v>1.0285581421194444E-4</v>
      </c>
      <c r="CC18">
        <v>0.20409124967182043</v>
      </c>
      <c r="CD18">
        <v>4.780987953859772E-3</v>
      </c>
      <c r="CF18" t="s">
        <v>428</v>
      </c>
      <c r="CG18" t="s">
        <v>108</v>
      </c>
      <c r="CH18" t="s">
        <v>109</v>
      </c>
      <c r="CI18">
        <v>0.35675231105565242</v>
      </c>
    </row>
    <row r="19" spans="2:87" x14ac:dyDescent="0.45">
      <c r="B19" t="s">
        <v>429</v>
      </c>
      <c r="C19" t="s">
        <v>99</v>
      </c>
      <c r="D19">
        <v>0</v>
      </c>
      <c r="E19">
        <v>0.44529410843387141</v>
      </c>
      <c r="F19">
        <v>0.9629629629629628</v>
      </c>
      <c r="G19">
        <v>0.87808624818349901</v>
      </c>
      <c r="H19">
        <v>0.26561958634643501</v>
      </c>
      <c r="I19">
        <v>0.69150734070898423</v>
      </c>
      <c r="J19">
        <v>0.79184301107125998</v>
      </c>
      <c r="K19">
        <v>0.20547602478110596</v>
      </c>
      <c r="L19">
        <v>0.60453657317320508</v>
      </c>
      <c r="M19">
        <v>0.97802197802197777</v>
      </c>
      <c r="N19">
        <v>0.36494002914470702</v>
      </c>
      <c r="O19">
        <v>0.89735668163672955</v>
      </c>
      <c r="Q19" t="s">
        <v>429</v>
      </c>
      <c r="R19" t="s">
        <v>100</v>
      </c>
      <c r="S19">
        <v>0</v>
      </c>
      <c r="T19">
        <v>0.27821739051553473</v>
      </c>
      <c r="U19">
        <v>0.68618537120182588</v>
      </c>
      <c r="V19">
        <v>0.78827985229252828</v>
      </c>
      <c r="W19">
        <v>0.14690690317820249</v>
      </c>
      <c r="X19">
        <v>0.3622407079395335</v>
      </c>
      <c r="Y19">
        <v>0.64700128588552253</v>
      </c>
      <c r="Z19">
        <v>0.1027324618697248</v>
      </c>
      <c r="AA19">
        <v>0.29596537107582871</v>
      </c>
      <c r="AB19">
        <v>0.95652698949402226</v>
      </c>
      <c r="AC19">
        <v>0.19088313407809934</v>
      </c>
      <c r="AD19">
        <v>0.4635748165312632</v>
      </c>
      <c r="AF19" t="s">
        <v>429</v>
      </c>
      <c r="AG19" t="s">
        <v>101</v>
      </c>
      <c r="AH19">
        <v>0</v>
      </c>
      <c r="AI19">
        <v>1.8429165720638289E-2</v>
      </c>
      <c r="AJ19">
        <v>0.24192636196703271</v>
      </c>
      <c r="AK19">
        <v>0</v>
      </c>
      <c r="AL19">
        <v>1.7232914844990115E-2</v>
      </c>
      <c r="AM19">
        <v>0.1762102535673028</v>
      </c>
      <c r="AN19">
        <v>0</v>
      </c>
      <c r="AO19">
        <v>1.6463842440058569E-2</v>
      </c>
      <c r="AP19">
        <v>0.14577159925042082</v>
      </c>
      <c r="AQ19">
        <v>0</v>
      </c>
      <c r="AR19">
        <v>3.4445304772982126E-2</v>
      </c>
      <c r="AS19">
        <v>0.33771913611921428</v>
      </c>
      <c r="AU19" t="s">
        <v>429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1.3059960900760705E-2</v>
      </c>
      <c r="BR19" t="s">
        <v>429</v>
      </c>
      <c r="BS19">
        <v>0</v>
      </c>
      <c r="BT19">
        <v>0.13839498294341968</v>
      </c>
      <c r="BU19">
        <v>9.0434562751195492E-4</v>
      </c>
      <c r="BV19">
        <v>2.45398270004918E-3</v>
      </c>
      <c r="BW19">
        <v>0.31492180897728994</v>
      </c>
      <c r="BX19">
        <v>2.5208952629772404E-2</v>
      </c>
      <c r="BY19">
        <v>6.043189798259371E-3</v>
      </c>
      <c r="BZ19">
        <v>0.36176423585831957</v>
      </c>
      <c r="CA19">
        <v>4.4505154345237628E-2</v>
      </c>
      <c r="CB19">
        <v>9.5685006122189252E-5</v>
      </c>
      <c r="CC19">
        <v>0.20781224507593904</v>
      </c>
      <c r="CD19">
        <v>4.909457549949146E-3</v>
      </c>
      <c r="CF19" t="s">
        <v>429</v>
      </c>
      <c r="CG19" t="s">
        <v>108</v>
      </c>
      <c r="CH19" t="s">
        <v>109</v>
      </c>
      <c r="CI19">
        <v>0.35044456223815518</v>
      </c>
    </row>
    <row r="20" spans="2:87" x14ac:dyDescent="0.45">
      <c r="B20" t="s">
        <v>430</v>
      </c>
      <c r="C20" t="s">
        <v>99</v>
      </c>
      <c r="D20">
        <v>0</v>
      </c>
      <c r="E20">
        <v>0.44535139656471934</v>
      </c>
      <c r="F20">
        <v>0.96481481481481457</v>
      </c>
      <c r="G20">
        <v>0.87462945000791648</v>
      </c>
      <c r="H20">
        <v>0.26227548874489315</v>
      </c>
      <c r="I20">
        <v>0.69626812350724487</v>
      </c>
      <c r="J20">
        <v>0.79042337985471511</v>
      </c>
      <c r="K20">
        <v>0.20104080930426224</v>
      </c>
      <c r="L20">
        <v>0.60853649548410149</v>
      </c>
      <c r="M20">
        <v>0.97868609093077275</v>
      </c>
      <c r="N20">
        <v>0.36227846979550166</v>
      </c>
      <c r="O20">
        <v>0.90026346874818763</v>
      </c>
      <c r="Q20" t="s">
        <v>430</v>
      </c>
      <c r="R20" t="s">
        <v>100</v>
      </c>
      <c r="S20">
        <v>0</v>
      </c>
      <c r="T20">
        <v>0.28149560344026925</v>
      </c>
      <c r="U20">
        <v>0.57990432359133959</v>
      </c>
      <c r="V20">
        <v>0.78362812798399606</v>
      </c>
      <c r="W20">
        <v>0.14499979198054025</v>
      </c>
      <c r="X20">
        <v>0.39623206539946321</v>
      </c>
      <c r="Y20">
        <v>0.64391316459094539</v>
      </c>
      <c r="Z20">
        <v>0.10206418390785603</v>
      </c>
      <c r="AA20">
        <v>0.32930669826190734</v>
      </c>
      <c r="AB20">
        <v>0.9585208555407162</v>
      </c>
      <c r="AC20">
        <v>0.19045532285275282</v>
      </c>
      <c r="AD20">
        <v>0.47412456632862582</v>
      </c>
      <c r="AF20" t="s">
        <v>430</v>
      </c>
      <c r="AG20" t="s">
        <v>101</v>
      </c>
      <c r="AH20">
        <v>0</v>
      </c>
      <c r="AI20">
        <v>1.9654753291133056E-2</v>
      </c>
      <c r="AJ20">
        <v>0.35231190345065289</v>
      </c>
      <c r="AK20">
        <v>0</v>
      </c>
      <c r="AL20">
        <v>1.8140242374466507E-2</v>
      </c>
      <c r="AM20">
        <v>0.14655189727985388</v>
      </c>
      <c r="AN20">
        <v>0</v>
      </c>
      <c r="AO20">
        <v>1.3564923279130314E-2</v>
      </c>
      <c r="AP20">
        <v>0.11470312083611794</v>
      </c>
      <c r="AQ20">
        <v>0</v>
      </c>
      <c r="AR20">
        <v>3.4625393230301962E-2</v>
      </c>
      <c r="AS20">
        <v>0.33390188131098292</v>
      </c>
      <c r="AU20" t="s">
        <v>430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1.1756681836867844E-2</v>
      </c>
      <c r="BR20" t="s">
        <v>430</v>
      </c>
      <c r="BS20">
        <v>0</v>
      </c>
      <c r="BT20">
        <v>0.13279608894217138</v>
      </c>
      <c r="BU20">
        <v>6.8420201358902787E-4</v>
      </c>
      <c r="BV20">
        <v>2.7479707637805563E-3</v>
      </c>
      <c r="BW20">
        <v>0.32141525797911608</v>
      </c>
      <c r="BX20">
        <v>2.4166161420407003E-2</v>
      </c>
      <c r="BY20">
        <v>6.5285831180403875E-3</v>
      </c>
      <c r="BZ20">
        <v>0.36519987143717869</v>
      </c>
      <c r="CA20">
        <v>4.3094553806653425E-2</v>
      </c>
      <c r="CB20">
        <v>1.18850598582767E-4</v>
      </c>
      <c r="CC20">
        <v>0.20660012793781948</v>
      </c>
      <c r="CD20">
        <v>4.3352584542421749E-3</v>
      </c>
      <c r="CF20" t="s">
        <v>430</v>
      </c>
      <c r="CG20" t="s">
        <v>108</v>
      </c>
      <c r="CH20" t="s">
        <v>109</v>
      </c>
      <c r="CI20">
        <v>0.35000916857414111</v>
      </c>
    </row>
    <row r="21" spans="2:87" x14ac:dyDescent="0.45">
      <c r="B21" t="s">
        <v>431</v>
      </c>
      <c r="C21" t="s">
        <v>99</v>
      </c>
      <c r="D21">
        <v>0.27139449660491782</v>
      </c>
      <c r="E21">
        <v>0.30488272169681274</v>
      </c>
      <c r="F21">
        <v>0.2675094078130093</v>
      </c>
      <c r="G21">
        <v>0.29616612500281048</v>
      </c>
      <c r="H21">
        <v>0.32477327721866189</v>
      </c>
      <c r="I21">
        <v>0.30459925136883675</v>
      </c>
      <c r="J21">
        <v>0.30846628511382501</v>
      </c>
      <c r="K21">
        <v>0.36768628229956218</v>
      </c>
      <c r="L21">
        <v>0.34218862754968371</v>
      </c>
      <c r="M21">
        <v>0.31817713425919153</v>
      </c>
      <c r="N21">
        <v>0.33690849756843017</v>
      </c>
      <c r="O21">
        <v>0.30693120761110915</v>
      </c>
      <c r="Q21" t="s">
        <v>431</v>
      </c>
      <c r="R21" t="s">
        <v>100</v>
      </c>
      <c r="S21">
        <v>1.8712296628813182E-2</v>
      </c>
      <c r="T21">
        <v>1.1883064784388025E-2</v>
      </c>
      <c r="U21">
        <v>1.928107811349981E-2</v>
      </c>
      <c r="V21">
        <v>2.1402225192053832E-2</v>
      </c>
      <c r="W21">
        <v>2.3678933458487404E-2</v>
      </c>
      <c r="X21">
        <v>2.6180262027725353E-2</v>
      </c>
      <c r="Y21">
        <v>3.8759357604075811E-2</v>
      </c>
      <c r="Z21">
        <v>2.5996865004136182E-2</v>
      </c>
      <c r="AA21">
        <v>3.1406603066334075E-2</v>
      </c>
      <c r="AB21">
        <v>1.951510656600251E-2</v>
      </c>
      <c r="AC21">
        <v>3.1128817065083275E-2</v>
      </c>
      <c r="AD21">
        <v>2.7911440480264015E-2</v>
      </c>
      <c r="AF21" t="s">
        <v>431</v>
      </c>
      <c r="AG21" t="s">
        <v>101</v>
      </c>
      <c r="AH21">
        <v>2.7215778570015857E-2</v>
      </c>
      <c r="AI21">
        <v>2.3753787766321758E-2</v>
      </c>
      <c r="AJ21">
        <v>1.3869622750528483E-2</v>
      </c>
      <c r="AK21">
        <v>3.6912768695586427E-2</v>
      </c>
      <c r="AL21">
        <v>2.3755068098792752E-2</v>
      </c>
      <c r="AM21">
        <v>2.5738932690497773E-2</v>
      </c>
      <c r="AN21">
        <v>3.2921017339191436E-2</v>
      </c>
      <c r="AO21">
        <v>3.7346515820300637E-2</v>
      </c>
      <c r="AP21">
        <v>3.7707357389817828E-2</v>
      </c>
      <c r="AQ21">
        <v>3.0624416201617807E-2</v>
      </c>
      <c r="AR21">
        <v>3.2943404352284371E-2</v>
      </c>
      <c r="AS21">
        <v>4.6006733338012855E-2</v>
      </c>
      <c r="AU21" t="s">
        <v>431</v>
      </c>
      <c r="AV21" t="s">
        <v>102</v>
      </c>
      <c r="AW21">
        <v>0.11465672494179133</v>
      </c>
      <c r="AX21">
        <v>0.14899469851673952</v>
      </c>
      <c r="AY21">
        <v>0.12634911688535519</v>
      </c>
      <c r="AZ21">
        <v>0.12260074792007888</v>
      </c>
      <c r="BA21">
        <v>0.15462718655649305</v>
      </c>
      <c r="BB21">
        <v>0.13672329720360801</v>
      </c>
      <c r="BC21">
        <v>0.12920382802399108</v>
      </c>
      <c r="BD21">
        <v>0.17658283366052599</v>
      </c>
      <c r="BE21">
        <v>0.1535431941208765</v>
      </c>
      <c r="BF21">
        <v>0.14540962567348567</v>
      </c>
      <c r="BG21">
        <v>0.13860905903114348</v>
      </c>
      <c r="BH21">
        <v>0.10410394598703934</v>
      </c>
      <c r="BR21" t="s">
        <v>431</v>
      </c>
      <c r="BS21">
        <v>0.49218790519610423</v>
      </c>
      <c r="BT21">
        <v>0.45931149647415787</v>
      </c>
      <c r="BU21">
        <v>0.49045448190515495</v>
      </c>
      <c r="BV21">
        <v>0.39483269060462117</v>
      </c>
      <c r="BW21">
        <v>0.37865680254670869</v>
      </c>
      <c r="BX21">
        <v>0.39191973819360904</v>
      </c>
      <c r="BY21">
        <v>0.28760879317354832</v>
      </c>
      <c r="BZ21">
        <v>0.23684892207184804</v>
      </c>
      <c r="CA21">
        <v>0.29652663068115737</v>
      </c>
      <c r="CB21">
        <v>0.40390951069671333</v>
      </c>
      <c r="CC21">
        <v>0.3879609064388771</v>
      </c>
      <c r="CD21">
        <v>0.43686456686450015</v>
      </c>
      <c r="CF21" t="s">
        <v>431</v>
      </c>
      <c r="CG21" t="s">
        <v>108</v>
      </c>
      <c r="CH21" t="s">
        <v>109</v>
      </c>
      <c r="CI21">
        <v>0.48997813543864471</v>
      </c>
    </row>
    <row r="22" spans="2:87" x14ac:dyDescent="0.45">
      <c r="B22" t="s">
        <v>432</v>
      </c>
      <c r="C22" t="s">
        <v>99</v>
      </c>
      <c r="D22">
        <v>0.3064083053630452</v>
      </c>
      <c r="E22">
        <v>0.34639024071928126</v>
      </c>
      <c r="F22">
        <v>0.29878875278785899</v>
      </c>
      <c r="G22">
        <v>0.29235664763290736</v>
      </c>
      <c r="H22">
        <v>0.33995473452153935</v>
      </c>
      <c r="I22">
        <v>0.32387444345467448</v>
      </c>
      <c r="J22">
        <v>0.28991251117760264</v>
      </c>
      <c r="K22">
        <v>0.36713580631022491</v>
      </c>
      <c r="L22">
        <v>0.32468109232420755</v>
      </c>
      <c r="M22">
        <v>0.3406148170836853</v>
      </c>
      <c r="N22">
        <v>0.37599618411402752</v>
      </c>
      <c r="O22">
        <v>0.32551336261239255</v>
      </c>
      <c r="Q22" t="s">
        <v>432</v>
      </c>
      <c r="R22" t="s">
        <v>100</v>
      </c>
      <c r="S22">
        <v>2.2316714877113057E-2</v>
      </c>
      <c r="T22">
        <v>2.0530232015958598E-2</v>
      </c>
      <c r="U22">
        <v>3.2849189905114519E-2</v>
      </c>
      <c r="V22">
        <v>2.5830070708506313E-2</v>
      </c>
      <c r="W22">
        <v>2.5231725674277509E-2</v>
      </c>
      <c r="X22">
        <v>2.8862253100675462E-2</v>
      </c>
      <c r="Y22">
        <v>4.0794742774059235E-2</v>
      </c>
      <c r="Z22">
        <v>2.1229868067715357E-2</v>
      </c>
      <c r="AA22">
        <v>4.0317820879666677E-2</v>
      </c>
      <c r="AB22">
        <v>2.0488621246272334E-2</v>
      </c>
      <c r="AC22">
        <v>3.9579340597753712E-2</v>
      </c>
      <c r="AD22">
        <v>1.8635555581442621E-2</v>
      </c>
      <c r="AF22" t="s">
        <v>432</v>
      </c>
      <c r="AG22" t="s">
        <v>101</v>
      </c>
      <c r="AH22">
        <v>4.6576549782223572E-2</v>
      </c>
      <c r="AI22">
        <v>1.8451123758665467E-2</v>
      </c>
      <c r="AJ22">
        <v>2.8800872258771554E-2</v>
      </c>
      <c r="AK22">
        <v>3.7002058219147406E-2</v>
      </c>
      <c r="AL22">
        <v>3.0296591375300146E-2</v>
      </c>
      <c r="AM22">
        <v>3.01720107353079E-2</v>
      </c>
      <c r="AN22">
        <v>4.1319023607521058E-2</v>
      </c>
      <c r="AO22">
        <v>3.3420641276077738E-2</v>
      </c>
      <c r="AP22">
        <v>1.5088085061838653E-2</v>
      </c>
      <c r="AQ22">
        <v>2.3426588438641205E-2</v>
      </c>
      <c r="AR22">
        <v>3.1266856630724732E-2</v>
      </c>
      <c r="AS22">
        <v>4.6366601509728017E-2</v>
      </c>
      <c r="AU22" t="s">
        <v>432</v>
      </c>
      <c r="AV22" t="s">
        <v>102</v>
      </c>
      <c r="AW22">
        <v>0.11955756644899018</v>
      </c>
      <c r="AX22">
        <v>0.18157177876450814</v>
      </c>
      <c r="AY22">
        <v>0.12676298884173601</v>
      </c>
      <c r="AZ22">
        <v>0.12341158870401304</v>
      </c>
      <c r="BA22">
        <v>0.15995386092648647</v>
      </c>
      <c r="BB22">
        <v>0.15022552717833798</v>
      </c>
      <c r="BC22">
        <v>0.1051417725227361</v>
      </c>
      <c r="BD22">
        <v>0.19499998233808583</v>
      </c>
      <c r="BE22">
        <v>0.16443867122797737</v>
      </c>
      <c r="BF22">
        <v>0.16813593305500552</v>
      </c>
      <c r="BG22">
        <v>0.161221437020418</v>
      </c>
      <c r="BH22">
        <v>0.13378229267867062</v>
      </c>
      <c r="BR22" t="s">
        <v>432</v>
      </c>
      <c r="BS22">
        <v>0.43457663638164457</v>
      </c>
      <c r="BT22">
        <v>0.39878144757689599</v>
      </c>
      <c r="BU22">
        <v>0.42853548473569225</v>
      </c>
      <c r="BV22">
        <v>0.33962350618821779</v>
      </c>
      <c r="BW22">
        <v>0.32032084596384236</v>
      </c>
      <c r="BX22">
        <v>0.33218268765479403</v>
      </c>
      <c r="BY22">
        <v>0.246858371489872</v>
      </c>
      <c r="BZ22">
        <v>0.19679140595875749</v>
      </c>
      <c r="CA22">
        <v>0.25067350902877239</v>
      </c>
      <c r="CB22">
        <v>0.35921453776919782</v>
      </c>
      <c r="CC22">
        <v>0.34433003885129332</v>
      </c>
      <c r="CD22">
        <v>0.38948858380288665</v>
      </c>
      <c r="CF22" t="s">
        <v>432</v>
      </c>
      <c r="CG22" t="s">
        <v>108</v>
      </c>
      <c r="CH22" t="s">
        <v>109</v>
      </c>
      <c r="CI22">
        <v>0.43208391067471619</v>
      </c>
    </row>
    <row r="23" spans="2:87" x14ac:dyDescent="0.45">
      <c r="B23" t="s">
        <v>433</v>
      </c>
      <c r="C23" t="s">
        <v>99</v>
      </c>
      <c r="D23">
        <v>0.32770987249629757</v>
      </c>
      <c r="E23">
        <v>0.36958109940593509</v>
      </c>
      <c r="F23">
        <v>0.3146945805560053</v>
      </c>
      <c r="G23">
        <v>0.30756688089263545</v>
      </c>
      <c r="H23">
        <v>0.33920322653560797</v>
      </c>
      <c r="I23">
        <v>0.32511260729307567</v>
      </c>
      <c r="J23">
        <v>0.31591216997985871</v>
      </c>
      <c r="K23">
        <v>0.38663408982666025</v>
      </c>
      <c r="L23">
        <v>0.33835754125283274</v>
      </c>
      <c r="M23">
        <v>0.3420079704996109</v>
      </c>
      <c r="N23">
        <v>0.37939672107243866</v>
      </c>
      <c r="O23">
        <v>0.32703498597973824</v>
      </c>
      <c r="Q23" t="s">
        <v>433</v>
      </c>
      <c r="R23" t="s">
        <v>100</v>
      </c>
      <c r="S23">
        <v>2.4520072675414038E-2</v>
      </c>
      <c r="T23">
        <v>2.8943089619470824E-2</v>
      </c>
      <c r="U23">
        <v>2.6835935198527873E-2</v>
      </c>
      <c r="V23">
        <v>3.842091519831875E-2</v>
      </c>
      <c r="W23">
        <v>3.6304347171427859E-2</v>
      </c>
      <c r="X23">
        <v>3.2917888056614539E-2</v>
      </c>
      <c r="Y23">
        <v>3.8079612321648422E-2</v>
      </c>
      <c r="Z23">
        <v>2.7386900629301741E-2</v>
      </c>
      <c r="AA23">
        <v>4.1999600708428064E-2</v>
      </c>
      <c r="AB23">
        <v>2.3243237689001387E-2</v>
      </c>
      <c r="AC23">
        <v>2.6783922194747199E-2</v>
      </c>
      <c r="AD23">
        <v>4.0897676012763076E-2</v>
      </c>
      <c r="AF23" t="s">
        <v>433</v>
      </c>
      <c r="AG23" t="s">
        <v>101</v>
      </c>
      <c r="AH23">
        <v>3.9400667989320494E-2</v>
      </c>
      <c r="AI23">
        <v>3.2155038702647146E-2</v>
      </c>
      <c r="AJ23">
        <v>3.8734858437637423E-2</v>
      </c>
      <c r="AK23">
        <v>5.3383779970698077E-2</v>
      </c>
      <c r="AL23">
        <v>3.9658326123197002E-2</v>
      </c>
      <c r="AM23">
        <v>5.1432707850094517E-2</v>
      </c>
      <c r="AN23">
        <v>3.5409298489690121E-2</v>
      </c>
      <c r="AO23">
        <v>3.2406239051324739E-2</v>
      </c>
      <c r="AP23">
        <v>2.0965730191439751E-2</v>
      </c>
      <c r="AQ23">
        <v>4.7913418653000542E-2</v>
      </c>
      <c r="AR23">
        <v>3.3591023916561956E-2</v>
      </c>
      <c r="AS23">
        <v>2.7173156466985687E-2</v>
      </c>
      <c r="AU23" t="s">
        <v>433</v>
      </c>
      <c r="AV23" t="s">
        <v>102</v>
      </c>
      <c r="AW23">
        <v>0.13657627740288697</v>
      </c>
      <c r="AX23">
        <v>0.17987324619649045</v>
      </c>
      <c r="AY23">
        <v>0.13644924241405207</v>
      </c>
      <c r="AZ23">
        <v>0.10248499681999068</v>
      </c>
      <c r="BA23">
        <v>0.14534943369950293</v>
      </c>
      <c r="BB23">
        <v>0.12625131916962981</v>
      </c>
      <c r="BC23">
        <v>0.12497342703945104</v>
      </c>
      <c r="BD23">
        <v>0.21472089427415103</v>
      </c>
      <c r="BE23">
        <v>0.16398058201612634</v>
      </c>
      <c r="BF23">
        <v>0.14222659895573778</v>
      </c>
      <c r="BG23">
        <v>0.18114228004541841</v>
      </c>
      <c r="BH23">
        <v>0.12874617485495848</v>
      </c>
      <c r="BR23" t="s">
        <v>433</v>
      </c>
      <c r="BS23">
        <v>0.40139935990429509</v>
      </c>
      <c r="BT23">
        <v>0.36163773565279483</v>
      </c>
      <c r="BU23">
        <v>0.4075110198508809</v>
      </c>
      <c r="BV23">
        <v>0.30880854100878691</v>
      </c>
      <c r="BW23">
        <v>0.27431105512322157</v>
      </c>
      <c r="BX23">
        <v>0.30339371770391982</v>
      </c>
      <c r="BY23">
        <v>0.23163066304479391</v>
      </c>
      <c r="BZ23">
        <v>0.17338417159182301</v>
      </c>
      <c r="CA23">
        <v>0.21791474680254691</v>
      </c>
      <c r="CB23">
        <v>0.36186048735269438</v>
      </c>
      <c r="CC23">
        <v>0.33111872555033206</v>
      </c>
      <c r="CD23">
        <v>0.38549780494000285</v>
      </c>
      <c r="CF23" t="s">
        <v>433</v>
      </c>
      <c r="CG23" t="s">
        <v>108</v>
      </c>
      <c r="CH23" t="s">
        <v>109</v>
      </c>
      <c r="CI23">
        <v>0.40161434864561385</v>
      </c>
    </row>
    <row r="24" spans="2:87" x14ac:dyDescent="0.45">
      <c r="B24" t="s">
        <v>434</v>
      </c>
      <c r="C24" t="s">
        <v>99</v>
      </c>
      <c r="D24">
        <v>0.34586142640011674</v>
      </c>
      <c r="E24">
        <v>0.36991607769836954</v>
      </c>
      <c r="F24">
        <v>0.33173241180944885</v>
      </c>
      <c r="G24">
        <v>0.31956762372810676</v>
      </c>
      <c r="H24">
        <v>0.36517300208081682</v>
      </c>
      <c r="I24">
        <v>0.31690808753397576</v>
      </c>
      <c r="J24">
        <v>0.3268936741842387</v>
      </c>
      <c r="K24">
        <v>0.42074407384727719</v>
      </c>
      <c r="L24">
        <v>0.347464353620974</v>
      </c>
      <c r="M24">
        <v>0.34203308718041453</v>
      </c>
      <c r="N24">
        <v>0.38025498133716595</v>
      </c>
      <c r="O24">
        <v>0.33706484935035103</v>
      </c>
      <c r="Q24" t="s">
        <v>434</v>
      </c>
      <c r="R24" t="s">
        <v>100</v>
      </c>
      <c r="S24">
        <v>2.2896964498130501E-2</v>
      </c>
      <c r="T24">
        <v>2.5137529862570597E-2</v>
      </c>
      <c r="U24">
        <v>3.0868970248295026E-2</v>
      </c>
      <c r="V24">
        <v>4.6793623024240935E-2</v>
      </c>
      <c r="W24">
        <v>3.2706136188629865E-2</v>
      </c>
      <c r="X24">
        <v>2.4821409444820704E-2</v>
      </c>
      <c r="Y24">
        <v>3.5745732539987016E-2</v>
      </c>
      <c r="Z24">
        <v>3.0138895073030032E-2</v>
      </c>
      <c r="AA24">
        <v>3.339166838671466E-2</v>
      </c>
      <c r="AB24">
        <v>2.073474837945816E-2</v>
      </c>
      <c r="AC24">
        <v>3.7413508858640913E-2</v>
      </c>
      <c r="AD24">
        <v>4.7671372987255559E-2</v>
      </c>
      <c r="AF24" t="s">
        <v>434</v>
      </c>
      <c r="AG24" t="s">
        <v>101</v>
      </c>
      <c r="AH24">
        <v>3.7889846544148682E-2</v>
      </c>
      <c r="AI24">
        <v>2.6167511098296035E-2</v>
      </c>
      <c r="AJ24">
        <v>4.4173497372062401E-2</v>
      </c>
      <c r="AK24">
        <v>5.0635959894724594E-2</v>
      </c>
      <c r="AL24">
        <v>5.4469538093226376E-2</v>
      </c>
      <c r="AM24">
        <v>2.1827479111498793E-2</v>
      </c>
      <c r="AN24">
        <v>1.7071067790281672E-2</v>
      </c>
      <c r="AO24">
        <v>4.9555270712875424E-2</v>
      </c>
      <c r="AP24">
        <v>3.2135262108877446E-2</v>
      </c>
      <c r="AQ24">
        <v>5.2054373428485928E-2</v>
      </c>
      <c r="AR24">
        <v>3.6904691067477756E-2</v>
      </c>
      <c r="AS24">
        <v>3.3787106300145954E-2</v>
      </c>
      <c r="AU24" t="s">
        <v>434</v>
      </c>
      <c r="AV24" t="s">
        <v>102</v>
      </c>
      <c r="AW24">
        <v>0.16061322233668043</v>
      </c>
      <c r="AX24">
        <v>0.19273279802588078</v>
      </c>
      <c r="AY24">
        <v>0.14395366646666111</v>
      </c>
      <c r="AZ24">
        <v>0.10539675579141135</v>
      </c>
      <c r="BA24">
        <v>0.15152312680087901</v>
      </c>
      <c r="BB24">
        <v>0.16298747394003327</v>
      </c>
      <c r="BC24">
        <v>0.15527733640403907</v>
      </c>
      <c r="BD24">
        <v>0.21886690278614249</v>
      </c>
      <c r="BE24">
        <v>0.16781198181075294</v>
      </c>
      <c r="BF24">
        <v>0.14749611690674375</v>
      </c>
      <c r="BG24">
        <v>0.17452321642242943</v>
      </c>
      <c r="BH24">
        <v>0.12029479597301691</v>
      </c>
      <c r="BR24" t="s">
        <v>434</v>
      </c>
      <c r="BS24">
        <v>0.37679737726446344</v>
      </c>
      <c r="BT24">
        <v>0.33934270753163015</v>
      </c>
      <c r="BU24">
        <v>0.37714327910690809</v>
      </c>
      <c r="BV24">
        <v>0.28723744465368445</v>
      </c>
      <c r="BW24">
        <v>0.25914093383180442</v>
      </c>
      <c r="BX24">
        <v>0.28432647494406887</v>
      </c>
      <c r="BY24">
        <v>0.20908949460863369</v>
      </c>
      <c r="BZ24">
        <v>0.16160591546947178</v>
      </c>
      <c r="CA24">
        <v>0.19264174049232574</v>
      </c>
      <c r="CB24">
        <v>0.34344888026096887</v>
      </c>
      <c r="CC24">
        <v>0.3089254436950496</v>
      </c>
      <c r="CD24">
        <v>0.36299345028823782</v>
      </c>
      <c r="CF24" t="s">
        <v>434</v>
      </c>
      <c r="CG24" t="s">
        <v>108</v>
      </c>
      <c r="CH24" t="s">
        <v>109</v>
      </c>
      <c r="CI24">
        <v>0.3741115200497141</v>
      </c>
    </row>
    <row r="25" spans="2:87" x14ac:dyDescent="0.45">
      <c r="B25" t="s">
        <v>435</v>
      </c>
      <c r="C25" t="s">
        <v>99</v>
      </c>
      <c r="D25">
        <v>0.30237353299761938</v>
      </c>
      <c r="E25">
        <v>0.34460314365652067</v>
      </c>
      <c r="F25">
        <v>0.29677092004464783</v>
      </c>
      <c r="G25">
        <v>0.31792316138278531</v>
      </c>
      <c r="H25">
        <v>0.37784727723376788</v>
      </c>
      <c r="I25">
        <v>0.32888567420260117</v>
      </c>
      <c r="J25">
        <v>0.31397964934119055</v>
      </c>
      <c r="K25">
        <v>0.40310427651206293</v>
      </c>
      <c r="L25">
        <v>0.35596571645565545</v>
      </c>
      <c r="M25">
        <v>0.34040069435891207</v>
      </c>
      <c r="N25">
        <v>0.37297202646991007</v>
      </c>
      <c r="O25">
        <v>0.32914289413597153</v>
      </c>
      <c r="Q25" t="s">
        <v>435</v>
      </c>
      <c r="R25" t="s">
        <v>100</v>
      </c>
      <c r="S25">
        <v>2.1586557139550183E-2</v>
      </c>
      <c r="T25">
        <v>2.3591937706130293E-2</v>
      </c>
      <c r="U25">
        <v>1.3114138849388734E-2</v>
      </c>
      <c r="V25">
        <v>2.6844056595343908E-2</v>
      </c>
      <c r="W25">
        <v>3.2375055723334517E-2</v>
      </c>
      <c r="X25">
        <v>2.5904905514913572E-2</v>
      </c>
      <c r="Y25">
        <v>5.7742812821747057E-2</v>
      </c>
      <c r="Z25">
        <v>4.7684963304034045E-2</v>
      </c>
      <c r="AA25">
        <v>7.2286700607545162E-2</v>
      </c>
      <c r="AB25">
        <v>2.0090772683233084E-2</v>
      </c>
      <c r="AC25">
        <v>2.4414703870175719E-2</v>
      </c>
      <c r="AD25">
        <v>4.3918727148643928E-2</v>
      </c>
      <c r="AF25" t="s">
        <v>435</v>
      </c>
      <c r="AG25" t="s">
        <v>101</v>
      </c>
      <c r="AH25">
        <v>2.1054861411070169E-2</v>
      </c>
      <c r="AI25">
        <v>2.4848472462639878E-2</v>
      </c>
      <c r="AJ25">
        <v>1.8781860828746121E-2</v>
      </c>
      <c r="AK25">
        <v>4.2075232109435944E-2</v>
      </c>
      <c r="AL25">
        <v>3.5794071070408558E-2</v>
      </c>
      <c r="AM25">
        <v>2.4207576243910019E-2</v>
      </c>
      <c r="AN25">
        <v>3.4396680405423943E-2</v>
      </c>
      <c r="AO25">
        <v>4.893605469315241E-2</v>
      </c>
      <c r="AP25">
        <v>2.5571569445966079E-2</v>
      </c>
      <c r="AQ25">
        <v>4.684557002447616E-2</v>
      </c>
      <c r="AR25">
        <v>2.6199078222015681E-2</v>
      </c>
      <c r="AS25">
        <v>4.3908285182516368E-2</v>
      </c>
      <c r="AU25" t="s">
        <v>435</v>
      </c>
      <c r="AV25" t="s">
        <v>102</v>
      </c>
      <c r="AW25">
        <v>0.14882516057885031</v>
      </c>
      <c r="AX25">
        <v>0.16727567201527788</v>
      </c>
      <c r="AY25">
        <v>0.16504029139406007</v>
      </c>
      <c r="AZ25">
        <v>0.13860799584410935</v>
      </c>
      <c r="BA25">
        <v>0.18178702528112919</v>
      </c>
      <c r="BB25">
        <v>0.16006337516459443</v>
      </c>
      <c r="BC25">
        <v>0.11204814818638603</v>
      </c>
      <c r="BD25">
        <v>0.18795100781822061</v>
      </c>
      <c r="BE25">
        <v>0.14911111195907609</v>
      </c>
      <c r="BF25">
        <v>0.14706353249861462</v>
      </c>
      <c r="BG25">
        <v>0.18906405246413555</v>
      </c>
      <c r="BH25">
        <v>0.12010368350002652</v>
      </c>
      <c r="BR25" t="s">
        <v>435</v>
      </c>
      <c r="BS25">
        <v>0.43276027238670228</v>
      </c>
      <c r="BT25">
        <v>0.39561091022980382</v>
      </c>
      <c r="BU25">
        <v>0.42001015093319322</v>
      </c>
      <c r="BV25">
        <v>0.3128751325732968</v>
      </c>
      <c r="BW25">
        <v>0.29175085403419171</v>
      </c>
      <c r="BX25">
        <v>0.31057648765656665</v>
      </c>
      <c r="BY25">
        <v>0.22357314017322616</v>
      </c>
      <c r="BZ25">
        <v>0.16957127805157349</v>
      </c>
      <c r="CA25">
        <v>0.21535590914055927</v>
      </c>
      <c r="CB25">
        <v>0.34524175309025551</v>
      </c>
      <c r="CC25">
        <v>0.31499652750187274</v>
      </c>
      <c r="CD25">
        <v>0.37446655311957794</v>
      </c>
      <c r="CF25" t="s">
        <v>435</v>
      </c>
      <c r="CG25" t="s">
        <v>108</v>
      </c>
      <c r="CH25" t="s">
        <v>109</v>
      </c>
      <c r="CI25">
        <v>0.4300029445392341</v>
      </c>
    </row>
    <row r="26" spans="2:87" x14ac:dyDescent="0.45">
      <c r="B26" t="s">
        <v>436</v>
      </c>
      <c r="C26" t="s">
        <v>99</v>
      </c>
      <c r="D26">
        <v>0.3156253005233845</v>
      </c>
      <c r="E26">
        <v>0.35473142869851226</v>
      </c>
      <c r="F26">
        <v>0.31274832103645211</v>
      </c>
      <c r="G26">
        <v>0.32365021587892923</v>
      </c>
      <c r="H26">
        <v>0.39413888838752759</v>
      </c>
      <c r="I26">
        <v>0.331157339482746</v>
      </c>
      <c r="J26">
        <v>0.32755577772380368</v>
      </c>
      <c r="K26">
        <v>0.42543100359561309</v>
      </c>
      <c r="L26">
        <v>0.36673090743281184</v>
      </c>
      <c r="M26">
        <v>0.34467770420367327</v>
      </c>
      <c r="N26">
        <v>0.38552792566355476</v>
      </c>
      <c r="O26">
        <v>0.33906296220559234</v>
      </c>
      <c r="Q26" t="s">
        <v>436</v>
      </c>
      <c r="R26" t="s">
        <v>100</v>
      </c>
      <c r="S26">
        <v>2.1162580470750758E-2</v>
      </c>
      <c r="T26">
        <v>2.1434012946666983E-2</v>
      </c>
      <c r="U26">
        <v>2.558003147210992E-2</v>
      </c>
      <c r="V26">
        <v>3.4959486002884475E-2</v>
      </c>
      <c r="W26">
        <v>3.7061840492267885E-2</v>
      </c>
      <c r="X26">
        <v>4.1641518795288747E-2</v>
      </c>
      <c r="Y26">
        <v>5.9602158345886669E-2</v>
      </c>
      <c r="Z26">
        <v>4.2044845037682424E-2</v>
      </c>
      <c r="AA26">
        <v>7.3160757617648439E-2</v>
      </c>
      <c r="AB26">
        <v>2.0844180818838216E-2</v>
      </c>
      <c r="AC26">
        <v>2.2316377000650943E-2</v>
      </c>
      <c r="AD26">
        <v>5.8955112866761271E-2</v>
      </c>
      <c r="AF26" t="s">
        <v>436</v>
      </c>
      <c r="AG26" t="s">
        <v>101</v>
      </c>
      <c r="AH26">
        <v>3.703054885287882E-2</v>
      </c>
      <c r="AI26">
        <v>2.2917971267299185E-2</v>
      </c>
      <c r="AJ26">
        <v>2.631520642103689E-2</v>
      </c>
      <c r="AK26">
        <v>4.8592469841881883E-2</v>
      </c>
      <c r="AL26">
        <v>5.1040936495090429E-2</v>
      </c>
      <c r="AM26">
        <v>1.3204196838502795E-2</v>
      </c>
      <c r="AN26">
        <v>4.0255630648428055E-2</v>
      </c>
      <c r="AO26">
        <v>4.7243403172215891E-2</v>
      </c>
      <c r="AP26">
        <v>2.296010777349489E-2</v>
      </c>
      <c r="AQ26">
        <v>5.2118829851779354E-2</v>
      </c>
      <c r="AR26">
        <v>2.8474037333159324E-2</v>
      </c>
      <c r="AS26">
        <v>3.8045544774772309E-2</v>
      </c>
      <c r="AU26" t="s">
        <v>436</v>
      </c>
      <c r="AV26" t="s">
        <v>102</v>
      </c>
      <c r="AW26">
        <v>0.14468876807328052</v>
      </c>
      <c r="AX26">
        <v>0.18187404860183937</v>
      </c>
      <c r="AY26">
        <v>0.1579547005251784</v>
      </c>
      <c r="AZ26">
        <v>0.12747801799886288</v>
      </c>
      <c r="BA26">
        <v>0.178250547218953</v>
      </c>
      <c r="BB26">
        <v>0.16362386815023644</v>
      </c>
      <c r="BC26">
        <v>0.11523924856396932</v>
      </c>
      <c r="BD26">
        <v>0.20933304375491407</v>
      </c>
      <c r="BE26">
        <v>0.15872840950259334</v>
      </c>
      <c r="BF26">
        <v>0.14055127955418636</v>
      </c>
      <c r="BG26">
        <v>0.19440507045229569</v>
      </c>
      <c r="BH26">
        <v>0.12429297965358026</v>
      </c>
      <c r="BR26" t="s">
        <v>436</v>
      </c>
      <c r="BS26">
        <v>0.41290610029924818</v>
      </c>
      <c r="BT26">
        <v>0.3702314626611769</v>
      </c>
      <c r="BU26">
        <v>0.3981132612477436</v>
      </c>
      <c r="BV26">
        <v>0.27971651618060173</v>
      </c>
      <c r="BW26">
        <v>0.25710868996406055</v>
      </c>
      <c r="BX26">
        <v>0.28170915442962619</v>
      </c>
      <c r="BY26">
        <v>0.20146894783449723</v>
      </c>
      <c r="BZ26">
        <v>0.15517401583897678</v>
      </c>
      <c r="CA26">
        <v>0.18974668456686902</v>
      </c>
      <c r="CB26">
        <v>0.33238842302375565</v>
      </c>
      <c r="CC26">
        <v>0.29296025532543413</v>
      </c>
      <c r="CD26">
        <v>0.34538895644813833</v>
      </c>
      <c r="CF26" t="s">
        <v>436</v>
      </c>
      <c r="CG26" t="s">
        <v>108</v>
      </c>
      <c r="CH26" t="s">
        <v>109</v>
      </c>
      <c r="CI26">
        <v>0.40964036204483517</v>
      </c>
    </row>
    <row r="27" spans="2:87" x14ac:dyDescent="0.45">
      <c r="B27" t="s">
        <v>437</v>
      </c>
      <c r="C27" t="s">
        <v>99</v>
      </c>
      <c r="D27">
        <v>0.32716666311240561</v>
      </c>
      <c r="E27">
        <v>0.3592125464341247</v>
      </c>
      <c r="F27">
        <v>0.30999492919096638</v>
      </c>
      <c r="G27">
        <v>0.31261009322899053</v>
      </c>
      <c r="H27">
        <v>0.34693454597999218</v>
      </c>
      <c r="I27">
        <v>0.31949025280059007</v>
      </c>
      <c r="J27">
        <v>0.3213063405624132</v>
      </c>
      <c r="K27">
        <v>0.39770314981285249</v>
      </c>
      <c r="L27">
        <v>0.3527980308941171</v>
      </c>
      <c r="M27">
        <v>0.3410939565088234</v>
      </c>
      <c r="N27">
        <v>0.37656090733657399</v>
      </c>
      <c r="O27">
        <v>0.33424746477887557</v>
      </c>
      <c r="Q27" t="s">
        <v>437</v>
      </c>
      <c r="R27" t="s">
        <v>100</v>
      </c>
      <c r="S27">
        <v>2.6327510078379249E-2</v>
      </c>
      <c r="T27">
        <v>2.1238965228819687E-2</v>
      </c>
      <c r="U27">
        <v>1.7829061389074474E-2</v>
      </c>
      <c r="V27">
        <v>3.6525414516201178E-2</v>
      </c>
      <c r="W27">
        <v>4.4725347851221335E-2</v>
      </c>
      <c r="X27">
        <v>2.4281939682868764E-2</v>
      </c>
      <c r="Y27">
        <v>2.9112900303142734E-2</v>
      </c>
      <c r="Z27">
        <v>3.2926557121050415E-2</v>
      </c>
      <c r="AA27">
        <v>2.8845017737294681E-2</v>
      </c>
      <c r="AB27">
        <v>2.1643000400924515E-2</v>
      </c>
      <c r="AC27">
        <v>2.9973760033268002E-2</v>
      </c>
      <c r="AD27">
        <v>4.1603217641200528E-2</v>
      </c>
      <c r="AF27" t="s">
        <v>437</v>
      </c>
      <c r="AG27" t="s">
        <v>101</v>
      </c>
      <c r="AH27">
        <v>3.4545385351062843E-2</v>
      </c>
      <c r="AI27">
        <v>3.2804942401143435E-2</v>
      </c>
      <c r="AJ27">
        <v>1.8594021895754865E-2</v>
      </c>
      <c r="AK27">
        <v>4.7765714499714507E-2</v>
      </c>
      <c r="AL27">
        <v>3.9477758523583428E-2</v>
      </c>
      <c r="AM27">
        <v>4.331984553816165E-2</v>
      </c>
      <c r="AN27">
        <v>3.9120124713203391E-2</v>
      </c>
      <c r="AO27">
        <v>3.8727726971736466E-2</v>
      </c>
      <c r="AP27">
        <v>1.3877882468845032E-2</v>
      </c>
      <c r="AQ27">
        <v>3.7997920967905198E-2</v>
      </c>
      <c r="AR27">
        <v>2.8705078021979066E-2</v>
      </c>
      <c r="AS27">
        <v>3.3748550469061951E-2</v>
      </c>
      <c r="AU27" t="s">
        <v>437</v>
      </c>
      <c r="AV27" t="s">
        <v>102</v>
      </c>
      <c r="AW27">
        <v>0.1386535187738564</v>
      </c>
      <c r="AX27">
        <v>0.17180300042951352</v>
      </c>
      <c r="AY27">
        <v>0.16042962366019772</v>
      </c>
      <c r="AZ27">
        <v>0.11484221057893844</v>
      </c>
      <c r="BA27">
        <v>0.13995642209590509</v>
      </c>
      <c r="BB27">
        <v>0.14151690953735147</v>
      </c>
      <c r="BC27">
        <v>0.14767289144718063</v>
      </c>
      <c r="BD27">
        <v>0.20847371331751929</v>
      </c>
      <c r="BE27">
        <v>0.20086327546077429</v>
      </c>
      <c r="BF27">
        <v>0.15620125247003358</v>
      </c>
      <c r="BG27">
        <v>0.17732315928108697</v>
      </c>
      <c r="BH27">
        <v>0.12170094816216422</v>
      </c>
      <c r="BR27" t="s">
        <v>437</v>
      </c>
      <c r="BS27">
        <v>0.43385163192488618</v>
      </c>
      <c r="BT27">
        <v>0.39118190454482127</v>
      </c>
      <c r="BU27">
        <v>0.42720341945344675</v>
      </c>
      <c r="BV27">
        <v>0.30909447118842104</v>
      </c>
      <c r="BW27">
        <v>0.27859157621609504</v>
      </c>
      <c r="BX27">
        <v>0.30297876511298444</v>
      </c>
      <c r="BY27">
        <v>0.21891829398001753</v>
      </c>
      <c r="BZ27">
        <v>0.17815029731254936</v>
      </c>
      <c r="CA27">
        <v>0.20609108923832625</v>
      </c>
      <c r="CB27">
        <v>0.37516832411422663</v>
      </c>
      <c r="CC27">
        <v>0.34214847674110721</v>
      </c>
      <c r="CD27">
        <v>0.39817058350915091</v>
      </c>
      <c r="CF27" t="s">
        <v>437</v>
      </c>
      <c r="CG27" t="s">
        <v>108</v>
      </c>
      <c r="CH27" t="s">
        <v>109</v>
      </c>
      <c r="CI27">
        <v>0.42837225576232424</v>
      </c>
    </row>
    <row r="28" spans="2:87" x14ac:dyDescent="0.45">
      <c r="B28" t="s">
        <v>438</v>
      </c>
      <c r="C28" t="s">
        <v>99</v>
      </c>
      <c r="D28">
        <v>0.32295546414959914</v>
      </c>
      <c r="E28">
        <v>0.35390841573407306</v>
      </c>
      <c r="F28">
        <v>0.30913054100789572</v>
      </c>
      <c r="G28">
        <v>0.32244002940880007</v>
      </c>
      <c r="H28">
        <v>0.37238413557727718</v>
      </c>
      <c r="I28">
        <v>0.32415267485569754</v>
      </c>
      <c r="J28">
        <v>0.32971090006573323</v>
      </c>
      <c r="K28">
        <v>0.40868818704441157</v>
      </c>
      <c r="L28">
        <v>0.37129627752815592</v>
      </c>
      <c r="M28">
        <v>0.34723835983752266</v>
      </c>
      <c r="N28">
        <v>0.37721429458440742</v>
      </c>
      <c r="O28">
        <v>0.3421342333780959</v>
      </c>
      <c r="Q28" t="s">
        <v>438</v>
      </c>
      <c r="R28" t="s">
        <v>100</v>
      </c>
      <c r="S28">
        <v>2.1886990429771418E-2</v>
      </c>
      <c r="T28">
        <v>2.0125079866577644E-2</v>
      </c>
      <c r="U28">
        <v>1.3718628844088018E-2</v>
      </c>
      <c r="V28">
        <v>3.2864765005095081E-2</v>
      </c>
      <c r="W28">
        <v>2.6213864235251596E-2</v>
      </c>
      <c r="X28">
        <v>2.4465868071646243E-2</v>
      </c>
      <c r="Y28">
        <v>4.4896847071366063E-2</v>
      </c>
      <c r="Z28">
        <v>3.8829058273942584E-2</v>
      </c>
      <c r="AA28">
        <v>4.304557136084762E-2</v>
      </c>
      <c r="AB28">
        <v>1.7625465805873715E-2</v>
      </c>
      <c r="AC28">
        <v>1.9567035701905534E-2</v>
      </c>
      <c r="AD28">
        <v>4.2685620634158303E-2</v>
      </c>
      <c r="AF28" t="s">
        <v>438</v>
      </c>
      <c r="AG28" t="s">
        <v>101</v>
      </c>
      <c r="AH28">
        <v>2.5128114932534223E-2</v>
      </c>
      <c r="AI28">
        <v>2.8464271496934895E-2</v>
      </c>
      <c r="AJ28">
        <v>1.9727616625582523E-2</v>
      </c>
      <c r="AK28">
        <v>4.0798141038723805E-2</v>
      </c>
      <c r="AL28">
        <v>4.9221910063578914E-2</v>
      </c>
      <c r="AM28">
        <v>2.8561397764389151E-2</v>
      </c>
      <c r="AN28">
        <v>3.7235963293353332E-2</v>
      </c>
      <c r="AO28">
        <v>4.5942033325871198E-2</v>
      </c>
      <c r="AP28">
        <v>3.9629048851754861E-2</v>
      </c>
      <c r="AQ28">
        <v>4.4980692825261223E-2</v>
      </c>
      <c r="AR28">
        <v>2.4346332108294726E-2</v>
      </c>
      <c r="AS28">
        <v>3.1174144774950924E-2</v>
      </c>
      <c r="AU28" t="s">
        <v>438</v>
      </c>
      <c r="AV28" t="s">
        <v>102</v>
      </c>
      <c r="AW28">
        <v>0.15149177846780393</v>
      </c>
      <c r="AX28">
        <v>0.17186825511682452</v>
      </c>
      <c r="AY28">
        <v>0.16810763037007961</v>
      </c>
      <c r="AZ28">
        <v>0.13121245063771117</v>
      </c>
      <c r="BA28">
        <v>0.16348514237251818</v>
      </c>
      <c r="BB28">
        <v>0.16167400178814745</v>
      </c>
      <c r="BC28">
        <v>0.14059764711798273</v>
      </c>
      <c r="BD28">
        <v>0.20408390911837587</v>
      </c>
      <c r="BE28">
        <v>0.17718457782572633</v>
      </c>
      <c r="BF28">
        <v>0.15121535135651207</v>
      </c>
      <c r="BG28">
        <v>0.19194517439806433</v>
      </c>
      <c r="BH28">
        <v>0.13525677423466326</v>
      </c>
      <c r="BR28" t="s">
        <v>438</v>
      </c>
      <c r="BS28">
        <v>0.43953426316988448</v>
      </c>
      <c r="BT28">
        <v>0.3949875343334861</v>
      </c>
      <c r="BU28">
        <v>0.42445974390807184</v>
      </c>
      <c r="BV28">
        <v>0.30088864132804977</v>
      </c>
      <c r="BW28">
        <v>0.26788075285680268</v>
      </c>
      <c r="BX28">
        <v>0.29272696860151476</v>
      </c>
      <c r="BY28">
        <v>0.21091841541467304</v>
      </c>
      <c r="BZ28">
        <v>0.16923199225237351</v>
      </c>
      <c r="CA28">
        <v>0.19514346502736493</v>
      </c>
      <c r="CB28">
        <v>0.36655802479151967</v>
      </c>
      <c r="CC28">
        <v>0.32880789207084782</v>
      </c>
      <c r="CD28">
        <v>0.3824144891717372</v>
      </c>
      <c r="CF28" t="s">
        <v>438</v>
      </c>
      <c r="CG28" t="s">
        <v>108</v>
      </c>
      <c r="CH28" t="s">
        <v>109</v>
      </c>
      <c r="CI28">
        <v>0.43712615030494312</v>
      </c>
    </row>
    <row r="29" spans="2:87" x14ac:dyDescent="0.45">
      <c r="B29" t="s">
        <v>439</v>
      </c>
      <c r="C29" t="s">
        <v>99</v>
      </c>
      <c r="D29">
        <v>0.31121070197680922</v>
      </c>
      <c r="E29">
        <v>0.35025697539476647</v>
      </c>
      <c r="F29">
        <v>0.29995780063834032</v>
      </c>
      <c r="G29">
        <v>0.30666663131841254</v>
      </c>
      <c r="H29">
        <v>0.36252438478650723</v>
      </c>
      <c r="I29">
        <v>0.32650722287305506</v>
      </c>
      <c r="J29">
        <v>0.31042602824992682</v>
      </c>
      <c r="K29">
        <v>0.38813199794317621</v>
      </c>
      <c r="L29">
        <v>0.35558403618393258</v>
      </c>
      <c r="M29">
        <v>0.34713601649076942</v>
      </c>
      <c r="N29">
        <v>0.37767601148561164</v>
      </c>
      <c r="O29">
        <v>0.32941990011973504</v>
      </c>
      <c r="Q29" t="s">
        <v>439</v>
      </c>
      <c r="R29" t="s">
        <v>100</v>
      </c>
      <c r="S29">
        <v>2.1464770972121999E-2</v>
      </c>
      <c r="T29">
        <v>2.3068138810178086E-2</v>
      </c>
      <c r="U29">
        <v>2.3793501071582839E-2</v>
      </c>
      <c r="V29">
        <v>2.4805478154347867E-2</v>
      </c>
      <c r="W29">
        <v>3.1534794832409077E-2</v>
      </c>
      <c r="X29">
        <v>3.3198167757260963E-2</v>
      </c>
      <c r="Y29">
        <v>5.7433059547445944E-2</v>
      </c>
      <c r="Z29">
        <v>3.5647624642677733E-2</v>
      </c>
      <c r="AA29">
        <v>5.3531791287130953E-2</v>
      </c>
      <c r="AB29">
        <v>2.3560885349026183E-2</v>
      </c>
      <c r="AC29">
        <v>2.465043467334866E-2</v>
      </c>
      <c r="AD29">
        <v>4.2960220762292355E-2</v>
      </c>
      <c r="AF29" t="s">
        <v>439</v>
      </c>
      <c r="AG29" t="s">
        <v>101</v>
      </c>
      <c r="AH29">
        <v>3.749509243013302E-2</v>
      </c>
      <c r="AI29">
        <v>2.7313732253208076E-2</v>
      </c>
      <c r="AJ29">
        <v>2.2025684666465997E-2</v>
      </c>
      <c r="AK29">
        <v>3.9691912342551386E-2</v>
      </c>
      <c r="AL29">
        <v>4.2526802573332169E-2</v>
      </c>
      <c r="AM29">
        <v>3.4875657452584856E-2</v>
      </c>
      <c r="AN29">
        <v>3.7244489235402196E-2</v>
      </c>
      <c r="AO29">
        <v>4.5944376495960948E-2</v>
      </c>
      <c r="AP29">
        <v>2.5683572008003131E-2</v>
      </c>
      <c r="AQ29">
        <v>4.6128696367372782E-2</v>
      </c>
      <c r="AR29">
        <v>2.8803266242807855E-2</v>
      </c>
      <c r="AS29">
        <v>4.0871641494200459E-2</v>
      </c>
      <c r="AU29" t="s">
        <v>439</v>
      </c>
      <c r="AV29" t="s">
        <v>102</v>
      </c>
      <c r="AW29">
        <v>0.13223480268188964</v>
      </c>
      <c r="AX29">
        <v>0.16851045776325041</v>
      </c>
      <c r="AY29">
        <v>0.14890184352517857</v>
      </c>
      <c r="AZ29">
        <v>0.13432662365206885</v>
      </c>
      <c r="BA29">
        <v>0.15859789717117639</v>
      </c>
      <c r="BB29">
        <v>0.14384605216011823</v>
      </c>
      <c r="BC29">
        <v>0.10886896672789534</v>
      </c>
      <c r="BD29">
        <v>0.19085793842047022</v>
      </c>
      <c r="BE29">
        <v>0.1664217420003293</v>
      </c>
      <c r="BF29">
        <v>0.14526114818676708</v>
      </c>
      <c r="BG29">
        <v>0.18499067007555917</v>
      </c>
      <c r="BH29">
        <v>0.12009156375474908</v>
      </c>
      <c r="BR29" t="s">
        <v>439</v>
      </c>
      <c r="BS29">
        <v>0.44256222926658007</v>
      </c>
      <c r="BT29">
        <v>0.40101850514803861</v>
      </c>
      <c r="BU29">
        <v>0.43039894982816379</v>
      </c>
      <c r="BV29">
        <v>0.31846515145473292</v>
      </c>
      <c r="BW29">
        <v>0.28842870046237884</v>
      </c>
      <c r="BX29">
        <v>0.30902169731201079</v>
      </c>
      <c r="BY29">
        <v>0.23029979753438018</v>
      </c>
      <c r="BZ29">
        <v>0.17683508713816992</v>
      </c>
      <c r="CA29">
        <v>0.21450593276480198</v>
      </c>
      <c r="CB29">
        <v>0.3604157576214041</v>
      </c>
      <c r="CC29">
        <v>0.33071291533784125</v>
      </c>
      <c r="CD29">
        <v>0.39047150388009083</v>
      </c>
      <c r="CF29" t="s">
        <v>439</v>
      </c>
      <c r="CG29" t="s">
        <v>108</v>
      </c>
      <c r="CH29" t="s">
        <v>109</v>
      </c>
      <c r="CI29">
        <v>0.43834132863692227</v>
      </c>
    </row>
    <row r="30" spans="2:87" x14ac:dyDescent="0.45">
      <c r="B30" t="s">
        <v>440</v>
      </c>
      <c r="C30" t="s">
        <v>99</v>
      </c>
      <c r="D30">
        <v>0.31457292756587629</v>
      </c>
      <c r="E30">
        <v>0.35446884250335597</v>
      </c>
      <c r="F30">
        <v>0.30078721112224754</v>
      </c>
      <c r="G30">
        <v>0.29546187993790746</v>
      </c>
      <c r="H30">
        <v>0.33532190565570963</v>
      </c>
      <c r="I30">
        <v>0.32791247863778672</v>
      </c>
      <c r="J30">
        <v>0.30275483966288319</v>
      </c>
      <c r="K30">
        <v>0.36896561015561513</v>
      </c>
      <c r="L30">
        <v>0.3295615783177071</v>
      </c>
      <c r="M30">
        <v>0.34647164879481707</v>
      </c>
      <c r="N30">
        <v>0.38118934108196606</v>
      </c>
      <c r="O30">
        <v>0.32333991150415275</v>
      </c>
      <c r="Q30" t="s">
        <v>440</v>
      </c>
      <c r="R30" t="s">
        <v>100</v>
      </c>
      <c r="S30">
        <v>2.4489141578884516E-2</v>
      </c>
      <c r="T30">
        <v>2.2923378162686921E-2</v>
      </c>
      <c r="U30">
        <v>2.2413269961109348E-2</v>
      </c>
      <c r="V30">
        <v>3.3666898403009016E-2</v>
      </c>
      <c r="W30">
        <v>3.955488279470367E-2</v>
      </c>
      <c r="X30">
        <v>4.2953887979121919E-2</v>
      </c>
      <c r="Y30">
        <v>4.4210214170389964E-2</v>
      </c>
      <c r="Z30">
        <v>2.4286642720951768E-2</v>
      </c>
      <c r="AA30">
        <v>3.9142687209412205E-2</v>
      </c>
      <c r="AB30">
        <v>2.0794578027219558E-2</v>
      </c>
      <c r="AC30">
        <v>3.073985268584311E-2</v>
      </c>
      <c r="AD30">
        <v>3.4010715441499972E-2</v>
      </c>
      <c r="AF30" t="s">
        <v>440</v>
      </c>
      <c r="AG30" t="s">
        <v>101</v>
      </c>
      <c r="AH30">
        <v>3.536404740079465E-2</v>
      </c>
      <c r="AI30">
        <v>2.9202742943948666E-2</v>
      </c>
      <c r="AJ30">
        <v>2.2299059422034723E-2</v>
      </c>
      <c r="AK30">
        <v>4.9741196918815719E-2</v>
      </c>
      <c r="AL30">
        <v>3.8510358639801866E-2</v>
      </c>
      <c r="AM30">
        <v>4.3601305016150241E-2</v>
      </c>
      <c r="AN30">
        <v>3.1517567924222271E-2</v>
      </c>
      <c r="AO30">
        <v>5.3570972970597923E-2</v>
      </c>
      <c r="AP30">
        <v>1.0176209845947096E-2</v>
      </c>
      <c r="AQ30">
        <v>4.0212540352769853E-2</v>
      </c>
      <c r="AR30">
        <v>2.7285239005226732E-2</v>
      </c>
      <c r="AS30">
        <v>2.4898061294877431E-2</v>
      </c>
      <c r="AU30" t="s">
        <v>440</v>
      </c>
      <c r="AV30" t="s">
        <v>102</v>
      </c>
      <c r="AW30">
        <v>0.12869720680909821</v>
      </c>
      <c r="AX30">
        <v>0.17467242766695479</v>
      </c>
      <c r="AY30">
        <v>0.13961910689090717</v>
      </c>
      <c r="AZ30">
        <v>0.10447993773232774</v>
      </c>
      <c r="BA30">
        <v>0.1367214465300402</v>
      </c>
      <c r="BB30">
        <v>0.12950159093896532</v>
      </c>
      <c r="BC30">
        <v>0.11594312288507558</v>
      </c>
      <c r="BD30">
        <v>0.17593190979888124</v>
      </c>
      <c r="BE30">
        <v>0.17550507859676298</v>
      </c>
      <c r="BF30">
        <v>0.15404929657165589</v>
      </c>
      <c r="BG30">
        <v>0.17328086972732781</v>
      </c>
      <c r="BH30">
        <v>0.13488433163274446</v>
      </c>
      <c r="BR30" t="s">
        <v>440</v>
      </c>
      <c r="BS30">
        <v>0.4378608520452556</v>
      </c>
      <c r="BT30">
        <v>0.39641775810720431</v>
      </c>
      <c r="BU30">
        <v>0.43533927653989202</v>
      </c>
      <c r="BV30">
        <v>0.3279096025168739</v>
      </c>
      <c r="BW30">
        <v>0.30052250999505109</v>
      </c>
      <c r="BX30">
        <v>0.32021199334865608</v>
      </c>
      <c r="BY30">
        <v>0.24922023984896038</v>
      </c>
      <c r="BZ30">
        <v>0.19047437409951509</v>
      </c>
      <c r="CA30">
        <v>0.2362566058219516</v>
      </c>
      <c r="CB30">
        <v>0.36800842254208904</v>
      </c>
      <c r="CC30">
        <v>0.34736593625790918</v>
      </c>
      <c r="CD30">
        <v>0.40003062941983902</v>
      </c>
      <c r="CF30" t="s">
        <v>440</v>
      </c>
      <c r="CG30" t="s">
        <v>108</v>
      </c>
      <c r="CH30" t="s">
        <v>109</v>
      </c>
      <c r="CI30">
        <v>0.43332146673239097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792AE-F232-4E8F-9B03-3E9D759CF15B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0.29335373069524406</v>
      </c>
      <c r="P11">
        <v>2020</v>
      </c>
      <c r="Q11" t="s">
        <v>193</v>
      </c>
      <c r="R11">
        <v>0.29073333333333334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9.717979156420653E-2</v>
      </c>
      <c r="P12">
        <v>2020</v>
      </c>
      <c r="Q12" t="s">
        <v>195</v>
      </c>
      <c r="R12">
        <v>0.20636666666666667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0.1670349906502373</v>
      </c>
      <c r="P13">
        <v>2020</v>
      </c>
      <c r="Q13" t="s">
        <v>196</v>
      </c>
      <c r="R13">
        <v>4.2099999999999999E-2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0.3547076064185386</v>
      </c>
      <c r="P14">
        <v>2020</v>
      </c>
      <c r="Q14" t="s">
        <v>197</v>
      </c>
      <c r="R14">
        <v>8.2833333333333328E-2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0.13891300434773735</v>
      </c>
      <c r="P15">
        <v>2021</v>
      </c>
      <c r="Q15" t="s">
        <v>193</v>
      </c>
      <c r="R15">
        <v>0.25746666666666668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0.22906580408534505</v>
      </c>
      <c r="P16">
        <v>2021</v>
      </c>
      <c r="Q16" t="s">
        <v>195</v>
      </c>
      <c r="R16">
        <v>0.28783333333333333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0.28068744552293579</v>
      </c>
      <c r="P17">
        <v>2021</v>
      </c>
      <c r="Q17" t="s">
        <v>196</v>
      </c>
      <c r="R17">
        <v>0.20503333333333332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0.12390029703883054</v>
      </c>
      <c r="P18">
        <v>2021</v>
      </c>
      <c r="Q18" t="s">
        <v>197</v>
      </c>
      <c r="R18">
        <v>0.20773333333333333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0.15792965057463637</v>
      </c>
      <c r="P19">
        <v>2022</v>
      </c>
      <c r="Q19" t="s">
        <v>193</v>
      </c>
      <c r="R19">
        <v>3.7333333333333336E-2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0.40721699272611533</v>
      </c>
      <c r="P20">
        <v>2022</v>
      </c>
      <c r="Q20" t="s">
        <v>195</v>
      </c>
      <c r="R20">
        <v>0.18916666666666668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0.1911340917019011</v>
      </c>
      <c r="P21">
        <v>2022</v>
      </c>
      <c r="Q21" t="s">
        <v>196</v>
      </c>
      <c r="R21">
        <v>3.8566666666666666E-2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0.25907498537458262</v>
      </c>
      <c r="P22">
        <v>2022</v>
      </c>
      <c r="Q22" t="s">
        <v>197</v>
      </c>
      <c r="R22">
        <v>3.8566666666666666E-2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0.46903333333333336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0.4612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0.1489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0.22696666666666665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0.4044666666666667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0.48486666666666672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0.13689999999999999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0.13710000000000003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0.45929999999999999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0.47066666666666662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0.16593333333333332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0.15180000000000002</v>
      </c>
      <c r="S34" t="s">
        <v>194</v>
      </c>
    </row>
    <row r="35" spans="8:19" x14ac:dyDescent="0.45">
      <c r="P35">
        <v>2028</v>
      </c>
      <c r="Q35" t="s">
        <v>193</v>
      </c>
      <c r="R35">
        <v>0.56940000000000002</v>
      </c>
      <c r="S35" t="s">
        <v>194</v>
      </c>
    </row>
    <row r="36" spans="8:19" x14ac:dyDescent="0.45">
      <c r="P36">
        <v>2028</v>
      </c>
      <c r="Q36" t="s">
        <v>195</v>
      </c>
      <c r="R36">
        <v>0.50090000000000001</v>
      </c>
      <c r="S36" t="s">
        <v>194</v>
      </c>
    </row>
    <row r="37" spans="8:19" x14ac:dyDescent="0.45">
      <c r="P37">
        <v>2028</v>
      </c>
      <c r="Q37" t="s">
        <v>196</v>
      </c>
      <c r="R37">
        <v>0.15806666666666666</v>
      </c>
      <c r="S37" t="s">
        <v>194</v>
      </c>
    </row>
    <row r="38" spans="8:19" x14ac:dyDescent="0.45">
      <c r="P38">
        <v>2028</v>
      </c>
      <c r="Q38" t="s">
        <v>197</v>
      </c>
      <c r="R38">
        <v>0.17676666666666666</v>
      </c>
      <c r="S38" t="s">
        <v>194</v>
      </c>
    </row>
    <row r="39" spans="8:19" x14ac:dyDescent="0.45">
      <c r="P39">
        <v>2029</v>
      </c>
      <c r="Q39" t="s">
        <v>193</v>
      </c>
      <c r="R39">
        <v>0.46333333333333337</v>
      </c>
      <c r="S39" t="s">
        <v>194</v>
      </c>
    </row>
    <row r="40" spans="8:19" x14ac:dyDescent="0.45">
      <c r="P40">
        <v>2029</v>
      </c>
      <c r="Q40" t="s">
        <v>195</v>
      </c>
      <c r="R40">
        <v>0.51546666666666674</v>
      </c>
      <c r="S40" t="s">
        <v>194</v>
      </c>
    </row>
    <row r="41" spans="8:19" x14ac:dyDescent="0.45">
      <c r="P41">
        <v>2029</v>
      </c>
      <c r="Q41" t="s">
        <v>196</v>
      </c>
      <c r="R41">
        <v>0.16769999999999999</v>
      </c>
      <c r="S41" t="s">
        <v>194</v>
      </c>
    </row>
    <row r="42" spans="8:19" x14ac:dyDescent="0.45">
      <c r="P42">
        <v>2029</v>
      </c>
      <c r="Q42" t="s">
        <v>197</v>
      </c>
      <c r="R42">
        <v>0.19466666666666668</v>
      </c>
      <c r="S42" t="s">
        <v>194</v>
      </c>
    </row>
    <row r="43" spans="8:19" x14ac:dyDescent="0.45">
      <c r="P43">
        <v>2030</v>
      </c>
      <c r="Q43" t="s">
        <v>193</v>
      </c>
      <c r="R43">
        <v>0.46176666666666666</v>
      </c>
      <c r="S43" t="s">
        <v>194</v>
      </c>
    </row>
    <row r="44" spans="8:19" x14ac:dyDescent="0.45">
      <c r="P44">
        <v>2030</v>
      </c>
      <c r="Q44" t="s">
        <v>195</v>
      </c>
      <c r="R44">
        <v>0.50336666666666663</v>
      </c>
      <c r="S44" t="s">
        <v>194</v>
      </c>
    </row>
    <row r="45" spans="8:19" x14ac:dyDescent="0.45">
      <c r="P45">
        <v>2030</v>
      </c>
      <c r="Q45" t="s">
        <v>196</v>
      </c>
      <c r="R45">
        <v>0.11526666666666667</v>
      </c>
      <c r="S45" t="s">
        <v>194</v>
      </c>
    </row>
    <row r="46" spans="8:19" x14ac:dyDescent="0.45">
      <c r="P46">
        <v>2030</v>
      </c>
      <c r="Q46" t="s">
        <v>197</v>
      </c>
      <c r="R46">
        <v>0.26246666666666668</v>
      </c>
      <c r="S46" t="s">
        <v>194</v>
      </c>
    </row>
    <row r="47" spans="8:19" x14ac:dyDescent="0.45">
      <c r="P47">
        <v>2031</v>
      </c>
      <c r="Q47" t="s">
        <v>193</v>
      </c>
      <c r="R47">
        <v>0.51103333333333334</v>
      </c>
      <c r="S47" t="s">
        <v>194</v>
      </c>
    </row>
    <row r="48" spans="8:19" x14ac:dyDescent="0.45">
      <c r="P48">
        <v>2031</v>
      </c>
      <c r="Q48" t="s">
        <v>195</v>
      </c>
      <c r="R48">
        <v>0.48180000000000001</v>
      </c>
      <c r="S48" t="s">
        <v>194</v>
      </c>
    </row>
    <row r="49" spans="16:19" x14ac:dyDescent="0.45">
      <c r="P49">
        <v>2031</v>
      </c>
      <c r="Q49" t="s">
        <v>196</v>
      </c>
      <c r="R49">
        <v>0.16650000000000001</v>
      </c>
      <c r="S49" t="s">
        <v>194</v>
      </c>
    </row>
    <row r="50" spans="16:19" x14ac:dyDescent="0.45">
      <c r="P50">
        <v>2031</v>
      </c>
      <c r="Q50" t="s">
        <v>197</v>
      </c>
      <c r="R50">
        <v>0.17076666666666665</v>
      </c>
      <c r="S50" t="s">
        <v>194</v>
      </c>
    </row>
    <row r="51" spans="16:19" x14ac:dyDescent="0.45">
      <c r="P51">
        <v>2032</v>
      </c>
      <c r="Q51" t="s">
        <v>193</v>
      </c>
      <c r="R51">
        <v>0.48476666666666662</v>
      </c>
      <c r="S51" t="s">
        <v>194</v>
      </c>
    </row>
    <row r="52" spans="16:19" x14ac:dyDescent="0.45">
      <c r="P52">
        <v>2032</v>
      </c>
      <c r="Q52" t="s">
        <v>195</v>
      </c>
      <c r="R52">
        <v>0.52616666666666667</v>
      </c>
      <c r="S52" t="s">
        <v>194</v>
      </c>
    </row>
    <row r="53" spans="16:19" x14ac:dyDescent="0.45">
      <c r="P53">
        <v>2032</v>
      </c>
      <c r="Q53" t="s">
        <v>196</v>
      </c>
      <c r="R53">
        <v>0.23219999999999996</v>
      </c>
      <c r="S53" t="s">
        <v>194</v>
      </c>
    </row>
    <row r="54" spans="16:19" x14ac:dyDescent="0.45">
      <c r="P54">
        <v>2032</v>
      </c>
      <c r="Q54" t="s">
        <v>197</v>
      </c>
      <c r="R54">
        <v>0.17746666666666666</v>
      </c>
      <c r="S54" t="s">
        <v>194</v>
      </c>
    </row>
    <row r="55" spans="16:19" x14ac:dyDescent="0.45">
      <c r="P55">
        <v>2033</v>
      </c>
      <c r="Q55" t="s">
        <v>193</v>
      </c>
      <c r="R55">
        <v>0.60543333333333338</v>
      </c>
      <c r="S55" t="s">
        <v>194</v>
      </c>
    </row>
    <row r="56" spans="16:19" x14ac:dyDescent="0.45">
      <c r="P56">
        <v>2033</v>
      </c>
      <c r="Q56" t="s">
        <v>195</v>
      </c>
      <c r="R56">
        <v>0.59560000000000002</v>
      </c>
      <c r="S56" t="s">
        <v>194</v>
      </c>
    </row>
    <row r="57" spans="16:19" x14ac:dyDescent="0.45">
      <c r="P57">
        <v>2033</v>
      </c>
      <c r="Q57" t="s">
        <v>196</v>
      </c>
      <c r="R57">
        <v>0.17146666666666666</v>
      </c>
      <c r="S57" t="s">
        <v>194</v>
      </c>
    </row>
    <row r="58" spans="16:19" x14ac:dyDescent="0.45">
      <c r="P58">
        <v>2033</v>
      </c>
      <c r="Q58" t="s">
        <v>197</v>
      </c>
      <c r="R58">
        <v>0.3047333333333333</v>
      </c>
      <c r="S58" t="s">
        <v>194</v>
      </c>
    </row>
    <row r="59" spans="16:19" x14ac:dyDescent="0.45">
      <c r="P59">
        <v>2034</v>
      </c>
      <c r="Q59" t="s">
        <v>193</v>
      </c>
      <c r="R59">
        <v>0.57450000000000001</v>
      </c>
      <c r="S59" t="s">
        <v>194</v>
      </c>
    </row>
    <row r="60" spans="16:19" x14ac:dyDescent="0.45">
      <c r="P60">
        <v>2034</v>
      </c>
      <c r="Q60" t="s">
        <v>195</v>
      </c>
      <c r="R60">
        <v>0.53906666666666669</v>
      </c>
      <c r="S60" t="s">
        <v>194</v>
      </c>
    </row>
    <row r="61" spans="16:19" x14ac:dyDescent="0.45">
      <c r="P61">
        <v>2034</v>
      </c>
      <c r="Q61" t="s">
        <v>196</v>
      </c>
      <c r="R61">
        <v>0.17506666666666668</v>
      </c>
      <c r="S61" t="s">
        <v>194</v>
      </c>
    </row>
    <row r="62" spans="16:19" x14ac:dyDescent="0.45">
      <c r="P62">
        <v>2034</v>
      </c>
      <c r="Q62" t="s">
        <v>197</v>
      </c>
      <c r="R62">
        <v>0.17223333333333332</v>
      </c>
      <c r="S62" t="s">
        <v>194</v>
      </c>
    </row>
    <row r="63" spans="16:19" x14ac:dyDescent="0.45">
      <c r="P63">
        <v>2035</v>
      </c>
      <c r="Q63" t="s">
        <v>193</v>
      </c>
      <c r="R63">
        <v>0.59933333333333338</v>
      </c>
      <c r="S63" t="s">
        <v>194</v>
      </c>
    </row>
    <row r="64" spans="16:19" x14ac:dyDescent="0.45">
      <c r="P64">
        <v>2035</v>
      </c>
      <c r="Q64" t="s">
        <v>195</v>
      </c>
      <c r="R64">
        <v>0.66953333333333331</v>
      </c>
      <c r="S64" t="s">
        <v>194</v>
      </c>
    </row>
    <row r="65" spans="16:19" x14ac:dyDescent="0.45">
      <c r="P65">
        <v>2035</v>
      </c>
      <c r="Q65" t="s">
        <v>196</v>
      </c>
      <c r="R65">
        <v>0.18926666666666667</v>
      </c>
      <c r="S65" t="s">
        <v>194</v>
      </c>
    </row>
    <row r="66" spans="16:19" x14ac:dyDescent="0.45">
      <c r="P66">
        <v>2035</v>
      </c>
      <c r="Q66" t="s">
        <v>197</v>
      </c>
      <c r="R66">
        <v>0.25140000000000001</v>
      </c>
      <c r="S66" t="s">
        <v>194</v>
      </c>
    </row>
    <row r="67" spans="16:19" x14ac:dyDescent="0.45">
      <c r="P67">
        <v>2036</v>
      </c>
      <c r="Q67" t="s">
        <v>193</v>
      </c>
      <c r="R67">
        <v>0.61919999999999997</v>
      </c>
      <c r="S67" t="s">
        <v>194</v>
      </c>
    </row>
    <row r="68" spans="16:19" x14ac:dyDescent="0.45">
      <c r="P68">
        <v>2036</v>
      </c>
      <c r="Q68" t="s">
        <v>195</v>
      </c>
      <c r="R68">
        <v>0.58493333333333331</v>
      </c>
      <c r="S68" t="s">
        <v>194</v>
      </c>
    </row>
    <row r="69" spans="16:19" x14ac:dyDescent="0.45">
      <c r="P69">
        <v>2036</v>
      </c>
      <c r="Q69" t="s">
        <v>196</v>
      </c>
      <c r="R69">
        <v>0.12069999999999999</v>
      </c>
      <c r="S69" t="s">
        <v>194</v>
      </c>
    </row>
    <row r="70" spans="16:19" x14ac:dyDescent="0.45">
      <c r="P70">
        <v>2036</v>
      </c>
      <c r="Q70" t="s">
        <v>197</v>
      </c>
      <c r="R70">
        <v>0.18079999999999999</v>
      </c>
      <c r="S70" t="s">
        <v>194</v>
      </c>
    </row>
    <row r="71" spans="16:19" x14ac:dyDescent="0.45">
      <c r="P71">
        <v>2037</v>
      </c>
      <c r="Q71" t="s">
        <v>193</v>
      </c>
      <c r="R71">
        <v>0.50226666666666675</v>
      </c>
      <c r="S71" t="s">
        <v>194</v>
      </c>
    </row>
    <row r="72" spans="16:19" x14ac:dyDescent="0.45">
      <c r="P72">
        <v>2037</v>
      </c>
      <c r="Q72" t="s">
        <v>195</v>
      </c>
      <c r="R72">
        <v>0.5436333333333333</v>
      </c>
      <c r="S72" t="s">
        <v>194</v>
      </c>
    </row>
    <row r="73" spans="16:19" x14ac:dyDescent="0.45">
      <c r="P73">
        <v>2037</v>
      </c>
      <c r="Q73" t="s">
        <v>196</v>
      </c>
      <c r="R73">
        <v>0.2681</v>
      </c>
      <c r="S73" t="s">
        <v>194</v>
      </c>
    </row>
    <row r="74" spans="16:19" x14ac:dyDescent="0.45">
      <c r="P74">
        <v>2037</v>
      </c>
      <c r="Q74" t="s">
        <v>197</v>
      </c>
      <c r="R74">
        <v>0.1830333333333333</v>
      </c>
      <c r="S74" t="s">
        <v>194</v>
      </c>
    </row>
    <row r="75" spans="16:19" x14ac:dyDescent="0.45">
      <c r="P75">
        <v>2038</v>
      </c>
      <c r="Q75" t="s">
        <v>193</v>
      </c>
      <c r="R75">
        <v>0.61516666666666664</v>
      </c>
      <c r="S75" t="s">
        <v>194</v>
      </c>
    </row>
    <row r="76" spans="16:19" x14ac:dyDescent="0.45">
      <c r="P76">
        <v>2038</v>
      </c>
      <c r="Q76" t="s">
        <v>195</v>
      </c>
      <c r="R76">
        <v>0.45846666666666663</v>
      </c>
      <c r="S76" t="s">
        <v>194</v>
      </c>
    </row>
    <row r="77" spans="16:19" x14ac:dyDescent="0.45">
      <c r="P77">
        <v>2038</v>
      </c>
      <c r="Q77" t="s">
        <v>196</v>
      </c>
      <c r="R77">
        <v>0.2596</v>
      </c>
      <c r="S77" t="s">
        <v>194</v>
      </c>
    </row>
    <row r="78" spans="16:19" x14ac:dyDescent="0.45">
      <c r="P78">
        <v>2038</v>
      </c>
      <c r="Q78" t="s">
        <v>197</v>
      </c>
      <c r="R78">
        <v>0.27510000000000001</v>
      </c>
      <c r="S78" t="s">
        <v>194</v>
      </c>
    </row>
    <row r="79" spans="16:19" x14ac:dyDescent="0.45">
      <c r="P79">
        <v>2039</v>
      </c>
      <c r="Q79" t="s">
        <v>193</v>
      </c>
      <c r="R79">
        <v>0.49813333333333337</v>
      </c>
      <c r="S79" t="s">
        <v>194</v>
      </c>
    </row>
    <row r="80" spans="16:19" x14ac:dyDescent="0.45">
      <c r="P80">
        <v>2039</v>
      </c>
      <c r="Q80" t="s">
        <v>195</v>
      </c>
      <c r="R80">
        <v>0.60586666666666666</v>
      </c>
      <c r="S80" t="s">
        <v>194</v>
      </c>
    </row>
    <row r="81" spans="16:19" x14ac:dyDescent="0.45">
      <c r="P81">
        <v>2039</v>
      </c>
      <c r="Q81" t="s">
        <v>196</v>
      </c>
      <c r="R81">
        <v>0.19223333333333334</v>
      </c>
      <c r="S81" t="s">
        <v>194</v>
      </c>
    </row>
    <row r="82" spans="16:19" x14ac:dyDescent="0.45">
      <c r="P82">
        <v>2039</v>
      </c>
      <c r="Q82" t="s">
        <v>197</v>
      </c>
      <c r="R82">
        <v>0.3177666666666667</v>
      </c>
      <c r="S82" t="s">
        <v>194</v>
      </c>
    </row>
    <row r="83" spans="16:19" x14ac:dyDescent="0.45">
      <c r="P83">
        <v>2040</v>
      </c>
      <c r="Q83" t="s">
        <v>193</v>
      </c>
      <c r="R83">
        <v>0.45926666666666671</v>
      </c>
      <c r="S83" t="s">
        <v>194</v>
      </c>
    </row>
    <row r="84" spans="16:19" x14ac:dyDescent="0.45">
      <c r="P84">
        <v>2040</v>
      </c>
      <c r="Q84" t="s">
        <v>195</v>
      </c>
      <c r="R84">
        <v>0.45256666666666662</v>
      </c>
      <c r="S84" t="s">
        <v>194</v>
      </c>
    </row>
    <row r="85" spans="16:19" x14ac:dyDescent="0.45">
      <c r="P85">
        <v>2040</v>
      </c>
      <c r="Q85" t="s">
        <v>196</v>
      </c>
      <c r="R85">
        <v>0.16073333333333331</v>
      </c>
      <c r="S85" t="s">
        <v>194</v>
      </c>
    </row>
    <row r="86" spans="16:19" x14ac:dyDescent="0.45">
      <c r="P86">
        <v>2040</v>
      </c>
      <c r="Q86" t="s">
        <v>197</v>
      </c>
      <c r="R86">
        <v>0.22086666666666666</v>
      </c>
      <c r="S86" t="s">
        <v>194</v>
      </c>
    </row>
    <row r="87" spans="16:19" x14ac:dyDescent="0.45">
      <c r="P87">
        <v>2041</v>
      </c>
      <c r="Q87" t="s">
        <v>193</v>
      </c>
      <c r="R87">
        <v>0.51123333333333332</v>
      </c>
      <c r="S87" t="s">
        <v>194</v>
      </c>
    </row>
    <row r="88" spans="16:19" x14ac:dyDescent="0.45">
      <c r="P88">
        <v>2041</v>
      </c>
      <c r="Q88" t="s">
        <v>195</v>
      </c>
      <c r="R88">
        <v>0.45350000000000001</v>
      </c>
      <c r="S88" t="s">
        <v>194</v>
      </c>
    </row>
    <row r="89" spans="16:19" x14ac:dyDescent="0.45">
      <c r="P89">
        <v>2041</v>
      </c>
      <c r="Q89" t="s">
        <v>196</v>
      </c>
      <c r="R89">
        <v>0.1095</v>
      </c>
      <c r="S89" t="s">
        <v>194</v>
      </c>
    </row>
    <row r="90" spans="16:19" x14ac:dyDescent="0.45">
      <c r="P90">
        <v>2041</v>
      </c>
      <c r="Q90" t="s">
        <v>197</v>
      </c>
      <c r="R90">
        <v>0.12633333333333333</v>
      </c>
      <c r="S90" t="s">
        <v>194</v>
      </c>
    </row>
    <row r="91" spans="16:19" x14ac:dyDescent="0.45">
      <c r="P91">
        <v>2042</v>
      </c>
      <c r="Q91" t="s">
        <v>193</v>
      </c>
      <c r="R91">
        <v>0.47896666666666671</v>
      </c>
      <c r="S91" t="s">
        <v>194</v>
      </c>
    </row>
    <row r="92" spans="16:19" x14ac:dyDescent="0.45">
      <c r="P92">
        <v>2042</v>
      </c>
      <c r="Q92" t="s">
        <v>195</v>
      </c>
      <c r="R92">
        <v>0.43250000000000005</v>
      </c>
      <c r="S92" t="s">
        <v>194</v>
      </c>
    </row>
    <row r="93" spans="16:19" x14ac:dyDescent="0.45">
      <c r="P93">
        <v>2042</v>
      </c>
      <c r="Q93" t="s">
        <v>196</v>
      </c>
      <c r="R93">
        <v>0.16600000000000001</v>
      </c>
      <c r="S93" t="s">
        <v>194</v>
      </c>
    </row>
    <row r="94" spans="16:19" x14ac:dyDescent="0.45">
      <c r="P94">
        <v>2042</v>
      </c>
      <c r="Q94" t="s">
        <v>197</v>
      </c>
      <c r="R94">
        <v>0.17159999999999997</v>
      </c>
      <c r="S94" t="s">
        <v>194</v>
      </c>
    </row>
    <row r="95" spans="16:19" x14ac:dyDescent="0.45">
      <c r="P95">
        <v>2043</v>
      </c>
      <c r="Q95" t="s">
        <v>193</v>
      </c>
      <c r="R95">
        <v>0.62736666666666663</v>
      </c>
      <c r="S95" t="s">
        <v>194</v>
      </c>
    </row>
    <row r="96" spans="16:19" x14ac:dyDescent="0.45">
      <c r="P96">
        <v>2043</v>
      </c>
      <c r="Q96" t="s">
        <v>195</v>
      </c>
      <c r="R96">
        <v>0.62333333333333329</v>
      </c>
      <c r="S96" t="s">
        <v>194</v>
      </c>
    </row>
    <row r="97" spans="16:19" x14ac:dyDescent="0.45">
      <c r="P97">
        <v>2043</v>
      </c>
      <c r="Q97" t="s">
        <v>196</v>
      </c>
      <c r="R97">
        <v>0.19136666666666668</v>
      </c>
      <c r="S97" t="s">
        <v>194</v>
      </c>
    </row>
    <row r="98" spans="16:19" x14ac:dyDescent="0.45">
      <c r="P98">
        <v>2043</v>
      </c>
      <c r="Q98" t="s">
        <v>197</v>
      </c>
      <c r="R98">
        <v>0.23683333333333331</v>
      </c>
      <c r="S98" t="s">
        <v>194</v>
      </c>
    </row>
    <row r="99" spans="16:19" x14ac:dyDescent="0.45">
      <c r="P99">
        <v>2044</v>
      </c>
      <c r="Q99" t="s">
        <v>193</v>
      </c>
      <c r="R99">
        <v>0.5197666666666666</v>
      </c>
      <c r="S99" t="s">
        <v>194</v>
      </c>
    </row>
    <row r="100" spans="16:19" x14ac:dyDescent="0.45">
      <c r="P100">
        <v>2044</v>
      </c>
      <c r="Q100" t="s">
        <v>195</v>
      </c>
      <c r="R100">
        <v>0.42730000000000001</v>
      </c>
      <c r="S100" t="s">
        <v>194</v>
      </c>
    </row>
    <row r="101" spans="16:19" x14ac:dyDescent="0.45">
      <c r="P101">
        <v>2044</v>
      </c>
      <c r="Q101" t="s">
        <v>196</v>
      </c>
      <c r="R101">
        <v>0.19833333333333333</v>
      </c>
      <c r="S101" t="s">
        <v>194</v>
      </c>
    </row>
    <row r="102" spans="16:19" x14ac:dyDescent="0.45">
      <c r="P102">
        <v>2044</v>
      </c>
      <c r="Q102" t="s">
        <v>197</v>
      </c>
      <c r="R102">
        <v>0.2016</v>
      </c>
      <c r="S102" t="s">
        <v>194</v>
      </c>
    </row>
    <row r="103" spans="16:19" x14ac:dyDescent="0.45">
      <c r="P103">
        <v>2045</v>
      </c>
      <c r="Q103" t="s">
        <v>193</v>
      </c>
      <c r="R103">
        <v>0.45986666666666665</v>
      </c>
      <c r="S103" t="s">
        <v>194</v>
      </c>
    </row>
    <row r="104" spans="16:19" x14ac:dyDescent="0.45">
      <c r="P104">
        <v>2045</v>
      </c>
      <c r="Q104" t="s">
        <v>195</v>
      </c>
      <c r="R104">
        <v>0.48883333333333329</v>
      </c>
      <c r="S104" t="s">
        <v>194</v>
      </c>
    </row>
    <row r="105" spans="16:19" x14ac:dyDescent="0.45">
      <c r="P105">
        <v>2045</v>
      </c>
      <c r="Q105" t="s">
        <v>196</v>
      </c>
      <c r="R105">
        <v>0.14533333333333334</v>
      </c>
      <c r="S105" t="s">
        <v>194</v>
      </c>
    </row>
    <row r="106" spans="16:19" x14ac:dyDescent="0.45">
      <c r="P106">
        <v>2045</v>
      </c>
      <c r="Q106" t="s">
        <v>197</v>
      </c>
      <c r="R106">
        <v>0.22896666666666668</v>
      </c>
      <c r="S106" t="s">
        <v>194</v>
      </c>
    </row>
    <row r="107" spans="16:19" x14ac:dyDescent="0.45">
      <c r="P107">
        <v>2046</v>
      </c>
      <c r="Q107" t="s">
        <v>193</v>
      </c>
      <c r="R107">
        <v>0.48579999999999995</v>
      </c>
      <c r="S107" t="s">
        <v>194</v>
      </c>
    </row>
    <row r="108" spans="16:19" x14ac:dyDescent="0.45">
      <c r="P108">
        <v>2046</v>
      </c>
      <c r="Q108" t="s">
        <v>195</v>
      </c>
      <c r="R108">
        <v>0.5282</v>
      </c>
      <c r="S108" t="s">
        <v>194</v>
      </c>
    </row>
    <row r="109" spans="16:19" x14ac:dyDescent="0.45">
      <c r="P109">
        <v>2046</v>
      </c>
      <c r="Q109" t="s">
        <v>196</v>
      </c>
      <c r="R109">
        <v>0.11020000000000001</v>
      </c>
      <c r="S109" t="s">
        <v>194</v>
      </c>
    </row>
    <row r="110" spans="16:19" x14ac:dyDescent="0.45">
      <c r="P110">
        <v>2046</v>
      </c>
      <c r="Q110" t="s">
        <v>197</v>
      </c>
      <c r="R110">
        <v>0.21153333333333332</v>
      </c>
      <c r="S110" t="s">
        <v>194</v>
      </c>
    </row>
    <row r="111" spans="16:19" x14ac:dyDescent="0.45">
      <c r="P111">
        <v>2047</v>
      </c>
      <c r="Q111" t="s">
        <v>193</v>
      </c>
      <c r="R111">
        <v>0.54680000000000006</v>
      </c>
      <c r="S111" t="s">
        <v>194</v>
      </c>
    </row>
    <row r="112" spans="16:19" x14ac:dyDescent="0.45">
      <c r="P112">
        <v>2047</v>
      </c>
      <c r="Q112" t="s">
        <v>195</v>
      </c>
      <c r="R112">
        <v>0.58323333333333327</v>
      </c>
      <c r="S112" t="s">
        <v>194</v>
      </c>
    </row>
    <row r="113" spans="16:19" x14ac:dyDescent="0.45">
      <c r="P113">
        <v>2047</v>
      </c>
      <c r="Q113" t="s">
        <v>196</v>
      </c>
      <c r="R113">
        <v>0.18200000000000002</v>
      </c>
      <c r="S113" t="s">
        <v>194</v>
      </c>
    </row>
    <row r="114" spans="16:19" x14ac:dyDescent="0.45">
      <c r="P114">
        <v>2047</v>
      </c>
      <c r="Q114" t="s">
        <v>197</v>
      </c>
      <c r="R114">
        <v>0.2185</v>
      </c>
      <c r="S114" t="s">
        <v>194</v>
      </c>
    </row>
    <row r="115" spans="16:19" x14ac:dyDescent="0.45">
      <c r="P115">
        <v>2048</v>
      </c>
      <c r="Q115" t="s">
        <v>193</v>
      </c>
      <c r="R115">
        <v>0.55003333333333337</v>
      </c>
      <c r="S115" t="s">
        <v>194</v>
      </c>
    </row>
    <row r="116" spans="16:19" x14ac:dyDescent="0.45">
      <c r="P116">
        <v>2048</v>
      </c>
      <c r="Q116" t="s">
        <v>195</v>
      </c>
      <c r="R116">
        <v>0.45460000000000006</v>
      </c>
      <c r="S116" t="s">
        <v>194</v>
      </c>
    </row>
    <row r="117" spans="16:19" x14ac:dyDescent="0.45">
      <c r="P117">
        <v>2048</v>
      </c>
      <c r="Q117" t="s">
        <v>196</v>
      </c>
      <c r="R117">
        <v>0.16300000000000001</v>
      </c>
      <c r="S117" t="s">
        <v>194</v>
      </c>
    </row>
    <row r="118" spans="16:19" x14ac:dyDescent="0.45">
      <c r="P118">
        <v>2048</v>
      </c>
      <c r="Q118" t="s">
        <v>197</v>
      </c>
      <c r="R118">
        <v>0.2031333333333333</v>
      </c>
      <c r="S118" t="s">
        <v>194</v>
      </c>
    </row>
    <row r="119" spans="16:19" x14ac:dyDescent="0.45">
      <c r="P119">
        <v>2049</v>
      </c>
      <c r="Q119" t="s">
        <v>193</v>
      </c>
      <c r="R119">
        <v>0.43813333333333332</v>
      </c>
      <c r="S119" t="s">
        <v>194</v>
      </c>
    </row>
    <row r="120" spans="16:19" x14ac:dyDescent="0.45">
      <c r="P120">
        <v>2049</v>
      </c>
      <c r="Q120" t="s">
        <v>195</v>
      </c>
      <c r="R120">
        <v>0.41219999999999996</v>
      </c>
      <c r="S120" t="s">
        <v>194</v>
      </c>
    </row>
    <row r="121" spans="16:19" x14ac:dyDescent="0.45">
      <c r="P121">
        <v>2049</v>
      </c>
      <c r="Q121" t="s">
        <v>196</v>
      </c>
      <c r="R121">
        <v>0.15743333333333334</v>
      </c>
      <c r="S121" t="s">
        <v>194</v>
      </c>
    </row>
    <row r="122" spans="16:19" x14ac:dyDescent="0.45">
      <c r="P122">
        <v>2049</v>
      </c>
      <c r="Q122" t="s">
        <v>197</v>
      </c>
      <c r="R122">
        <v>0.12086666666666668</v>
      </c>
      <c r="S122" t="s">
        <v>194</v>
      </c>
    </row>
    <row r="123" spans="16:19" x14ac:dyDescent="0.45">
      <c r="P123">
        <v>2050</v>
      </c>
      <c r="Q123" t="s">
        <v>193</v>
      </c>
      <c r="R123">
        <v>0.5013333333333333</v>
      </c>
      <c r="S123" t="s">
        <v>194</v>
      </c>
    </row>
    <row r="124" spans="16:19" x14ac:dyDescent="0.45">
      <c r="P124">
        <v>2050</v>
      </c>
      <c r="Q124" t="s">
        <v>195</v>
      </c>
      <c r="R124">
        <v>0.41686666666666666</v>
      </c>
      <c r="S124" t="s">
        <v>194</v>
      </c>
    </row>
    <row r="125" spans="16:19" x14ac:dyDescent="0.45">
      <c r="P125">
        <v>2050</v>
      </c>
      <c r="Q125" t="s">
        <v>196</v>
      </c>
      <c r="R125">
        <v>9.4866666666666669E-2</v>
      </c>
      <c r="S125" t="s">
        <v>194</v>
      </c>
    </row>
    <row r="126" spans="16:19" x14ac:dyDescent="0.45">
      <c r="P126">
        <v>2050</v>
      </c>
      <c r="Q126" t="s">
        <v>197</v>
      </c>
      <c r="R126">
        <v>0.17269999999999999</v>
      </c>
      <c r="S126" t="s">
        <v>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49051-62CC-4EC8-8057-01D089C98C25}">
  <dimension ref="B9:O2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441</v>
      </c>
      <c r="C11" t="s">
        <v>5</v>
      </c>
      <c r="D11">
        <v>0</v>
      </c>
      <c r="E11" t="s">
        <v>6</v>
      </c>
      <c r="G11" t="s">
        <v>442</v>
      </c>
      <c r="H11" t="s">
        <v>5</v>
      </c>
      <c r="I11">
        <v>0.12210481869318605</v>
      </c>
      <c r="J11" t="s">
        <v>6</v>
      </c>
      <c r="L11" t="s">
        <v>443</v>
      </c>
      <c r="M11" t="s">
        <v>5</v>
      </c>
      <c r="N11">
        <v>9.318492928688904E-2</v>
      </c>
      <c r="O11" t="s">
        <v>6</v>
      </c>
    </row>
    <row r="12" spans="2:15" x14ac:dyDescent="0.45">
      <c r="B12" t="s">
        <v>441</v>
      </c>
      <c r="C12" t="s">
        <v>9</v>
      </c>
      <c r="D12">
        <v>9.7076135629944993E-2</v>
      </c>
      <c r="E12" t="s">
        <v>6</v>
      </c>
      <c r="G12" t="s">
        <v>442</v>
      </c>
      <c r="H12" t="s">
        <v>9</v>
      </c>
      <c r="I12">
        <v>0.12832646349508373</v>
      </c>
      <c r="J12" t="s">
        <v>6</v>
      </c>
      <c r="L12" t="s">
        <v>443</v>
      </c>
      <c r="M12" t="s">
        <v>9</v>
      </c>
      <c r="N12">
        <v>0.11613190738704419</v>
      </c>
      <c r="O12" t="s">
        <v>6</v>
      </c>
    </row>
    <row r="13" spans="2:15" x14ac:dyDescent="0.45">
      <c r="B13" t="s">
        <v>441</v>
      </c>
      <c r="C13" t="s">
        <v>10</v>
      </c>
      <c r="D13">
        <v>1.0915839156459372E-4</v>
      </c>
      <c r="E13" t="s">
        <v>6</v>
      </c>
      <c r="G13" t="s">
        <v>442</v>
      </c>
      <c r="H13" t="s">
        <v>10</v>
      </c>
      <c r="I13">
        <v>9.3002835378388507E-2</v>
      </c>
      <c r="J13" t="s">
        <v>6</v>
      </c>
      <c r="L13" t="s">
        <v>443</v>
      </c>
      <c r="M13" t="s">
        <v>10</v>
      </c>
      <c r="N13">
        <v>7.0425879257997176E-2</v>
      </c>
      <c r="O13" t="s">
        <v>6</v>
      </c>
    </row>
    <row r="14" spans="2:15" x14ac:dyDescent="0.45">
      <c r="B14" t="s">
        <v>441</v>
      </c>
      <c r="C14" t="s">
        <v>11</v>
      </c>
      <c r="D14">
        <v>4.2374057881608522E-3</v>
      </c>
      <c r="E14" t="s">
        <v>6</v>
      </c>
      <c r="G14" t="s">
        <v>442</v>
      </c>
      <c r="H14" t="s">
        <v>11</v>
      </c>
      <c r="I14">
        <v>8.2634542154331525E-2</v>
      </c>
      <c r="J14" t="s">
        <v>6</v>
      </c>
      <c r="L14" t="s">
        <v>443</v>
      </c>
      <c r="M14" t="s">
        <v>11</v>
      </c>
      <c r="N14">
        <v>8.3459814232370103E-2</v>
      </c>
      <c r="O14" t="s">
        <v>6</v>
      </c>
    </row>
    <row r="15" spans="2:15" x14ac:dyDescent="0.45">
      <c r="B15" t="s">
        <v>441</v>
      </c>
      <c r="C15" t="s">
        <v>12</v>
      </c>
      <c r="D15">
        <v>0.30261484223282747</v>
      </c>
      <c r="E15" t="s">
        <v>6</v>
      </c>
      <c r="G15" t="s">
        <v>442</v>
      </c>
      <c r="H15" t="s">
        <v>12</v>
      </c>
      <c r="I15">
        <v>9.8571830371620484E-2</v>
      </c>
      <c r="J15" t="s">
        <v>6</v>
      </c>
      <c r="L15" t="s">
        <v>443</v>
      </c>
      <c r="M15" t="s">
        <v>12</v>
      </c>
      <c r="N15">
        <v>0.10509972211278744</v>
      </c>
      <c r="O15" t="s">
        <v>6</v>
      </c>
    </row>
    <row r="16" spans="2:15" x14ac:dyDescent="0.45">
      <c r="B16" t="s">
        <v>441</v>
      </c>
      <c r="C16" t="s">
        <v>13</v>
      </c>
      <c r="D16">
        <v>9.2286946298601735E-3</v>
      </c>
      <c r="E16" t="s">
        <v>6</v>
      </c>
      <c r="G16" t="s">
        <v>442</v>
      </c>
      <c r="H16" t="s">
        <v>13</v>
      </c>
      <c r="I16">
        <v>6.6437668024857052E-2</v>
      </c>
      <c r="J16" t="s">
        <v>6</v>
      </c>
      <c r="L16" t="s">
        <v>443</v>
      </c>
      <c r="M16" t="s">
        <v>13</v>
      </c>
      <c r="N16">
        <v>6.6851827041825615E-2</v>
      </c>
      <c r="O16" t="s">
        <v>6</v>
      </c>
    </row>
    <row r="17" spans="2:15" x14ac:dyDescent="0.45">
      <c r="B17" t="s">
        <v>441</v>
      </c>
      <c r="C17" t="s">
        <v>14</v>
      </c>
      <c r="D17">
        <v>9.1319159183114937E-3</v>
      </c>
      <c r="E17" t="s">
        <v>6</v>
      </c>
      <c r="G17" t="s">
        <v>442</v>
      </c>
      <c r="H17" t="s">
        <v>14</v>
      </c>
      <c r="I17">
        <v>5.3429727674715863E-2</v>
      </c>
      <c r="J17" t="s">
        <v>6</v>
      </c>
      <c r="L17" t="s">
        <v>443</v>
      </c>
      <c r="M17" t="s">
        <v>14</v>
      </c>
      <c r="N17">
        <v>6.2934697466436998E-2</v>
      </c>
      <c r="O17" t="s">
        <v>6</v>
      </c>
    </row>
    <row r="18" spans="2:15" x14ac:dyDescent="0.45">
      <c r="B18" t="s">
        <v>441</v>
      </c>
      <c r="C18" t="s">
        <v>15</v>
      </c>
      <c r="D18">
        <v>0.37521077359695049</v>
      </c>
      <c r="E18" t="s">
        <v>6</v>
      </c>
      <c r="G18" t="s">
        <v>442</v>
      </c>
      <c r="H18" t="s">
        <v>15</v>
      </c>
      <c r="I18">
        <v>5.8986016502998034E-2</v>
      </c>
      <c r="J18" t="s">
        <v>6</v>
      </c>
      <c r="L18" t="s">
        <v>443</v>
      </c>
      <c r="M18" t="s">
        <v>15</v>
      </c>
      <c r="N18">
        <v>8.1417884256395665E-2</v>
      </c>
      <c r="O18" t="s">
        <v>6</v>
      </c>
    </row>
    <row r="19" spans="2:15" x14ac:dyDescent="0.45">
      <c r="B19" t="s">
        <v>441</v>
      </c>
      <c r="C19" t="s">
        <v>16</v>
      </c>
      <c r="D19">
        <v>1.8243659731150615E-2</v>
      </c>
      <c r="E19" t="s">
        <v>6</v>
      </c>
      <c r="G19" t="s">
        <v>442</v>
      </c>
      <c r="H19" t="s">
        <v>16</v>
      </c>
      <c r="I19">
        <v>4.8973459803634226E-2</v>
      </c>
      <c r="J19" t="s">
        <v>6</v>
      </c>
      <c r="L19" t="s">
        <v>443</v>
      </c>
      <c r="M19" t="s">
        <v>16</v>
      </c>
      <c r="N19">
        <v>4.6918343725302861E-2</v>
      </c>
      <c r="O19" t="s">
        <v>6</v>
      </c>
    </row>
    <row r="20" spans="2:15" x14ac:dyDescent="0.45">
      <c r="B20" t="s">
        <v>441</v>
      </c>
      <c r="C20" t="s">
        <v>17</v>
      </c>
      <c r="D20">
        <v>3.6434468115889096E-4</v>
      </c>
      <c r="E20" t="s">
        <v>6</v>
      </c>
      <c r="G20" t="s">
        <v>442</v>
      </c>
      <c r="H20" t="s">
        <v>17</v>
      </c>
      <c r="I20">
        <v>9.2505522202667598E-2</v>
      </c>
      <c r="J20" t="s">
        <v>6</v>
      </c>
      <c r="L20" t="s">
        <v>443</v>
      </c>
      <c r="M20" t="s">
        <v>17</v>
      </c>
      <c r="N20">
        <v>9.0978270846015147E-2</v>
      </c>
      <c r="O20" t="s">
        <v>6</v>
      </c>
    </row>
    <row r="21" spans="2:15" x14ac:dyDescent="0.45">
      <c r="B21" t="s">
        <v>441</v>
      </c>
      <c r="C21" t="s">
        <v>18</v>
      </c>
      <c r="D21">
        <v>0.18239622248114823</v>
      </c>
      <c r="E21" t="s">
        <v>6</v>
      </c>
      <c r="G21" t="s">
        <v>442</v>
      </c>
      <c r="H21" t="s">
        <v>18</v>
      </c>
      <c r="I21">
        <v>9.2144644721569538E-2</v>
      </c>
      <c r="J21" t="s">
        <v>6</v>
      </c>
      <c r="L21" t="s">
        <v>443</v>
      </c>
      <c r="M21" t="s">
        <v>18</v>
      </c>
      <c r="N21">
        <v>0.11274437740127088</v>
      </c>
      <c r="O21" t="s">
        <v>6</v>
      </c>
    </row>
    <row r="22" spans="2:15" x14ac:dyDescent="0.45">
      <c r="B22" t="s">
        <v>441</v>
      </c>
      <c r="C22" t="s">
        <v>19</v>
      </c>
      <c r="D22">
        <v>1.3868469189229763E-3</v>
      </c>
      <c r="E22" t="s">
        <v>6</v>
      </c>
      <c r="G22" t="s">
        <v>442</v>
      </c>
      <c r="H22" t="s">
        <v>19</v>
      </c>
      <c r="I22">
        <v>6.2882470976946658E-2</v>
      </c>
      <c r="J22" t="s">
        <v>6</v>
      </c>
      <c r="L22" t="s">
        <v>443</v>
      </c>
      <c r="M22" t="s">
        <v>19</v>
      </c>
      <c r="N22">
        <v>6.985234698566295E-2</v>
      </c>
      <c r="O22" t="s">
        <v>6</v>
      </c>
    </row>
    <row r="23" spans="2:15" x14ac:dyDescent="0.45">
      <c r="B23" t="s">
        <v>444</v>
      </c>
      <c r="C23" t="s">
        <v>5</v>
      </c>
      <c r="D23">
        <v>0</v>
      </c>
      <c r="E23" t="s">
        <v>6</v>
      </c>
      <c r="G23" t="s">
        <v>445</v>
      </c>
      <c r="H23" t="s">
        <v>5</v>
      </c>
      <c r="I23">
        <v>0.11264911727054636</v>
      </c>
      <c r="J23" t="s">
        <v>6</v>
      </c>
      <c r="L23" t="s">
        <v>446</v>
      </c>
      <c r="M23" t="s">
        <v>5</v>
      </c>
      <c r="N23">
        <v>9.3740992595799211E-2</v>
      </c>
      <c r="O23" t="s">
        <v>6</v>
      </c>
    </row>
    <row r="24" spans="2:15" x14ac:dyDescent="0.45">
      <c r="B24" t="s">
        <v>444</v>
      </c>
      <c r="C24" t="s">
        <v>9</v>
      </c>
      <c r="D24">
        <v>9.4364603864121432E-2</v>
      </c>
      <c r="E24" t="s">
        <v>6</v>
      </c>
      <c r="G24" t="s">
        <v>445</v>
      </c>
      <c r="H24" t="s">
        <v>9</v>
      </c>
      <c r="I24">
        <v>0.12333852913517965</v>
      </c>
      <c r="J24" t="s">
        <v>6</v>
      </c>
      <c r="L24" t="s">
        <v>446</v>
      </c>
      <c r="M24" t="s">
        <v>9</v>
      </c>
      <c r="N24">
        <v>0.11672560744287949</v>
      </c>
      <c r="O24" t="s">
        <v>6</v>
      </c>
    </row>
    <row r="25" spans="2:15" x14ac:dyDescent="0.45">
      <c r="B25" t="s">
        <v>444</v>
      </c>
      <c r="C25" t="s">
        <v>10</v>
      </c>
      <c r="D25">
        <v>4.108872919019758E-5</v>
      </c>
      <c r="E25" t="s">
        <v>6</v>
      </c>
      <c r="G25" t="s">
        <v>445</v>
      </c>
      <c r="H25" t="s">
        <v>10</v>
      </c>
      <c r="I25">
        <v>8.3730344884165919E-2</v>
      </c>
      <c r="J25" t="s">
        <v>6</v>
      </c>
      <c r="L25" t="s">
        <v>446</v>
      </c>
      <c r="M25" t="s">
        <v>10</v>
      </c>
      <c r="N25">
        <v>7.0928399884486376E-2</v>
      </c>
      <c r="O25" t="s">
        <v>6</v>
      </c>
    </row>
    <row r="26" spans="2:15" x14ac:dyDescent="0.45">
      <c r="B26" t="s">
        <v>444</v>
      </c>
      <c r="C26" t="s">
        <v>11</v>
      </c>
      <c r="D26">
        <v>5.895017543229646E-3</v>
      </c>
      <c r="E26" t="s">
        <v>6</v>
      </c>
      <c r="G26" t="s">
        <v>445</v>
      </c>
      <c r="H26" t="s">
        <v>11</v>
      </c>
      <c r="I26">
        <v>8.3180139790908533E-2</v>
      </c>
      <c r="J26" t="s">
        <v>6</v>
      </c>
      <c r="L26" t="s">
        <v>446</v>
      </c>
      <c r="M26" t="s">
        <v>11</v>
      </c>
      <c r="N26">
        <v>8.2840076432269358E-2</v>
      </c>
      <c r="O26" t="s">
        <v>6</v>
      </c>
    </row>
    <row r="27" spans="2:15" x14ac:dyDescent="0.45">
      <c r="B27" t="s">
        <v>444</v>
      </c>
      <c r="C27" t="s">
        <v>12</v>
      </c>
      <c r="D27">
        <v>0.31119251937495657</v>
      </c>
      <c r="E27" t="s">
        <v>6</v>
      </c>
      <c r="G27" t="s">
        <v>445</v>
      </c>
      <c r="H27" t="s">
        <v>12</v>
      </c>
      <c r="I27">
        <v>0.10292438046464242</v>
      </c>
      <c r="J27" t="s">
        <v>6</v>
      </c>
      <c r="L27" t="s">
        <v>446</v>
      </c>
      <c r="M27" t="s">
        <v>12</v>
      </c>
      <c r="N27">
        <v>0.10129929166538952</v>
      </c>
      <c r="O27" t="s">
        <v>6</v>
      </c>
    </row>
    <row r="28" spans="2:15" x14ac:dyDescent="0.45">
      <c r="B28" t="s">
        <v>444</v>
      </c>
      <c r="C28" t="s">
        <v>13</v>
      </c>
      <c r="D28">
        <v>8.1966723566239651E-3</v>
      </c>
      <c r="E28" t="s">
        <v>6</v>
      </c>
      <c r="G28" t="s">
        <v>445</v>
      </c>
      <c r="H28" t="s">
        <v>13</v>
      </c>
      <c r="I28">
        <v>6.8298512554875346E-2</v>
      </c>
      <c r="J28" t="s">
        <v>6</v>
      </c>
      <c r="L28" t="s">
        <v>446</v>
      </c>
      <c r="M28" t="s">
        <v>13</v>
      </c>
      <c r="N28">
        <v>6.4296887990893031E-2</v>
      </c>
      <c r="O28" t="s">
        <v>6</v>
      </c>
    </row>
    <row r="29" spans="2:15" x14ac:dyDescent="0.45">
      <c r="B29" t="s">
        <v>444</v>
      </c>
      <c r="C29" t="s">
        <v>14</v>
      </c>
      <c r="D29">
        <v>1.0611141765286602E-2</v>
      </c>
      <c r="E29" t="s">
        <v>6</v>
      </c>
      <c r="G29" t="s">
        <v>445</v>
      </c>
      <c r="H29" t="s">
        <v>14</v>
      </c>
      <c r="I29">
        <v>4.9973240857065573E-2</v>
      </c>
      <c r="J29" t="s">
        <v>6</v>
      </c>
      <c r="L29" t="s">
        <v>446</v>
      </c>
      <c r="M29" t="s">
        <v>14</v>
      </c>
      <c r="N29">
        <v>6.2745011232981179E-2</v>
      </c>
      <c r="O29" t="s">
        <v>6</v>
      </c>
    </row>
    <row r="30" spans="2:15" x14ac:dyDescent="0.45">
      <c r="B30" t="s">
        <v>444</v>
      </c>
      <c r="C30" t="s">
        <v>15</v>
      </c>
      <c r="D30">
        <v>0.37513556449115082</v>
      </c>
      <c r="E30" t="s">
        <v>6</v>
      </c>
      <c r="G30" t="s">
        <v>445</v>
      </c>
      <c r="H30" t="s">
        <v>15</v>
      </c>
      <c r="I30">
        <v>5.0681328661647984E-2</v>
      </c>
      <c r="J30" t="s">
        <v>6</v>
      </c>
      <c r="L30" t="s">
        <v>446</v>
      </c>
      <c r="M30" t="s">
        <v>15</v>
      </c>
      <c r="N30">
        <v>8.3509851413265265E-2</v>
      </c>
      <c r="O30" t="s">
        <v>6</v>
      </c>
    </row>
    <row r="31" spans="2:15" x14ac:dyDescent="0.45">
      <c r="B31" t="s">
        <v>444</v>
      </c>
      <c r="C31" t="s">
        <v>16</v>
      </c>
      <c r="D31">
        <v>1.6009495769808792E-2</v>
      </c>
      <c r="E31" t="s">
        <v>6</v>
      </c>
      <c r="G31" t="s">
        <v>445</v>
      </c>
      <c r="H31" t="s">
        <v>16</v>
      </c>
      <c r="I31">
        <v>4.4078639779362223E-2</v>
      </c>
      <c r="J31" t="s">
        <v>6</v>
      </c>
      <c r="L31" t="s">
        <v>446</v>
      </c>
      <c r="M31" t="s">
        <v>16</v>
      </c>
      <c r="N31">
        <v>4.9891797981074848E-2</v>
      </c>
      <c r="O31" t="s">
        <v>6</v>
      </c>
    </row>
    <row r="32" spans="2:15" x14ac:dyDescent="0.45">
      <c r="B32" t="s">
        <v>444</v>
      </c>
      <c r="C32" t="s">
        <v>17</v>
      </c>
      <c r="D32">
        <v>6.6223299085406634E-4</v>
      </c>
      <c r="E32" t="s">
        <v>6</v>
      </c>
      <c r="G32" t="s">
        <v>445</v>
      </c>
      <c r="H32" t="s">
        <v>17</v>
      </c>
      <c r="I32">
        <v>9.8565953446273141E-2</v>
      </c>
      <c r="J32" t="s">
        <v>6</v>
      </c>
      <c r="L32" t="s">
        <v>446</v>
      </c>
      <c r="M32" t="s">
        <v>17</v>
      </c>
      <c r="N32">
        <v>9.2100614844828205E-2</v>
      </c>
      <c r="O32" t="s">
        <v>6</v>
      </c>
    </row>
    <row r="33" spans="2:15" x14ac:dyDescent="0.45">
      <c r="B33" t="s">
        <v>444</v>
      </c>
      <c r="C33" t="s">
        <v>18</v>
      </c>
      <c r="D33">
        <v>0.17679316317368898</v>
      </c>
      <c r="E33" t="s">
        <v>6</v>
      </c>
      <c r="G33" t="s">
        <v>445</v>
      </c>
      <c r="H33" t="s">
        <v>18</v>
      </c>
      <c r="I33">
        <v>0.11252460295675183</v>
      </c>
      <c r="J33" t="s">
        <v>6</v>
      </c>
      <c r="L33" t="s">
        <v>446</v>
      </c>
      <c r="M33" t="s">
        <v>18</v>
      </c>
      <c r="N33">
        <v>0.11202722350530768</v>
      </c>
      <c r="O33" t="s">
        <v>6</v>
      </c>
    </row>
    <row r="34" spans="2:15" x14ac:dyDescent="0.45">
      <c r="B34" t="s">
        <v>444</v>
      </c>
      <c r="C34" t="s">
        <v>19</v>
      </c>
      <c r="D34">
        <v>1.098499941087791E-3</v>
      </c>
      <c r="E34" t="s">
        <v>6</v>
      </c>
      <c r="G34" t="s">
        <v>445</v>
      </c>
      <c r="H34" t="s">
        <v>19</v>
      </c>
      <c r="I34">
        <v>7.0055210198575121E-2</v>
      </c>
      <c r="J34" t="s">
        <v>6</v>
      </c>
      <c r="L34" t="s">
        <v>446</v>
      </c>
      <c r="M34" t="s">
        <v>19</v>
      </c>
      <c r="N34">
        <v>6.9894245010822698E-2</v>
      </c>
      <c r="O34" t="s">
        <v>6</v>
      </c>
    </row>
    <row r="35" spans="2:15" x14ac:dyDescent="0.45">
      <c r="B35" t="s">
        <v>447</v>
      </c>
      <c r="C35" t="s">
        <v>5</v>
      </c>
      <c r="D35">
        <v>0</v>
      </c>
      <c r="E35" t="s">
        <v>6</v>
      </c>
      <c r="G35" t="s">
        <v>448</v>
      </c>
      <c r="H35" t="s">
        <v>5</v>
      </c>
      <c r="I35">
        <v>0.11929612913387516</v>
      </c>
      <c r="J35" t="s">
        <v>6</v>
      </c>
      <c r="L35" t="s">
        <v>449</v>
      </c>
      <c r="M35" t="s">
        <v>5</v>
      </c>
      <c r="N35">
        <v>9.5716048376113902E-2</v>
      </c>
      <c r="O35" t="s">
        <v>6</v>
      </c>
    </row>
    <row r="36" spans="2:15" x14ac:dyDescent="0.45">
      <c r="B36" t="s">
        <v>447</v>
      </c>
      <c r="C36" t="s">
        <v>9</v>
      </c>
      <c r="D36">
        <v>0.10327975274722055</v>
      </c>
      <c r="E36" t="s">
        <v>6</v>
      </c>
      <c r="G36" t="s">
        <v>448</v>
      </c>
      <c r="H36" t="s">
        <v>9</v>
      </c>
      <c r="I36">
        <v>0.11995643309030327</v>
      </c>
      <c r="J36" t="s">
        <v>6</v>
      </c>
      <c r="L36" t="s">
        <v>449</v>
      </c>
      <c r="M36" t="s">
        <v>9</v>
      </c>
      <c r="N36">
        <v>0.12033414281922362</v>
      </c>
      <c r="O36" t="s">
        <v>6</v>
      </c>
    </row>
    <row r="37" spans="2:15" x14ac:dyDescent="0.45">
      <c r="B37" t="s">
        <v>447</v>
      </c>
      <c r="C37" t="s">
        <v>10</v>
      </c>
      <c r="D37">
        <v>4.4346766129693118E-6</v>
      </c>
      <c r="E37" t="s">
        <v>6</v>
      </c>
      <c r="G37" t="s">
        <v>448</v>
      </c>
      <c r="H37" t="s">
        <v>10</v>
      </c>
      <c r="I37">
        <v>9.0181586097116823E-2</v>
      </c>
      <c r="J37" t="s">
        <v>6</v>
      </c>
      <c r="L37" t="s">
        <v>449</v>
      </c>
      <c r="M37" t="s">
        <v>10</v>
      </c>
      <c r="N37">
        <v>7.2848083808914846E-2</v>
      </c>
      <c r="O37" t="s">
        <v>6</v>
      </c>
    </row>
    <row r="38" spans="2:15" x14ac:dyDescent="0.45">
      <c r="B38" t="s">
        <v>447</v>
      </c>
      <c r="C38" t="s">
        <v>11</v>
      </c>
      <c r="D38">
        <v>6.4886837897217544E-3</v>
      </c>
      <c r="E38" t="s">
        <v>6</v>
      </c>
      <c r="G38" t="s">
        <v>448</v>
      </c>
      <c r="H38" t="s">
        <v>11</v>
      </c>
      <c r="I38">
        <v>8.8648696634800031E-2</v>
      </c>
      <c r="J38" t="s">
        <v>6</v>
      </c>
      <c r="L38" t="s">
        <v>449</v>
      </c>
      <c r="M38" t="s">
        <v>11</v>
      </c>
      <c r="N38">
        <v>8.2454510837062733E-2</v>
      </c>
      <c r="O38" t="s">
        <v>6</v>
      </c>
    </row>
    <row r="39" spans="2:15" x14ac:dyDescent="0.45">
      <c r="B39" t="s">
        <v>447</v>
      </c>
      <c r="C39" t="s">
        <v>12</v>
      </c>
      <c r="D39">
        <v>0.30483919305498314</v>
      </c>
      <c r="E39" t="s">
        <v>6</v>
      </c>
      <c r="G39" t="s">
        <v>448</v>
      </c>
      <c r="H39" t="s">
        <v>12</v>
      </c>
      <c r="I39">
        <v>8.7243996516513267E-2</v>
      </c>
      <c r="J39" t="s">
        <v>6</v>
      </c>
      <c r="L39" t="s">
        <v>449</v>
      </c>
      <c r="M39" t="s">
        <v>12</v>
      </c>
      <c r="N39">
        <v>9.7314950963447583E-2</v>
      </c>
      <c r="O39" t="s">
        <v>6</v>
      </c>
    </row>
    <row r="40" spans="2:15" x14ac:dyDescent="0.45">
      <c r="B40" t="s">
        <v>447</v>
      </c>
      <c r="C40" t="s">
        <v>13</v>
      </c>
      <c r="D40">
        <v>6.6427848379671381E-3</v>
      </c>
      <c r="E40" t="s">
        <v>6</v>
      </c>
      <c r="G40" t="s">
        <v>448</v>
      </c>
      <c r="H40" t="s">
        <v>13</v>
      </c>
      <c r="I40">
        <v>6.7595064129775673E-2</v>
      </c>
      <c r="J40" t="s">
        <v>6</v>
      </c>
      <c r="L40" t="s">
        <v>449</v>
      </c>
      <c r="M40" t="s">
        <v>13</v>
      </c>
      <c r="N40">
        <v>6.2098238818267544E-2</v>
      </c>
      <c r="O40" t="s">
        <v>6</v>
      </c>
    </row>
    <row r="41" spans="2:15" x14ac:dyDescent="0.45">
      <c r="B41" t="s">
        <v>447</v>
      </c>
      <c r="C41" t="s">
        <v>14</v>
      </c>
      <c r="D41">
        <v>1.1391239039575205E-2</v>
      </c>
      <c r="E41" t="s">
        <v>6</v>
      </c>
      <c r="G41" t="s">
        <v>448</v>
      </c>
      <c r="H41" t="s">
        <v>14</v>
      </c>
      <c r="I41">
        <v>5.9174395742773084E-2</v>
      </c>
      <c r="J41" t="s">
        <v>6</v>
      </c>
      <c r="L41" t="s">
        <v>449</v>
      </c>
      <c r="M41" t="s">
        <v>14</v>
      </c>
      <c r="N41">
        <v>6.4568864988453614E-2</v>
      </c>
      <c r="O41" t="s">
        <v>6</v>
      </c>
    </row>
    <row r="42" spans="2:15" x14ac:dyDescent="0.45">
      <c r="B42" t="s">
        <v>447</v>
      </c>
      <c r="C42" t="s">
        <v>15</v>
      </c>
      <c r="D42">
        <v>0.36791854991040673</v>
      </c>
      <c r="E42" t="s">
        <v>6</v>
      </c>
      <c r="G42" t="s">
        <v>448</v>
      </c>
      <c r="H42" t="s">
        <v>15</v>
      </c>
      <c r="I42">
        <v>4.4500193089069384E-2</v>
      </c>
      <c r="J42" t="s">
        <v>6</v>
      </c>
      <c r="L42" t="s">
        <v>449</v>
      </c>
      <c r="M42" t="s">
        <v>15</v>
      </c>
      <c r="N42">
        <v>8.3863382046859086E-2</v>
      </c>
      <c r="O42" t="s">
        <v>6</v>
      </c>
    </row>
    <row r="43" spans="2:15" x14ac:dyDescent="0.45">
      <c r="B43" t="s">
        <v>447</v>
      </c>
      <c r="C43" t="s">
        <v>16</v>
      </c>
      <c r="D43">
        <v>1.3817514657906276E-2</v>
      </c>
      <c r="E43" t="s">
        <v>6</v>
      </c>
      <c r="G43" t="s">
        <v>448</v>
      </c>
      <c r="H43" t="s">
        <v>16</v>
      </c>
      <c r="I43">
        <v>4.621969203318909E-2</v>
      </c>
      <c r="J43" t="s">
        <v>6</v>
      </c>
      <c r="L43" t="s">
        <v>449</v>
      </c>
      <c r="M43" t="s">
        <v>16</v>
      </c>
      <c r="N43">
        <v>5.0923191916414381E-2</v>
      </c>
      <c r="O43" t="s">
        <v>6</v>
      </c>
    </row>
    <row r="44" spans="2:15" x14ac:dyDescent="0.45">
      <c r="B44" t="s">
        <v>447</v>
      </c>
      <c r="C44" t="s">
        <v>17</v>
      </c>
      <c r="D44">
        <v>1.0746659784829592E-3</v>
      </c>
      <c r="E44" t="s">
        <v>6</v>
      </c>
      <c r="G44" t="s">
        <v>448</v>
      </c>
      <c r="H44" t="s">
        <v>17</v>
      </c>
      <c r="I44">
        <v>0.10383713406439837</v>
      </c>
      <c r="J44" t="s">
        <v>6</v>
      </c>
      <c r="L44" t="s">
        <v>449</v>
      </c>
      <c r="M44" t="s">
        <v>17</v>
      </c>
      <c r="N44">
        <v>9.1946885351316787E-2</v>
      </c>
      <c r="O44" t="s">
        <v>6</v>
      </c>
    </row>
    <row r="45" spans="2:15" x14ac:dyDescent="0.45">
      <c r="B45" t="s">
        <v>447</v>
      </c>
      <c r="C45" t="s">
        <v>18</v>
      </c>
      <c r="D45">
        <v>0.18376940241437997</v>
      </c>
      <c r="E45" t="s">
        <v>6</v>
      </c>
      <c r="G45" t="s">
        <v>448</v>
      </c>
      <c r="H45" t="s">
        <v>18</v>
      </c>
      <c r="I45">
        <v>9.8992022070439514E-2</v>
      </c>
      <c r="J45" t="s">
        <v>6</v>
      </c>
      <c r="L45" t="s">
        <v>449</v>
      </c>
      <c r="M45" t="s">
        <v>18</v>
      </c>
      <c r="N45">
        <v>0.10935694557702463</v>
      </c>
      <c r="O45" t="s">
        <v>6</v>
      </c>
    </row>
    <row r="46" spans="2:15" x14ac:dyDescent="0.45">
      <c r="B46" t="s">
        <v>447</v>
      </c>
      <c r="C46" t="s">
        <v>19</v>
      </c>
      <c r="D46">
        <v>7.7377889274099271E-4</v>
      </c>
      <c r="E46" t="s">
        <v>6</v>
      </c>
      <c r="G46" t="s">
        <v>448</v>
      </c>
      <c r="H46" t="s">
        <v>19</v>
      </c>
      <c r="I46">
        <v>7.4354657397749144E-2</v>
      </c>
      <c r="J46" t="s">
        <v>6</v>
      </c>
      <c r="L46" t="s">
        <v>449</v>
      </c>
      <c r="M46" t="s">
        <v>19</v>
      </c>
      <c r="N46">
        <v>6.8574754496898024E-2</v>
      </c>
      <c r="O46" t="s">
        <v>6</v>
      </c>
    </row>
    <row r="47" spans="2:15" x14ac:dyDescent="0.45">
      <c r="B47" t="s">
        <v>450</v>
      </c>
      <c r="C47" t="s">
        <v>5</v>
      </c>
      <c r="D47">
        <v>0</v>
      </c>
      <c r="E47" t="s">
        <v>6</v>
      </c>
      <c r="G47" t="s">
        <v>451</v>
      </c>
      <c r="H47" t="s">
        <v>5</v>
      </c>
      <c r="I47">
        <v>0.11373501013749097</v>
      </c>
      <c r="J47" t="s">
        <v>6</v>
      </c>
      <c r="L47" t="s">
        <v>452</v>
      </c>
      <c r="M47" t="s">
        <v>5</v>
      </c>
      <c r="N47">
        <v>9.6255799558497598E-2</v>
      </c>
      <c r="O47" t="s">
        <v>6</v>
      </c>
    </row>
    <row r="48" spans="2:15" x14ac:dyDescent="0.45">
      <c r="B48" t="s">
        <v>450</v>
      </c>
      <c r="C48" t="s">
        <v>9</v>
      </c>
      <c r="D48">
        <v>0.10675852988398032</v>
      </c>
      <c r="E48" t="s">
        <v>6</v>
      </c>
      <c r="G48" t="s">
        <v>451</v>
      </c>
      <c r="H48" t="s">
        <v>9</v>
      </c>
      <c r="I48">
        <v>0.12659270987835658</v>
      </c>
      <c r="J48" t="s">
        <v>6</v>
      </c>
      <c r="L48" t="s">
        <v>452</v>
      </c>
      <c r="M48" t="s">
        <v>9</v>
      </c>
      <c r="N48">
        <v>0.11936512420292218</v>
      </c>
      <c r="O48" t="s">
        <v>6</v>
      </c>
    </row>
    <row r="49" spans="2:15" x14ac:dyDescent="0.45">
      <c r="B49" t="s">
        <v>450</v>
      </c>
      <c r="C49" t="s">
        <v>10</v>
      </c>
      <c r="D49">
        <v>5.6470673833985429E-5</v>
      </c>
      <c r="E49" t="s">
        <v>6</v>
      </c>
      <c r="G49" t="s">
        <v>451</v>
      </c>
      <c r="H49" t="s">
        <v>10</v>
      </c>
      <c r="I49">
        <v>8.5708023970213529E-2</v>
      </c>
      <c r="J49" t="s">
        <v>6</v>
      </c>
      <c r="L49" t="s">
        <v>452</v>
      </c>
      <c r="M49" t="s">
        <v>10</v>
      </c>
      <c r="N49">
        <v>7.2110376889214248E-2</v>
      </c>
      <c r="O49" t="s">
        <v>6</v>
      </c>
    </row>
    <row r="50" spans="2:15" x14ac:dyDescent="0.45">
      <c r="B50" t="s">
        <v>450</v>
      </c>
      <c r="C50" t="s">
        <v>11</v>
      </c>
      <c r="D50">
        <v>4.5439752439342014E-3</v>
      </c>
      <c r="E50" t="s">
        <v>6</v>
      </c>
      <c r="G50" t="s">
        <v>451</v>
      </c>
      <c r="H50" t="s">
        <v>11</v>
      </c>
      <c r="I50">
        <v>8.3326722647636298E-2</v>
      </c>
      <c r="J50" t="s">
        <v>6</v>
      </c>
      <c r="L50" t="s">
        <v>452</v>
      </c>
      <c r="M50" t="s">
        <v>11</v>
      </c>
      <c r="N50">
        <v>8.3541292698756944E-2</v>
      </c>
      <c r="O50" t="s">
        <v>6</v>
      </c>
    </row>
    <row r="51" spans="2:15" x14ac:dyDescent="0.45">
      <c r="B51" t="s">
        <v>450</v>
      </c>
      <c r="C51" t="s">
        <v>12</v>
      </c>
      <c r="D51">
        <v>0.29604592836734167</v>
      </c>
      <c r="E51" t="s">
        <v>6</v>
      </c>
      <c r="G51" t="s">
        <v>451</v>
      </c>
      <c r="H51" t="s">
        <v>12</v>
      </c>
      <c r="I51">
        <v>9.3148096135627065E-2</v>
      </c>
      <c r="J51" t="s">
        <v>6</v>
      </c>
      <c r="L51" t="s">
        <v>452</v>
      </c>
      <c r="M51" t="s">
        <v>12</v>
      </c>
      <c r="N51">
        <v>9.9218372699674484E-2</v>
      </c>
      <c r="O51" t="s">
        <v>6</v>
      </c>
    </row>
    <row r="52" spans="2:15" x14ac:dyDescent="0.45">
      <c r="B52" t="s">
        <v>450</v>
      </c>
      <c r="C52" t="s">
        <v>13</v>
      </c>
      <c r="D52">
        <v>8.1697909150965798E-3</v>
      </c>
      <c r="E52" t="s">
        <v>6</v>
      </c>
      <c r="G52" t="s">
        <v>451</v>
      </c>
      <c r="H52" t="s">
        <v>13</v>
      </c>
      <c r="I52">
        <v>6.6461367778975863E-2</v>
      </c>
      <c r="J52" t="s">
        <v>6</v>
      </c>
      <c r="L52" t="s">
        <v>452</v>
      </c>
      <c r="M52" t="s">
        <v>13</v>
      </c>
      <c r="N52">
        <v>6.4141196745709339E-2</v>
      </c>
      <c r="O52" t="s">
        <v>6</v>
      </c>
    </row>
    <row r="53" spans="2:15" x14ac:dyDescent="0.45">
      <c r="B53" t="s">
        <v>450</v>
      </c>
      <c r="C53" t="s">
        <v>14</v>
      </c>
      <c r="D53">
        <v>9.901032401348861E-3</v>
      </c>
      <c r="E53" t="s">
        <v>6</v>
      </c>
      <c r="G53" t="s">
        <v>451</v>
      </c>
      <c r="H53" t="s">
        <v>14</v>
      </c>
      <c r="I53">
        <v>5.14442744582677E-2</v>
      </c>
      <c r="J53" t="s">
        <v>6</v>
      </c>
      <c r="L53" t="s">
        <v>452</v>
      </c>
      <c r="M53" t="s">
        <v>14</v>
      </c>
      <c r="N53">
        <v>6.2735485402208066E-2</v>
      </c>
      <c r="O53" t="s">
        <v>6</v>
      </c>
    </row>
    <row r="54" spans="2:15" x14ac:dyDescent="0.45">
      <c r="B54" t="s">
        <v>450</v>
      </c>
      <c r="C54" t="s">
        <v>15</v>
      </c>
      <c r="D54">
        <v>0.37380469723377385</v>
      </c>
      <c r="E54" t="s">
        <v>6</v>
      </c>
      <c r="G54" t="s">
        <v>451</v>
      </c>
      <c r="H54" t="s">
        <v>15</v>
      </c>
      <c r="I54">
        <v>4.6741603359113156E-2</v>
      </c>
      <c r="J54" t="s">
        <v>6</v>
      </c>
      <c r="L54" t="s">
        <v>452</v>
      </c>
      <c r="M54" t="s">
        <v>15</v>
      </c>
      <c r="N54">
        <v>8.0065112637099103E-2</v>
      </c>
      <c r="O54" t="s">
        <v>6</v>
      </c>
    </row>
    <row r="55" spans="2:15" x14ac:dyDescent="0.45">
      <c r="B55" t="s">
        <v>450</v>
      </c>
      <c r="C55" t="s">
        <v>16</v>
      </c>
      <c r="D55">
        <v>1.656226544553796E-2</v>
      </c>
      <c r="E55" t="s">
        <v>6</v>
      </c>
      <c r="G55" t="s">
        <v>451</v>
      </c>
      <c r="H55" t="s">
        <v>16</v>
      </c>
      <c r="I55">
        <v>4.2203660681697681E-2</v>
      </c>
      <c r="J55" t="s">
        <v>6</v>
      </c>
      <c r="L55" t="s">
        <v>452</v>
      </c>
      <c r="M55" t="s">
        <v>16</v>
      </c>
      <c r="N55">
        <v>4.8430154300318294E-2</v>
      </c>
      <c r="O55" t="s">
        <v>6</v>
      </c>
    </row>
    <row r="56" spans="2:15" x14ac:dyDescent="0.45">
      <c r="B56" t="s">
        <v>450</v>
      </c>
      <c r="C56" t="s">
        <v>17</v>
      </c>
      <c r="D56">
        <v>5.9680510927248803E-4</v>
      </c>
      <c r="E56" t="s">
        <v>6</v>
      </c>
      <c r="G56" t="s">
        <v>451</v>
      </c>
      <c r="H56" t="s">
        <v>17</v>
      </c>
      <c r="I56">
        <v>0.10304765825429503</v>
      </c>
      <c r="J56" t="s">
        <v>6</v>
      </c>
      <c r="L56" t="s">
        <v>452</v>
      </c>
      <c r="M56" t="s">
        <v>17</v>
      </c>
      <c r="N56">
        <v>9.2573916537580417E-2</v>
      </c>
      <c r="O56" t="s">
        <v>6</v>
      </c>
    </row>
    <row r="57" spans="2:15" x14ac:dyDescent="0.45">
      <c r="B57" t="s">
        <v>450</v>
      </c>
      <c r="C57" t="s">
        <v>18</v>
      </c>
      <c r="D57">
        <v>0.18230617118794157</v>
      </c>
      <c r="E57" t="s">
        <v>6</v>
      </c>
      <c r="G57" t="s">
        <v>451</v>
      </c>
      <c r="H57" t="s">
        <v>18</v>
      </c>
      <c r="I57">
        <v>0.11297829120650892</v>
      </c>
      <c r="J57" t="s">
        <v>6</v>
      </c>
      <c r="L57" t="s">
        <v>452</v>
      </c>
      <c r="M57" t="s">
        <v>18</v>
      </c>
      <c r="N57">
        <v>0.11200860835169404</v>
      </c>
      <c r="O57" t="s">
        <v>6</v>
      </c>
    </row>
    <row r="58" spans="2:15" x14ac:dyDescent="0.45">
      <c r="B58" t="s">
        <v>450</v>
      </c>
      <c r="C58" t="s">
        <v>19</v>
      </c>
      <c r="D58">
        <v>1.2543335379400402E-3</v>
      </c>
      <c r="E58" t="s">
        <v>6</v>
      </c>
      <c r="G58" t="s">
        <v>451</v>
      </c>
      <c r="H58" t="s">
        <v>19</v>
      </c>
      <c r="I58">
        <v>7.4612581491814725E-2</v>
      </c>
      <c r="J58" t="s">
        <v>6</v>
      </c>
      <c r="L58" t="s">
        <v>452</v>
      </c>
      <c r="M58" t="s">
        <v>19</v>
      </c>
      <c r="N58">
        <v>6.9554559976325744E-2</v>
      </c>
      <c r="O58" t="s">
        <v>6</v>
      </c>
    </row>
    <row r="59" spans="2:15" x14ac:dyDescent="0.45">
      <c r="B59" t="s">
        <v>453</v>
      </c>
      <c r="C59" t="s">
        <v>5</v>
      </c>
      <c r="D59">
        <v>0</v>
      </c>
      <c r="E59" t="s">
        <v>6</v>
      </c>
      <c r="G59" t="s">
        <v>454</v>
      </c>
      <c r="H59" t="s">
        <v>5</v>
      </c>
      <c r="I59">
        <v>0.11095905476839166</v>
      </c>
      <c r="J59" t="s">
        <v>6</v>
      </c>
      <c r="L59" t="s">
        <v>455</v>
      </c>
      <c r="M59" t="s">
        <v>5</v>
      </c>
      <c r="N59">
        <v>0.10128172631406698</v>
      </c>
      <c r="O59" t="s">
        <v>6</v>
      </c>
    </row>
    <row r="60" spans="2:15" x14ac:dyDescent="0.45">
      <c r="B60" t="s">
        <v>453</v>
      </c>
      <c r="C60" t="s">
        <v>9</v>
      </c>
      <c r="D60">
        <v>0.11285738790830814</v>
      </c>
      <c r="E60" t="s">
        <v>6</v>
      </c>
      <c r="G60" t="s">
        <v>454</v>
      </c>
      <c r="H60" t="s">
        <v>9</v>
      </c>
      <c r="I60">
        <v>0.12986608550521453</v>
      </c>
      <c r="J60" t="s">
        <v>6</v>
      </c>
      <c r="L60" t="s">
        <v>455</v>
      </c>
      <c r="M60" t="s">
        <v>9</v>
      </c>
      <c r="N60">
        <v>0.12660942078739609</v>
      </c>
      <c r="O60" t="s">
        <v>6</v>
      </c>
    </row>
    <row r="61" spans="2:15" x14ac:dyDescent="0.45">
      <c r="B61" t="s">
        <v>453</v>
      </c>
      <c r="C61" t="s">
        <v>10</v>
      </c>
      <c r="D61">
        <v>1.956343287965301E-5</v>
      </c>
      <c r="E61" t="s">
        <v>6</v>
      </c>
      <c r="G61" t="s">
        <v>454</v>
      </c>
      <c r="H61" t="s">
        <v>10</v>
      </c>
      <c r="I61">
        <v>8.9093293982180577E-2</v>
      </c>
      <c r="J61" t="s">
        <v>6</v>
      </c>
      <c r="L61" t="s">
        <v>455</v>
      </c>
      <c r="M61" t="s">
        <v>10</v>
      </c>
      <c r="N61">
        <v>7.6423531873893405E-2</v>
      </c>
      <c r="O61" t="s">
        <v>6</v>
      </c>
    </row>
    <row r="62" spans="2:15" x14ac:dyDescent="0.45">
      <c r="B62" t="s">
        <v>453</v>
      </c>
      <c r="C62" t="s">
        <v>11</v>
      </c>
      <c r="D62">
        <v>5.0587834648526909E-3</v>
      </c>
      <c r="E62" t="s">
        <v>6</v>
      </c>
      <c r="G62" t="s">
        <v>454</v>
      </c>
      <c r="H62" t="s">
        <v>11</v>
      </c>
      <c r="I62">
        <v>7.8506902638402071E-2</v>
      </c>
      <c r="J62" t="s">
        <v>6</v>
      </c>
      <c r="L62" t="s">
        <v>455</v>
      </c>
      <c r="M62" t="s">
        <v>11</v>
      </c>
      <c r="N62">
        <v>8.2905957652314274E-2</v>
      </c>
      <c r="O62" t="s">
        <v>6</v>
      </c>
    </row>
    <row r="63" spans="2:15" x14ac:dyDescent="0.45">
      <c r="B63" t="s">
        <v>453</v>
      </c>
      <c r="C63" t="s">
        <v>12</v>
      </c>
      <c r="D63">
        <v>0.29282565212767553</v>
      </c>
      <c r="E63" t="s">
        <v>6</v>
      </c>
      <c r="G63" t="s">
        <v>454</v>
      </c>
      <c r="H63" t="s">
        <v>12</v>
      </c>
      <c r="I63">
        <v>8.804730454229566E-2</v>
      </c>
      <c r="J63" t="s">
        <v>6</v>
      </c>
      <c r="L63" t="s">
        <v>455</v>
      </c>
      <c r="M63" t="s">
        <v>12</v>
      </c>
      <c r="N63">
        <v>9.5564601611518543E-2</v>
      </c>
      <c r="O63" t="s">
        <v>6</v>
      </c>
    </row>
    <row r="64" spans="2:15" x14ac:dyDescent="0.45">
      <c r="B64" t="s">
        <v>453</v>
      </c>
      <c r="C64" t="s">
        <v>13</v>
      </c>
      <c r="D64">
        <v>7.2456469217385055E-3</v>
      </c>
      <c r="E64" t="s">
        <v>6</v>
      </c>
      <c r="G64" t="s">
        <v>454</v>
      </c>
      <c r="H64" t="s">
        <v>13</v>
      </c>
      <c r="I64">
        <v>5.9704829211621284E-2</v>
      </c>
      <c r="J64" t="s">
        <v>6</v>
      </c>
      <c r="L64" t="s">
        <v>455</v>
      </c>
      <c r="M64" t="s">
        <v>13</v>
      </c>
      <c r="N64">
        <v>6.1572013666465655E-2</v>
      </c>
      <c r="O64" t="s">
        <v>6</v>
      </c>
    </row>
    <row r="65" spans="2:15" x14ac:dyDescent="0.45">
      <c r="B65" t="s">
        <v>453</v>
      </c>
      <c r="C65" t="s">
        <v>14</v>
      </c>
      <c r="D65">
        <v>1.0375940630269356E-2</v>
      </c>
      <c r="E65" t="s">
        <v>6</v>
      </c>
      <c r="G65" t="s">
        <v>454</v>
      </c>
      <c r="H65" t="s">
        <v>14</v>
      </c>
      <c r="I65">
        <v>4.6298685216914243E-2</v>
      </c>
      <c r="J65" t="s">
        <v>6</v>
      </c>
      <c r="L65" t="s">
        <v>455</v>
      </c>
      <c r="M65" t="s">
        <v>14</v>
      </c>
      <c r="N65">
        <v>6.1570310933973013E-2</v>
      </c>
      <c r="O65" t="s">
        <v>6</v>
      </c>
    </row>
    <row r="66" spans="2:15" x14ac:dyDescent="0.45">
      <c r="B66" t="s">
        <v>453</v>
      </c>
      <c r="C66" t="s">
        <v>15</v>
      </c>
      <c r="D66">
        <v>0.36717437837810474</v>
      </c>
      <c r="E66" t="s">
        <v>6</v>
      </c>
      <c r="G66" t="s">
        <v>454</v>
      </c>
      <c r="H66" t="s">
        <v>15</v>
      </c>
      <c r="I66">
        <v>5.0339396754963427E-2</v>
      </c>
      <c r="J66" t="s">
        <v>6</v>
      </c>
      <c r="L66" t="s">
        <v>455</v>
      </c>
      <c r="M66" t="s">
        <v>15</v>
      </c>
      <c r="N66">
        <v>7.6189982326949124E-2</v>
      </c>
      <c r="O66" t="s">
        <v>6</v>
      </c>
    </row>
    <row r="67" spans="2:15" x14ac:dyDescent="0.45">
      <c r="B67" t="s">
        <v>453</v>
      </c>
      <c r="C67" t="s">
        <v>16</v>
      </c>
      <c r="D67">
        <v>1.4858781241089847E-2</v>
      </c>
      <c r="E67" t="s">
        <v>6</v>
      </c>
      <c r="G67" t="s">
        <v>454</v>
      </c>
      <c r="H67" t="s">
        <v>16</v>
      </c>
      <c r="I67">
        <v>4.1517343209761873E-2</v>
      </c>
      <c r="J67" t="s">
        <v>6</v>
      </c>
      <c r="L67" t="s">
        <v>455</v>
      </c>
      <c r="M67" t="s">
        <v>16</v>
      </c>
      <c r="N67">
        <v>4.7546438229068684E-2</v>
      </c>
      <c r="O67" t="s">
        <v>6</v>
      </c>
    </row>
    <row r="68" spans="2:15" x14ac:dyDescent="0.45">
      <c r="B68" t="s">
        <v>453</v>
      </c>
      <c r="C68" t="s">
        <v>17</v>
      </c>
      <c r="D68">
        <v>8.2680534877539106E-4</v>
      </c>
      <c r="E68" t="s">
        <v>6</v>
      </c>
      <c r="G68" t="s">
        <v>454</v>
      </c>
      <c r="H68" t="s">
        <v>17</v>
      </c>
      <c r="I68">
        <v>0.10917666404674768</v>
      </c>
      <c r="J68" t="s">
        <v>6</v>
      </c>
      <c r="L68" t="s">
        <v>455</v>
      </c>
      <c r="M68" t="s">
        <v>17</v>
      </c>
      <c r="N68">
        <v>9.1920108704359585E-2</v>
      </c>
      <c r="O68" t="s">
        <v>6</v>
      </c>
    </row>
    <row r="69" spans="2:15" x14ac:dyDescent="0.45">
      <c r="B69" t="s">
        <v>453</v>
      </c>
      <c r="C69" t="s">
        <v>18</v>
      </c>
      <c r="D69">
        <v>0.18772280115335355</v>
      </c>
      <c r="E69" t="s">
        <v>6</v>
      </c>
      <c r="G69" t="s">
        <v>454</v>
      </c>
      <c r="H69" t="s">
        <v>18</v>
      </c>
      <c r="I69">
        <v>0.1181916286004074</v>
      </c>
      <c r="J69" t="s">
        <v>6</v>
      </c>
      <c r="L69" t="s">
        <v>455</v>
      </c>
      <c r="M69" t="s">
        <v>18</v>
      </c>
      <c r="N69">
        <v>0.11099038460744769</v>
      </c>
      <c r="O69" t="s">
        <v>6</v>
      </c>
    </row>
    <row r="70" spans="2:15" x14ac:dyDescent="0.45">
      <c r="B70" t="s">
        <v>453</v>
      </c>
      <c r="C70" t="s">
        <v>19</v>
      </c>
      <c r="D70">
        <v>1.0342593929538577E-3</v>
      </c>
      <c r="E70" t="s">
        <v>6</v>
      </c>
      <c r="G70" t="s">
        <v>454</v>
      </c>
      <c r="H70" t="s">
        <v>19</v>
      </c>
      <c r="I70">
        <v>7.8298811523097742E-2</v>
      </c>
      <c r="J70" t="s">
        <v>6</v>
      </c>
      <c r="L70" t="s">
        <v>455</v>
      </c>
      <c r="M70" t="s">
        <v>19</v>
      </c>
      <c r="N70">
        <v>6.7425523292549458E-2</v>
      </c>
      <c r="O70" t="s">
        <v>6</v>
      </c>
    </row>
    <row r="71" spans="2:15" x14ac:dyDescent="0.45">
      <c r="B71" t="s">
        <v>456</v>
      </c>
      <c r="C71" t="s">
        <v>5</v>
      </c>
      <c r="D71">
        <v>0</v>
      </c>
      <c r="E71" t="s">
        <v>6</v>
      </c>
      <c r="G71" t="s">
        <v>457</v>
      </c>
      <c r="H71" t="s">
        <v>5</v>
      </c>
      <c r="I71">
        <v>0.10179278147386375</v>
      </c>
      <c r="J71" t="s">
        <v>6</v>
      </c>
      <c r="L71" t="s">
        <v>458</v>
      </c>
      <c r="M71" t="s">
        <v>5</v>
      </c>
      <c r="N71">
        <v>9.5136314649314796E-2</v>
      </c>
      <c r="O71" t="s">
        <v>6</v>
      </c>
    </row>
    <row r="72" spans="2:15" x14ac:dyDescent="0.45">
      <c r="B72" t="s">
        <v>456</v>
      </c>
      <c r="C72" t="s">
        <v>9</v>
      </c>
      <c r="D72">
        <v>8.9508597817951438E-2</v>
      </c>
      <c r="E72" t="s">
        <v>6</v>
      </c>
      <c r="G72" t="s">
        <v>457</v>
      </c>
      <c r="H72" t="s">
        <v>9</v>
      </c>
      <c r="I72">
        <v>0.11997255262942712</v>
      </c>
      <c r="J72" t="s">
        <v>6</v>
      </c>
      <c r="L72" t="s">
        <v>458</v>
      </c>
      <c r="M72" t="s">
        <v>9</v>
      </c>
      <c r="N72">
        <v>0.12422546327802476</v>
      </c>
      <c r="O72" t="s">
        <v>6</v>
      </c>
    </row>
    <row r="73" spans="2:15" x14ac:dyDescent="0.45">
      <c r="B73" t="s">
        <v>456</v>
      </c>
      <c r="C73" t="s">
        <v>10</v>
      </c>
      <c r="D73">
        <v>5.6019481695531754E-6</v>
      </c>
      <c r="E73" t="s">
        <v>6</v>
      </c>
      <c r="G73" t="s">
        <v>457</v>
      </c>
      <c r="H73" t="s">
        <v>10</v>
      </c>
      <c r="I73">
        <v>8.7838412055823947E-2</v>
      </c>
      <c r="J73" t="s">
        <v>6</v>
      </c>
      <c r="L73" t="s">
        <v>458</v>
      </c>
      <c r="M73" t="s">
        <v>10</v>
      </c>
      <c r="N73">
        <v>7.6793826929078129E-2</v>
      </c>
      <c r="O73" t="s">
        <v>6</v>
      </c>
    </row>
    <row r="74" spans="2:15" x14ac:dyDescent="0.45">
      <c r="B74" t="s">
        <v>456</v>
      </c>
      <c r="C74" t="s">
        <v>11</v>
      </c>
      <c r="D74">
        <v>7.1343146525700346E-3</v>
      </c>
      <c r="E74" t="s">
        <v>6</v>
      </c>
      <c r="G74" t="s">
        <v>457</v>
      </c>
      <c r="H74" t="s">
        <v>11</v>
      </c>
      <c r="I74">
        <v>7.7581314764488027E-2</v>
      </c>
      <c r="J74" t="s">
        <v>6</v>
      </c>
      <c r="L74" t="s">
        <v>458</v>
      </c>
      <c r="M74" t="s">
        <v>11</v>
      </c>
      <c r="N74">
        <v>8.6116558180402189E-2</v>
      </c>
      <c r="O74" t="s">
        <v>6</v>
      </c>
    </row>
    <row r="75" spans="2:15" x14ac:dyDescent="0.45">
      <c r="B75" t="s">
        <v>456</v>
      </c>
      <c r="C75" t="s">
        <v>12</v>
      </c>
      <c r="D75">
        <v>0.3330598024989771</v>
      </c>
      <c r="E75" t="s">
        <v>6</v>
      </c>
      <c r="G75" t="s">
        <v>457</v>
      </c>
      <c r="H75" t="s">
        <v>12</v>
      </c>
      <c r="I75">
        <v>9.6076742621891378E-2</v>
      </c>
      <c r="J75" t="s">
        <v>6</v>
      </c>
      <c r="L75" t="s">
        <v>458</v>
      </c>
      <c r="M75" t="s">
        <v>12</v>
      </c>
      <c r="N75">
        <v>0.10341635434468126</v>
      </c>
      <c r="O75" t="s">
        <v>6</v>
      </c>
    </row>
    <row r="76" spans="2:15" x14ac:dyDescent="0.45">
      <c r="B76" t="s">
        <v>456</v>
      </c>
      <c r="C76" t="s">
        <v>13</v>
      </c>
      <c r="D76">
        <v>7.3437116159877878E-3</v>
      </c>
      <c r="E76" t="s">
        <v>6</v>
      </c>
      <c r="G76" t="s">
        <v>457</v>
      </c>
      <c r="H76" t="s">
        <v>13</v>
      </c>
      <c r="I76">
        <v>6.503137174682945E-2</v>
      </c>
      <c r="J76" t="s">
        <v>6</v>
      </c>
      <c r="L76" t="s">
        <v>458</v>
      </c>
      <c r="M76" t="s">
        <v>13</v>
      </c>
      <c r="N76">
        <v>6.9425059543412895E-2</v>
      </c>
      <c r="O76" t="s">
        <v>6</v>
      </c>
    </row>
    <row r="77" spans="2:15" x14ac:dyDescent="0.45">
      <c r="B77" t="s">
        <v>456</v>
      </c>
      <c r="C77" t="s">
        <v>14</v>
      </c>
      <c r="D77">
        <v>1.1858953903627161E-2</v>
      </c>
      <c r="E77" t="s">
        <v>6</v>
      </c>
      <c r="G77" t="s">
        <v>457</v>
      </c>
      <c r="H77" t="s">
        <v>14</v>
      </c>
      <c r="I77">
        <v>5.2177493492170199E-2</v>
      </c>
      <c r="J77" t="s">
        <v>6</v>
      </c>
      <c r="L77" t="s">
        <v>458</v>
      </c>
      <c r="M77" t="s">
        <v>14</v>
      </c>
      <c r="N77">
        <v>6.0453023072789366E-2</v>
      </c>
      <c r="O77" t="s">
        <v>6</v>
      </c>
    </row>
    <row r="78" spans="2:15" x14ac:dyDescent="0.45">
      <c r="B78" t="s">
        <v>456</v>
      </c>
      <c r="C78" t="s">
        <v>15</v>
      </c>
      <c r="D78">
        <v>0.36373095186071586</v>
      </c>
      <c r="E78" t="s">
        <v>6</v>
      </c>
      <c r="G78" t="s">
        <v>457</v>
      </c>
      <c r="H78" t="s">
        <v>15</v>
      </c>
      <c r="I78">
        <v>6.2287060444315596E-2</v>
      </c>
      <c r="J78" t="s">
        <v>6</v>
      </c>
      <c r="L78" t="s">
        <v>458</v>
      </c>
      <c r="M78" t="s">
        <v>15</v>
      </c>
      <c r="N78">
        <v>7.0015230445191104E-2</v>
      </c>
      <c r="O78" t="s">
        <v>6</v>
      </c>
    </row>
    <row r="79" spans="2:15" x14ac:dyDescent="0.45">
      <c r="B79" t="s">
        <v>456</v>
      </c>
      <c r="C79" t="s">
        <v>16</v>
      </c>
      <c r="D79">
        <v>1.4385879425166292E-2</v>
      </c>
      <c r="E79" t="s">
        <v>6</v>
      </c>
      <c r="G79" t="s">
        <v>457</v>
      </c>
      <c r="H79" t="s">
        <v>16</v>
      </c>
      <c r="I79">
        <v>4.33401491086138E-2</v>
      </c>
      <c r="J79" t="s">
        <v>6</v>
      </c>
      <c r="L79" t="s">
        <v>458</v>
      </c>
      <c r="M79" t="s">
        <v>16</v>
      </c>
      <c r="N79">
        <v>5.0108592086029968E-2</v>
      </c>
      <c r="O79" t="s">
        <v>6</v>
      </c>
    </row>
    <row r="80" spans="2:15" x14ac:dyDescent="0.45">
      <c r="B80" t="s">
        <v>456</v>
      </c>
      <c r="C80" t="s">
        <v>17</v>
      </c>
      <c r="D80">
        <v>1.0214994547012317E-3</v>
      </c>
      <c r="E80" t="s">
        <v>6</v>
      </c>
      <c r="G80" t="s">
        <v>457</v>
      </c>
      <c r="H80" t="s">
        <v>17</v>
      </c>
      <c r="I80">
        <v>9.4136234287707829E-2</v>
      </c>
      <c r="J80" t="s">
        <v>6</v>
      </c>
      <c r="L80" t="s">
        <v>458</v>
      </c>
      <c r="M80" t="s">
        <v>17</v>
      </c>
      <c r="N80">
        <v>8.5932660711576472E-2</v>
      </c>
      <c r="O80" t="s">
        <v>6</v>
      </c>
    </row>
    <row r="81" spans="2:15" x14ac:dyDescent="0.45">
      <c r="B81" t="s">
        <v>456</v>
      </c>
      <c r="C81" t="s">
        <v>18</v>
      </c>
      <c r="D81">
        <v>0.17120183025229199</v>
      </c>
      <c r="E81" t="s">
        <v>6</v>
      </c>
      <c r="G81" t="s">
        <v>457</v>
      </c>
      <c r="H81" t="s">
        <v>18</v>
      </c>
      <c r="I81">
        <v>0.12231722230485458</v>
      </c>
      <c r="J81" t="s">
        <v>6</v>
      </c>
      <c r="L81" t="s">
        <v>458</v>
      </c>
      <c r="M81" t="s">
        <v>18</v>
      </c>
      <c r="N81">
        <v>0.10866774473880175</v>
      </c>
      <c r="O81" t="s">
        <v>6</v>
      </c>
    </row>
    <row r="82" spans="2:15" x14ac:dyDescent="0.45">
      <c r="B82" t="s">
        <v>456</v>
      </c>
      <c r="C82" t="s">
        <v>19</v>
      </c>
      <c r="D82">
        <v>7.4885656984149897E-4</v>
      </c>
      <c r="E82" t="s">
        <v>6</v>
      </c>
      <c r="G82" t="s">
        <v>457</v>
      </c>
      <c r="H82" t="s">
        <v>19</v>
      </c>
      <c r="I82">
        <v>7.7448665070015563E-2</v>
      </c>
      <c r="J82" t="s">
        <v>6</v>
      </c>
      <c r="L82" t="s">
        <v>458</v>
      </c>
      <c r="M82" t="s">
        <v>19</v>
      </c>
      <c r="N82">
        <v>6.970917202069804E-2</v>
      </c>
      <c r="O82" t="s">
        <v>6</v>
      </c>
    </row>
    <row r="83" spans="2:15" x14ac:dyDescent="0.45">
      <c r="B83" t="s">
        <v>459</v>
      </c>
      <c r="C83" t="s">
        <v>5</v>
      </c>
      <c r="D83">
        <v>0</v>
      </c>
      <c r="E83" t="s">
        <v>6</v>
      </c>
      <c r="G83" t="s">
        <v>460</v>
      </c>
      <c r="H83" t="s">
        <v>5</v>
      </c>
      <c r="I83">
        <v>0.11293019415534236</v>
      </c>
      <c r="J83" t="s">
        <v>6</v>
      </c>
      <c r="L83" t="s">
        <v>461</v>
      </c>
      <c r="M83" t="s">
        <v>5</v>
      </c>
      <c r="N83">
        <v>0.10461840699675862</v>
      </c>
      <c r="O83" t="s">
        <v>6</v>
      </c>
    </row>
    <row r="84" spans="2:15" x14ac:dyDescent="0.45">
      <c r="B84" t="s">
        <v>459</v>
      </c>
      <c r="C84" t="s">
        <v>9</v>
      </c>
      <c r="D84">
        <v>8.9787730976576746E-2</v>
      </c>
      <c r="E84" t="s">
        <v>6</v>
      </c>
      <c r="G84" t="s">
        <v>460</v>
      </c>
      <c r="H84" t="s">
        <v>9</v>
      </c>
      <c r="I84">
        <v>0.11892201922625736</v>
      </c>
      <c r="J84" t="s">
        <v>6</v>
      </c>
      <c r="L84" t="s">
        <v>461</v>
      </c>
      <c r="M84" t="s">
        <v>9</v>
      </c>
      <c r="N84">
        <v>0.13240854811400626</v>
      </c>
      <c r="O84" t="s">
        <v>6</v>
      </c>
    </row>
    <row r="85" spans="2:15" x14ac:dyDescent="0.45">
      <c r="B85" t="s">
        <v>459</v>
      </c>
      <c r="C85" t="s">
        <v>10</v>
      </c>
      <c r="D85">
        <v>3.5869709367073171E-5</v>
      </c>
      <c r="E85" t="s">
        <v>6</v>
      </c>
      <c r="G85" t="s">
        <v>460</v>
      </c>
      <c r="H85" t="s">
        <v>10</v>
      </c>
      <c r="I85">
        <v>8.8336999748064277E-2</v>
      </c>
      <c r="J85" t="s">
        <v>6</v>
      </c>
      <c r="L85" t="s">
        <v>461</v>
      </c>
      <c r="M85" t="s">
        <v>10</v>
      </c>
      <c r="N85">
        <v>8.1391606580217477E-2</v>
      </c>
      <c r="O85" t="s">
        <v>6</v>
      </c>
    </row>
    <row r="86" spans="2:15" x14ac:dyDescent="0.45">
      <c r="B86" t="s">
        <v>459</v>
      </c>
      <c r="C86" t="s">
        <v>11</v>
      </c>
      <c r="D86">
        <v>5.8264827214392582E-3</v>
      </c>
      <c r="E86" t="s">
        <v>6</v>
      </c>
      <c r="G86" t="s">
        <v>460</v>
      </c>
      <c r="H86" t="s">
        <v>11</v>
      </c>
      <c r="I86">
        <v>8.8551707022662393E-2</v>
      </c>
      <c r="J86" t="s">
        <v>6</v>
      </c>
      <c r="L86" t="s">
        <v>461</v>
      </c>
      <c r="M86" t="s">
        <v>11</v>
      </c>
      <c r="N86">
        <v>8.1233217517554662E-2</v>
      </c>
      <c r="O86" t="s">
        <v>6</v>
      </c>
    </row>
    <row r="87" spans="2:15" x14ac:dyDescent="0.45">
      <c r="B87" t="s">
        <v>459</v>
      </c>
      <c r="C87" t="s">
        <v>12</v>
      </c>
      <c r="D87">
        <v>0.32673182402604134</v>
      </c>
      <c r="E87" t="s">
        <v>6</v>
      </c>
      <c r="G87" t="s">
        <v>460</v>
      </c>
      <c r="H87" t="s">
        <v>12</v>
      </c>
      <c r="I87">
        <v>8.9686559382679817E-2</v>
      </c>
      <c r="J87" t="s">
        <v>6</v>
      </c>
      <c r="L87" t="s">
        <v>461</v>
      </c>
      <c r="M87" t="s">
        <v>12</v>
      </c>
      <c r="N87">
        <v>8.4494886862911969E-2</v>
      </c>
      <c r="O87" t="s">
        <v>6</v>
      </c>
    </row>
    <row r="88" spans="2:15" x14ac:dyDescent="0.45">
      <c r="B88" t="s">
        <v>459</v>
      </c>
      <c r="C88" t="s">
        <v>13</v>
      </c>
      <c r="D88">
        <v>8.9616674197052337E-3</v>
      </c>
      <c r="E88" t="s">
        <v>6</v>
      </c>
      <c r="G88" t="s">
        <v>460</v>
      </c>
      <c r="H88" t="s">
        <v>13</v>
      </c>
      <c r="I88">
        <v>6.5430766758670489E-2</v>
      </c>
      <c r="J88" t="s">
        <v>6</v>
      </c>
      <c r="L88" t="s">
        <v>461</v>
      </c>
      <c r="M88" t="s">
        <v>13</v>
      </c>
      <c r="N88">
        <v>6.419665073997681E-2</v>
      </c>
      <c r="O88" t="s">
        <v>6</v>
      </c>
    </row>
    <row r="89" spans="2:15" x14ac:dyDescent="0.45">
      <c r="B89" t="s">
        <v>459</v>
      </c>
      <c r="C89" t="s">
        <v>14</v>
      </c>
      <c r="D89">
        <v>1.0720131356950598E-2</v>
      </c>
      <c r="E89" t="s">
        <v>6</v>
      </c>
      <c r="G89" t="s">
        <v>460</v>
      </c>
      <c r="H89" t="s">
        <v>14</v>
      </c>
      <c r="I89">
        <v>5.7038142169416425E-2</v>
      </c>
      <c r="J89" t="s">
        <v>6</v>
      </c>
      <c r="L89" t="s">
        <v>461</v>
      </c>
      <c r="M89" t="s">
        <v>14</v>
      </c>
      <c r="N89">
        <v>5.7024497570384525E-2</v>
      </c>
      <c r="O89" t="s">
        <v>6</v>
      </c>
    </row>
    <row r="90" spans="2:15" x14ac:dyDescent="0.45">
      <c r="B90" t="s">
        <v>459</v>
      </c>
      <c r="C90" t="s">
        <v>15</v>
      </c>
      <c r="D90">
        <v>0.36471773312766498</v>
      </c>
      <c r="E90" t="s">
        <v>6</v>
      </c>
      <c r="G90" t="s">
        <v>460</v>
      </c>
      <c r="H90" t="s">
        <v>15</v>
      </c>
      <c r="I90">
        <v>5.5839128864486734E-2</v>
      </c>
      <c r="J90" t="s">
        <v>6</v>
      </c>
      <c r="L90" t="s">
        <v>461</v>
      </c>
      <c r="M90" t="s">
        <v>15</v>
      </c>
      <c r="N90">
        <v>6.7987642715876428E-2</v>
      </c>
      <c r="O90" t="s">
        <v>6</v>
      </c>
    </row>
    <row r="91" spans="2:15" x14ac:dyDescent="0.45">
      <c r="B91" t="s">
        <v>459</v>
      </c>
      <c r="C91" t="s">
        <v>16</v>
      </c>
      <c r="D91">
        <v>1.6615393927042442E-2</v>
      </c>
      <c r="E91" t="s">
        <v>6</v>
      </c>
      <c r="G91" t="s">
        <v>460</v>
      </c>
      <c r="H91" t="s">
        <v>16</v>
      </c>
      <c r="I91">
        <v>4.5264488860536495E-2</v>
      </c>
      <c r="J91" t="s">
        <v>6</v>
      </c>
      <c r="L91" t="s">
        <v>461</v>
      </c>
      <c r="M91" t="s">
        <v>16</v>
      </c>
      <c r="N91">
        <v>4.1496473082230506E-2</v>
      </c>
      <c r="O91" t="s">
        <v>6</v>
      </c>
    </row>
    <row r="92" spans="2:15" x14ac:dyDescent="0.45">
      <c r="B92" t="s">
        <v>459</v>
      </c>
      <c r="C92" t="s">
        <v>17</v>
      </c>
      <c r="D92">
        <v>6.60470567722818E-4</v>
      </c>
      <c r="E92" t="s">
        <v>6</v>
      </c>
      <c r="G92" t="s">
        <v>460</v>
      </c>
      <c r="H92" t="s">
        <v>17</v>
      </c>
      <c r="I92">
        <v>9.8489154579945795E-2</v>
      </c>
      <c r="J92" t="s">
        <v>6</v>
      </c>
      <c r="L92" t="s">
        <v>461</v>
      </c>
      <c r="M92" t="s">
        <v>17</v>
      </c>
      <c r="N92">
        <v>9.2741632885113542E-2</v>
      </c>
      <c r="O92" t="s">
        <v>6</v>
      </c>
    </row>
    <row r="93" spans="2:15" x14ac:dyDescent="0.45">
      <c r="B93" t="s">
        <v>459</v>
      </c>
      <c r="C93" t="s">
        <v>18</v>
      </c>
      <c r="D93">
        <v>0.17480741130295752</v>
      </c>
      <c r="E93" t="s">
        <v>6</v>
      </c>
      <c r="G93" t="s">
        <v>460</v>
      </c>
      <c r="H93" t="s">
        <v>18</v>
      </c>
      <c r="I93">
        <v>0.10180141347734267</v>
      </c>
      <c r="J93" t="s">
        <v>6</v>
      </c>
      <c r="L93" t="s">
        <v>461</v>
      </c>
      <c r="M93" t="s">
        <v>18</v>
      </c>
      <c r="N93">
        <v>0.11561193716593517</v>
      </c>
      <c r="O93" t="s">
        <v>6</v>
      </c>
    </row>
    <row r="94" spans="2:15" x14ac:dyDescent="0.45">
      <c r="B94" t="s">
        <v>459</v>
      </c>
      <c r="C94" t="s">
        <v>19</v>
      </c>
      <c r="D94">
        <v>1.1352848645301776E-3</v>
      </c>
      <c r="E94" t="s">
        <v>6</v>
      </c>
      <c r="G94" t="s">
        <v>460</v>
      </c>
      <c r="H94" t="s">
        <v>19</v>
      </c>
      <c r="I94">
        <v>7.7709425754593386E-2</v>
      </c>
      <c r="J94" t="s">
        <v>6</v>
      </c>
      <c r="L94" t="s">
        <v>461</v>
      </c>
      <c r="M94" t="s">
        <v>19</v>
      </c>
      <c r="N94">
        <v>7.6794499769034047E-2</v>
      </c>
      <c r="O94" t="s">
        <v>6</v>
      </c>
    </row>
    <row r="95" spans="2:15" x14ac:dyDescent="0.45">
      <c r="B95" t="s">
        <v>462</v>
      </c>
      <c r="C95" t="s">
        <v>5</v>
      </c>
      <c r="D95">
        <v>0</v>
      </c>
      <c r="E95" t="s">
        <v>6</v>
      </c>
      <c r="G95" t="s">
        <v>463</v>
      </c>
      <c r="H95" t="s">
        <v>5</v>
      </c>
      <c r="I95">
        <v>0.11032678123387422</v>
      </c>
      <c r="J95" t="s">
        <v>6</v>
      </c>
      <c r="L95" t="s">
        <v>464</v>
      </c>
      <c r="M95" t="s">
        <v>5</v>
      </c>
      <c r="N95">
        <v>0.10920834236876055</v>
      </c>
      <c r="O95" t="s">
        <v>6</v>
      </c>
    </row>
    <row r="96" spans="2:15" x14ac:dyDescent="0.45">
      <c r="B96" t="s">
        <v>462</v>
      </c>
      <c r="C96" t="s">
        <v>9</v>
      </c>
      <c r="D96">
        <v>8.6938850614911328E-2</v>
      </c>
      <c r="E96" t="s">
        <v>6</v>
      </c>
      <c r="G96" t="s">
        <v>463</v>
      </c>
      <c r="H96" t="s">
        <v>9</v>
      </c>
      <c r="I96">
        <v>0.12278772797380035</v>
      </c>
      <c r="J96" t="s">
        <v>6</v>
      </c>
      <c r="L96" t="s">
        <v>464</v>
      </c>
      <c r="M96" t="s">
        <v>9</v>
      </c>
      <c r="N96">
        <v>0.13366983304561231</v>
      </c>
      <c r="O96" t="s">
        <v>6</v>
      </c>
    </row>
    <row r="97" spans="2:15" x14ac:dyDescent="0.45">
      <c r="B97" t="s">
        <v>462</v>
      </c>
      <c r="C97" t="s">
        <v>10</v>
      </c>
      <c r="D97">
        <v>2.6412787293011007E-5</v>
      </c>
      <c r="E97" t="s">
        <v>6</v>
      </c>
      <c r="G97" t="s">
        <v>463</v>
      </c>
      <c r="H97" t="s">
        <v>10</v>
      </c>
      <c r="I97">
        <v>8.3220803548840885E-2</v>
      </c>
      <c r="J97" t="s">
        <v>6</v>
      </c>
      <c r="L97" t="s">
        <v>464</v>
      </c>
      <c r="M97" t="s">
        <v>10</v>
      </c>
      <c r="N97">
        <v>8.2821238353704224E-2</v>
      </c>
      <c r="O97" t="s">
        <v>6</v>
      </c>
    </row>
    <row r="98" spans="2:15" x14ac:dyDescent="0.45">
      <c r="B98" t="s">
        <v>462</v>
      </c>
      <c r="C98" t="s">
        <v>11</v>
      </c>
      <c r="D98">
        <v>5.7999427846539059E-3</v>
      </c>
      <c r="E98" t="s">
        <v>6</v>
      </c>
      <c r="G98" t="s">
        <v>463</v>
      </c>
      <c r="H98" t="s">
        <v>11</v>
      </c>
      <c r="I98">
        <v>8.5946315345845306E-2</v>
      </c>
      <c r="J98" t="s">
        <v>6</v>
      </c>
      <c r="L98" t="s">
        <v>464</v>
      </c>
      <c r="M98" t="s">
        <v>11</v>
      </c>
      <c r="N98">
        <v>8.0155113871517691E-2</v>
      </c>
      <c r="O98" t="s">
        <v>6</v>
      </c>
    </row>
    <row r="99" spans="2:15" x14ac:dyDescent="0.45">
      <c r="B99" t="s">
        <v>462</v>
      </c>
      <c r="C99" t="s">
        <v>12</v>
      </c>
      <c r="D99">
        <v>0.33278342962957724</v>
      </c>
      <c r="E99" t="s">
        <v>6</v>
      </c>
      <c r="G99" t="s">
        <v>463</v>
      </c>
      <c r="H99" t="s">
        <v>12</v>
      </c>
      <c r="I99">
        <v>9.5597025960744986E-2</v>
      </c>
      <c r="J99" t="s">
        <v>6</v>
      </c>
      <c r="L99" t="s">
        <v>464</v>
      </c>
      <c r="M99" t="s">
        <v>12</v>
      </c>
      <c r="N99">
        <v>9.5345001574220919E-2</v>
      </c>
      <c r="O99" t="s">
        <v>6</v>
      </c>
    </row>
    <row r="100" spans="2:15" x14ac:dyDescent="0.45">
      <c r="B100" t="s">
        <v>462</v>
      </c>
      <c r="C100" t="s">
        <v>13</v>
      </c>
      <c r="D100">
        <v>9.0632613678354405E-3</v>
      </c>
      <c r="E100" t="s">
        <v>6</v>
      </c>
      <c r="G100" t="s">
        <v>463</v>
      </c>
      <c r="H100" t="s">
        <v>13</v>
      </c>
      <c r="I100">
        <v>6.2976037172954052E-2</v>
      </c>
      <c r="J100" t="s">
        <v>6</v>
      </c>
      <c r="L100" t="s">
        <v>464</v>
      </c>
      <c r="M100" t="s">
        <v>13</v>
      </c>
      <c r="N100">
        <v>5.9240234528808472E-2</v>
      </c>
      <c r="O100" t="s">
        <v>6</v>
      </c>
    </row>
    <row r="101" spans="2:15" x14ac:dyDescent="0.45">
      <c r="B101" t="s">
        <v>462</v>
      </c>
      <c r="C101" t="s">
        <v>14</v>
      </c>
      <c r="D101">
        <v>1.0491159569091191E-2</v>
      </c>
      <c r="E101" t="s">
        <v>6</v>
      </c>
      <c r="G101" t="s">
        <v>463</v>
      </c>
      <c r="H101" t="s">
        <v>14</v>
      </c>
      <c r="I101">
        <v>5.7586067603569054E-2</v>
      </c>
      <c r="J101" t="s">
        <v>6</v>
      </c>
      <c r="L101" t="s">
        <v>464</v>
      </c>
      <c r="M101" t="s">
        <v>14</v>
      </c>
      <c r="N101">
        <v>5.5859728150203326E-2</v>
      </c>
      <c r="O101" t="s">
        <v>6</v>
      </c>
    </row>
    <row r="102" spans="2:15" x14ac:dyDescent="0.45">
      <c r="B102" t="s">
        <v>462</v>
      </c>
      <c r="C102" t="s">
        <v>15</v>
      </c>
      <c r="D102">
        <v>0.35973329899242124</v>
      </c>
      <c r="E102" t="s">
        <v>6</v>
      </c>
      <c r="G102" t="s">
        <v>463</v>
      </c>
      <c r="H102" t="s">
        <v>15</v>
      </c>
      <c r="I102">
        <v>5.3523711718425557E-2</v>
      </c>
      <c r="J102" t="s">
        <v>6</v>
      </c>
      <c r="L102" t="s">
        <v>464</v>
      </c>
      <c r="M102" t="s">
        <v>15</v>
      </c>
      <c r="N102">
        <v>6.9447660874824652E-2</v>
      </c>
      <c r="O102" t="s">
        <v>6</v>
      </c>
    </row>
    <row r="103" spans="2:15" x14ac:dyDescent="0.45">
      <c r="B103" t="s">
        <v>462</v>
      </c>
      <c r="C103" t="s">
        <v>16</v>
      </c>
      <c r="D103">
        <v>1.6757606194026799E-2</v>
      </c>
      <c r="E103" t="s">
        <v>6</v>
      </c>
      <c r="G103" t="s">
        <v>463</v>
      </c>
      <c r="H103" t="s">
        <v>16</v>
      </c>
      <c r="I103">
        <v>4.2322735560410163E-2</v>
      </c>
      <c r="J103" t="s">
        <v>6</v>
      </c>
      <c r="L103" t="s">
        <v>464</v>
      </c>
      <c r="M103" t="s">
        <v>16</v>
      </c>
      <c r="N103">
        <v>4.277015297654909E-2</v>
      </c>
      <c r="O103" t="s">
        <v>6</v>
      </c>
    </row>
    <row r="104" spans="2:15" x14ac:dyDescent="0.45">
      <c r="B104" t="s">
        <v>462</v>
      </c>
      <c r="C104" t="s">
        <v>17</v>
      </c>
      <c r="D104">
        <v>7.2586089427588148E-4</v>
      </c>
      <c r="E104" t="s">
        <v>6</v>
      </c>
      <c r="G104" t="s">
        <v>463</v>
      </c>
      <c r="H104" t="s">
        <v>17</v>
      </c>
      <c r="I104">
        <v>0.1010298258100482</v>
      </c>
      <c r="J104" t="s">
        <v>6</v>
      </c>
      <c r="L104" t="s">
        <v>464</v>
      </c>
      <c r="M104" t="s">
        <v>17</v>
      </c>
      <c r="N104">
        <v>9.0107752949311212E-2</v>
      </c>
      <c r="O104" t="s">
        <v>6</v>
      </c>
    </row>
    <row r="105" spans="2:15" x14ac:dyDescent="0.45">
      <c r="B105" t="s">
        <v>462</v>
      </c>
      <c r="C105" t="s">
        <v>18</v>
      </c>
      <c r="D105">
        <v>0.17663833599136411</v>
      </c>
      <c r="E105" t="s">
        <v>6</v>
      </c>
      <c r="G105" t="s">
        <v>463</v>
      </c>
      <c r="H105" t="s">
        <v>18</v>
      </c>
      <c r="I105">
        <v>0.1083817818317111</v>
      </c>
      <c r="J105" t="s">
        <v>6</v>
      </c>
      <c r="L105" t="s">
        <v>464</v>
      </c>
      <c r="M105" t="s">
        <v>18</v>
      </c>
      <c r="N105">
        <v>0.11224209536876838</v>
      </c>
      <c r="O105" t="s">
        <v>6</v>
      </c>
    </row>
    <row r="106" spans="2:15" x14ac:dyDescent="0.45">
      <c r="B106" t="s">
        <v>462</v>
      </c>
      <c r="C106" t="s">
        <v>19</v>
      </c>
      <c r="D106">
        <v>1.0418411745482768E-3</v>
      </c>
      <c r="E106" t="s">
        <v>6</v>
      </c>
      <c r="G106" t="s">
        <v>463</v>
      </c>
      <c r="H106" t="s">
        <v>19</v>
      </c>
      <c r="I106">
        <v>7.6301186239774485E-2</v>
      </c>
      <c r="J106" t="s">
        <v>6</v>
      </c>
      <c r="L106" t="s">
        <v>464</v>
      </c>
      <c r="M106" t="s">
        <v>19</v>
      </c>
      <c r="N106">
        <v>6.9132845937717763E-2</v>
      </c>
      <c r="O106" t="s">
        <v>6</v>
      </c>
    </row>
    <row r="107" spans="2:15" x14ac:dyDescent="0.45">
      <c r="B107" t="s">
        <v>465</v>
      </c>
      <c r="C107" t="s">
        <v>5</v>
      </c>
      <c r="D107">
        <v>0</v>
      </c>
      <c r="E107" t="s">
        <v>6</v>
      </c>
      <c r="G107" t="s">
        <v>466</v>
      </c>
      <c r="H107" t="s">
        <v>5</v>
      </c>
      <c r="I107">
        <v>0.11276531556211003</v>
      </c>
      <c r="J107" t="s">
        <v>6</v>
      </c>
      <c r="L107" t="s">
        <v>467</v>
      </c>
      <c r="M107" t="s">
        <v>5</v>
      </c>
      <c r="N107">
        <v>0.1046905627882522</v>
      </c>
      <c r="O107" t="s">
        <v>6</v>
      </c>
    </row>
    <row r="108" spans="2:15" x14ac:dyDescent="0.45">
      <c r="B108" t="s">
        <v>465</v>
      </c>
      <c r="C108" t="s">
        <v>9</v>
      </c>
      <c r="D108">
        <v>9.0999472033788484E-2</v>
      </c>
      <c r="E108" t="s">
        <v>6</v>
      </c>
      <c r="G108" t="s">
        <v>466</v>
      </c>
      <c r="H108" t="s">
        <v>9</v>
      </c>
      <c r="I108">
        <v>0.12991778041251634</v>
      </c>
      <c r="J108" t="s">
        <v>6</v>
      </c>
      <c r="L108" t="s">
        <v>467</v>
      </c>
      <c r="M108" t="s">
        <v>9</v>
      </c>
      <c r="N108">
        <v>0.13020772590614446</v>
      </c>
      <c r="O108" t="s">
        <v>6</v>
      </c>
    </row>
    <row r="109" spans="2:15" x14ac:dyDescent="0.45">
      <c r="B109" t="s">
        <v>465</v>
      </c>
      <c r="C109" t="s">
        <v>10</v>
      </c>
      <c r="D109">
        <v>8.2913270124036336E-5</v>
      </c>
      <c r="E109" t="s">
        <v>6</v>
      </c>
      <c r="G109" t="s">
        <v>466</v>
      </c>
      <c r="H109" t="s">
        <v>10</v>
      </c>
      <c r="I109">
        <v>8.6550212754148745E-2</v>
      </c>
      <c r="J109" t="s">
        <v>6</v>
      </c>
      <c r="L109" t="s">
        <v>467</v>
      </c>
      <c r="M109" t="s">
        <v>10</v>
      </c>
      <c r="N109">
        <v>7.8405506378182208E-2</v>
      </c>
      <c r="O109" t="s">
        <v>6</v>
      </c>
    </row>
    <row r="110" spans="2:15" x14ac:dyDescent="0.45">
      <c r="B110" t="s">
        <v>465</v>
      </c>
      <c r="C110" t="s">
        <v>11</v>
      </c>
      <c r="D110">
        <v>4.454814550375363E-3</v>
      </c>
      <c r="E110" t="s">
        <v>6</v>
      </c>
      <c r="G110" t="s">
        <v>466</v>
      </c>
      <c r="H110" t="s">
        <v>11</v>
      </c>
      <c r="I110">
        <v>8.1521961254754235E-2</v>
      </c>
      <c r="J110" t="s">
        <v>6</v>
      </c>
      <c r="L110" t="s">
        <v>467</v>
      </c>
      <c r="M110" t="s">
        <v>11</v>
      </c>
      <c r="N110">
        <v>8.2659642457935764E-2</v>
      </c>
      <c r="O110" t="s">
        <v>6</v>
      </c>
    </row>
    <row r="111" spans="2:15" x14ac:dyDescent="0.45">
      <c r="B111" t="s">
        <v>465</v>
      </c>
      <c r="C111" t="s">
        <v>12</v>
      </c>
      <c r="D111">
        <v>0.31486971461283986</v>
      </c>
      <c r="E111" t="s">
        <v>6</v>
      </c>
      <c r="G111" t="s">
        <v>466</v>
      </c>
      <c r="H111" t="s">
        <v>12</v>
      </c>
      <c r="I111">
        <v>9.3315017821105628E-2</v>
      </c>
      <c r="J111" t="s">
        <v>6</v>
      </c>
      <c r="L111" t="s">
        <v>467</v>
      </c>
      <c r="M111" t="s">
        <v>12</v>
      </c>
      <c r="N111">
        <v>9.8015293193638192E-2</v>
      </c>
      <c r="O111" t="s">
        <v>6</v>
      </c>
    </row>
    <row r="112" spans="2:15" x14ac:dyDescent="0.45">
      <c r="B112" t="s">
        <v>465</v>
      </c>
      <c r="C112" t="s">
        <v>13</v>
      </c>
      <c r="D112">
        <v>1.0701492957649049E-2</v>
      </c>
      <c r="E112" t="s">
        <v>6</v>
      </c>
      <c r="G112" t="s">
        <v>466</v>
      </c>
      <c r="H112" t="s">
        <v>13</v>
      </c>
      <c r="I112">
        <v>6.47705208956149E-2</v>
      </c>
      <c r="J112" t="s">
        <v>6</v>
      </c>
      <c r="L112" t="s">
        <v>467</v>
      </c>
      <c r="M112" t="s">
        <v>13</v>
      </c>
      <c r="N112">
        <v>6.3470603211168541E-2</v>
      </c>
      <c r="O112" t="s">
        <v>6</v>
      </c>
    </row>
    <row r="113" spans="2:15" x14ac:dyDescent="0.45">
      <c r="B113" t="s">
        <v>465</v>
      </c>
      <c r="C113" t="s">
        <v>14</v>
      </c>
      <c r="D113">
        <v>8.9213272995824367E-3</v>
      </c>
      <c r="E113" t="s">
        <v>6</v>
      </c>
      <c r="G113" t="s">
        <v>466</v>
      </c>
      <c r="H113" t="s">
        <v>14</v>
      </c>
      <c r="I113">
        <v>5.1808721336341262E-2</v>
      </c>
      <c r="J113" t="s">
        <v>6</v>
      </c>
      <c r="L113" t="s">
        <v>467</v>
      </c>
      <c r="M113" t="s">
        <v>14</v>
      </c>
      <c r="N113">
        <v>5.9519306005100962E-2</v>
      </c>
      <c r="O113" t="s">
        <v>6</v>
      </c>
    </row>
    <row r="114" spans="2:15" x14ac:dyDescent="0.45">
      <c r="B114" t="s">
        <v>465</v>
      </c>
      <c r="C114" t="s">
        <v>15</v>
      </c>
      <c r="D114">
        <v>0.36721387143900469</v>
      </c>
      <c r="E114" t="s">
        <v>6</v>
      </c>
      <c r="G114" t="s">
        <v>466</v>
      </c>
      <c r="H114" t="s">
        <v>15</v>
      </c>
      <c r="I114">
        <v>4.8746621947652335E-2</v>
      </c>
      <c r="J114" t="s">
        <v>6</v>
      </c>
      <c r="L114" t="s">
        <v>467</v>
      </c>
      <c r="M114" t="s">
        <v>15</v>
      </c>
      <c r="N114">
        <v>6.6599763304487067E-2</v>
      </c>
      <c r="O114" t="s">
        <v>6</v>
      </c>
    </row>
    <row r="115" spans="2:15" x14ac:dyDescent="0.45">
      <c r="B115" t="s">
        <v>465</v>
      </c>
      <c r="C115" t="s">
        <v>16</v>
      </c>
      <c r="D115">
        <v>2.0000342912744558E-2</v>
      </c>
      <c r="E115" t="s">
        <v>6</v>
      </c>
      <c r="G115" t="s">
        <v>466</v>
      </c>
      <c r="H115" t="s">
        <v>16</v>
      </c>
      <c r="I115">
        <v>4.1050288809189733E-2</v>
      </c>
      <c r="J115" t="s">
        <v>6</v>
      </c>
      <c r="L115" t="s">
        <v>467</v>
      </c>
      <c r="M115" t="s">
        <v>16</v>
      </c>
      <c r="N115">
        <v>4.5835856574037874E-2</v>
      </c>
      <c r="O115" t="s">
        <v>6</v>
      </c>
    </row>
    <row r="116" spans="2:15" x14ac:dyDescent="0.45">
      <c r="B116" t="s">
        <v>465</v>
      </c>
      <c r="C116" t="s">
        <v>17</v>
      </c>
      <c r="D116">
        <v>3.2313605569920129E-4</v>
      </c>
      <c r="E116" t="s">
        <v>6</v>
      </c>
      <c r="G116" t="s">
        <v>466</v>
      </c>
      <c r="H116" t="s">
        <v>17</v>
      </c>
      <c r="I116">
        <v>0.1049262033327928</v>
      </c>
      <c r="J116" t="s">
        <v>6</v>
      </c>
      <c r="L116" t="s">
        <v>467</v>
      </c>
      <c r="M116" t="s">
        <v>17</v>
      </c>
      <c r="N116">
        <v>9.0259513809431632E-2</v>
      </c>
      <c r="O116" t="s">
        <v>6</v>
      </c>
    </row>
    <row r="117" spans="2:15" x14ac:dyDescent="0.45">
      <c r="B117" t="s">
        <v>465</v>
      </c>
      <c r="C117" t="s">
        <v>18</v>
      </c>
      <c r="D117">
        <v>0.18095804323678569</v>
      </c>
      <c r="E117" t="s">
        <v>6</v>
      </c>
      <c r="G117" t="s">
        <v>466</v>
      </c>
      <c r="H117" t="s">
        <v>18</v>
      </c>
      <c r="I117">
        <v>0.10881297182208688</v>
      </c>
      <c r="J117" t="s">
        <v>6</v>
      </c>
      <c r="L117" t="s">
        <v>467</v>
      </c>
      <c r="M117" t="s">
        <v>18</v>
      </c>
      <c r="N117">
        <v>0.11170323343950223</v>
      </c>
      <c r="O117" t="s">
        <v>6</v>
      </c>
    </row>
    <row r="118" spans="2:15" x14ac:dyDescent="0.45">
      <c r="B118" t="s">
        <v>465</v>
      </c>
      <c r="C118" t="s">
        <v>19</v>
      </c>
      <c r="D118">
        <v>1.4748716314064558E-3</v>
      </c>
      <c r="E118" t="s">
        <v>6</v>
      </c>
      <c r="G118" t="s">
        <v>466</v>
      </c>
      <c r="H118" t="s">
        <v>19</v>
      </c>
      <c r="I118">
        <v>7.5814384051686071E-2</v>
      </c>
      <c r="J118" t="s">
        <v>6</v>
      </c>
      <c r="L118" t="s">
        <v>467</v>
      </c>
      <c r="M118" t="s">
        <v>19</v>
      </c>
      <c r="N118">
        <v>6.8632992932118123E-2</v>
      </c>
      <c r="O118" t="s">
        <v>6</v>
      </c>
    </row>
    <row r="119" spans="2:15" x14ac:dyDescent="0.45">
      <c r="B119" t="s">
        <v>468</v>
      </c>
      <c r="C119" t="s">
        <v>5</v>
      </c>
      <c r="D119">
        <v>0</v>
      </c>
      <c r="E119" t="s">
        <v>6</v>
      </c>
      <c r="G119" t="s">
        <v>469</v>
      </c>
      <c r="H119" t="s">
        <v>5</v>
      </c>
      <c r="I119">
        <v>0.11900003028138585</v>
      </c>
      <c r="J119" t="s">
        <v>6</v>
      </c>
      <c r="L119" t="s">
        <v>470</v>
      </c>
      <c r="M119" t="s">
        <v>5</v>
      </c>
      <c r="N119">
        <v>0.10344674954424619</v>
      </c>
      <c r="O119" t="s">
        <v>6</v>
      </c>
    </row>
    <row r="120" spans="2:15" x14ac:dyDescent="0.45">
      <c r="B120" t="s">
        <v>468</v>
      </c>
      <c r="C120" t="s">
        <v>9</v>
      </c>
      <c r="D120">
        <v>9.2514280576517047E-2</v>
      </c>
      <c r="E120" t="s">
        <v>6</v>
      </c>
      <c r="G120" t="s">
        <v>469</v>
      </c>
      <c r="H120" t="s">
        <v>9</v>
      </c>
      <c r="I120">
        <v>0.12733823865666022</v>
      </c>
      <c r="J120" t="s">
        <v>6</v>
      </c>
      <c r="L120" t="s">
        <v>470</v>
      </c>
      <c r="M120" t="s">
        <v>9</v>
      </c>
      <c r="N120">
        <v>0.1297536619558973</v>
      </c>
      <c r="O120" t="s">
        <v>6</v>
      </c>
    </row>
    <row r="121" spans="2:15" x14ac:dyDescent="0.45">
      <c r="B121" t="s">
        <v>468</v>
      </c>
      <c r="C121" t="s">
        <v>10</v>
      </c>
      <c r="D121">
        <v>1.3766747163204441E-4</v>
      </c>
      <c r="E121" t="s">
        <v>6</v>
      </c>
      <c r="G121" t="s">
        <v>469</v>
      </c>
      <c r="H121" t="s">
        <v>10</v>
      </c>
      <c r="I121">
        <v>9.0939933988996247E-2</v>
      </c>
      <c r="J121" t="s">
        <v>6</v>
      </c>
      <c r="L121" t="s">
        <v>470</v>
      </c>
      <c r="M121" t="s">
        <v>10</v>
      </c>
      <c r="N121">
        <v>7.7836473410093518E-2</v>
      </c>
      <c r="O121" t="s">
        <v>6</v>
      </c>
    </row>
    <row r="122" spans="2:15" x14ac:dyDescent="0.45">
      <c r="B122" t="s">
        <v>468</v>
      </c>
      <c r="C122" t="s">
        <v>11</v>
      </c>
      <c r="D122">
        <v>4.1729237191046008E-3</v>
      </c>
      <c r="E122" t="s">
        <v>6</v>
      </c>
      <c r="G122" t="s">
        <v>469</v>
      </c>
      <c r="H122" t="s">
        <v>11</v>
      </c>
      <c r="I122">
        <v>8.4163023563769465E-2</v>
      </c>
      <c r="J122" t="s">
        <v>6</v>
      </c>
      <c r="L122" t="s">
        <v>470</v>
      </c>
      <c r="M122" t="s">
        <v>11</v>
      </c>
      <c r="N122">
        <v>8.1565059613932581E-2</v>
      </c>
      <c r="O122" t="s">
        <v>6</v>
      </c>
    </row>
    <row r="123" spans="2:15" x14ac:dyDescent="0.45">
      <c r="B123" t="s">
        <v>468</v>
      </c>
      <c r="C123" t="s">
        <v>12</v>
      </c>
      <c r="D123">
        <v>0.30825611545422721</v>
      </c>
      <c r="E123" t="s">
        <v>6</v>
      </c>
      <c r="G123" t="s">
        <v>469</v>
      </c>
      <c r="H123" t="s">
        <v>12</v>
      </c>
      <c r="I123">
        <v>8.61141977855608E-2</v>
      </c>
      <c r="J123" t="s">
        <v>6</v>
      </c>
      <c r="L123" t="s">
        <v>470</v>
      </c>
      <c r="M123" t="s">
        <v>12</v>
      </c>
      <c r="N123">
        <v>9.5869975018223821E-2</v>
      </c>
      <c r="O123" t="s">
        <v>6</v>
      </c>
    </row>
    <row r="124" spans="2:15" x14ac:dyDescent="0.45">
      <c r="B124" t="s">
        <v>468</v>
      </c>
      <c r="C124" t="s">
        <v>13</v>
      </c>
      <c r="D124">
        <v>1.0448870991619126E-2</v>
      </c>
      <c r="E124" t="s">
        <v>6</v>
      </c>
      <c r="G124" t="s">
        <v>469</v>
      </c>
      <c r="H124" t="s">
        <v>13</v>
      </c>
      <c r="I124">
        <v>6.3179526515051612E-2</v>
      </c>
      <c r="J124" t="s">
        <v>6</v>
      </c>
      <c r="L124" t="s">
        <v>470</v>
      </c>
      <c r="M124" t="s">
        <v>13</v>
      </c>
      <c r="N124">
        <v>6.3583245273088784E-2</v>
      </c>
      <c r="O124" t="s">
        <v>6</v>
      </c>
    </row>
    <row r="125" spans="2:15" x14ac:dyDescent="0.45">
      <c r="B125" t="s">
        <v>468</v>
      </c>
      <c r="C125" t="s">
        <v>14</v>
      </c>
      <c r="D125">
        <v>8.5285264475941213E-3</v>
      </c>
      <c r="E125" t="s">
        <v>6</v>
      </c>
      <c r="G125" t="s">
        <v>469</v>
      </c>
      <c r="H125" t="s">
        <v>14</v>
      </c>
      <c r="I125">
        <v>5.1436193626791388E-2</v>
      </c>
      <c r="J125" t="s">
        <v>6</v>
      </c>
      <c r="L125" t="s">
        <v>470</v>
      </c>
      <c r="M125" t="s">
        <v>14</v>
      </c>
      <c r="N125">
        <v>6.0063805431672924E-2</v>
      </c>
      <c r="O125" t="s">
        <v>6</v>
      </c>
    </row>
    <row r="126" spans="2:15" x14ac:dyDescent="0.45">
      <c r="B126" t="s">
        <v>468</v>
      </c>
      <c r="C126" t="s">
        <v>15</v>
      </c>
      <c r="D126">
        <v>0.3695218594668121</v>
      </c>
      <c r="E126" t="s">
        <v>6</v>
      </c>
      <c r="G126" t="s">
        <v>469</v>
      </c>
      <c r="H126" t="s">
        <v>15</v>
      </c>
      <c r="I126">
        <v>4.5728789516339796E-2</v>
      </c>
      <c r="J126" t="s">
        <v>6</v>
      </c>
      <c r="L126" t="s">
        <v>470</v>
      </c>
      <c r="M126" t="s">
        <v>15</v>
      </c>
      <c r="N126">
        <v>6.7880775192891055E-2</v>
      </c>
      <c r="O126" t="s">
        <v>6</v>
      </c>
    </row>
    <row r="127" spans="2:15" x14ac:dyDescent="0.45">
      <c r="B127" t="s">
        <v>468</v>
      </c>
      <c r="C127" t="s">
        <v>16</v>
      </c>
      <c r="D127">
        <v>2.0173350439421082E-2</v>
      </c>
      <c r="E127" t="s">
        <v>6</v>
      </c>
      <c r="G127" t="s">
        <v>469</v>
      </c>
      <c r="H127" t="s">
        <v>16</v>
      </c>
      <c r="I127">
        <v>4.2148058093454496E-2</v>
      </c>
      <c r="J127" t="s">
        <v>6</v>
      </c>
      <c r="L127" t="s">
        <v>470</v>
      </c>
      <c r="M127" t="s">
        <v>16</v>
      </c>
      <c r="N127">
        <v>4.513519780792951E-2</v>
      </c>
      <c r="O127" t="s">
        <v>6</v>
      </c>
    </row>
    <row r="128" spans="2:15" x14ac:dyDescent="0.45">
      <c r="B128" t="s">
        <v>468</v>
      </c>
      <c r="C128" t="s">
        <v>17</v>
      </c>
      <c r="D128">
        <v>2.6575171622159353E-4</v>
      </c>
      <c r="E128" t="s">
        <v>6</v>
      </c>
      <c r="G128" t="s">
        <v>469</v>
      </c>
      <c r="H128" t="s">
        <v>17</v>
      </c>
      <c r="I128">
        <v>0.1084236778825011</v>
      </c>
      <c r="J128" t="s">
        <v>6</v>
      </c>
      <c r="L128" t="s">
        <v>470</v>
      </c>
      <c r="M128" t="s">
        <v>17</v>
      </c>
      <c r="N128">
        <v>9.1289025537699978E-2</v>
      </c>
      <c r="O128" t="s">
        <v>6</v>
      </c>
    </row>
    <row r="129" spans="2:15" x14ac:dyDescent="0.45">
      <c r="B129" t="s">
        <v>468</v>
      </c>
      <c r="C129" t="s">
        <v>18</v>
      </c>
      <c r="D129">
        <v>0.18447055732430651</v>
      </c>
      <c r="E129" t="s">
        <v>6</v>
      </c>
      <c r="G129" t="s">
        <v>469</v>
      </c>
      <c r="H129" t="s">
        <v>18</v>
      </c>
      <c r="I129">
        <v>0.10565423283565875</v>
      </c>
      <c r="J129" t="s">
        <v>6</v>
      </c>
      <c r="L129" t="s">
        <v>470</v>
      </c>
      <c r="M129" t="s">
        <v>18</v>
      </c>
      <c r="N129">
        <v>0.11392753419833193</v>
      </c>
      <c r="O129" t="s">
        <v>6</v>
      </c>
    </row>
    <row r="130" spans="2:15" x14ac:dyDescent="0.45">
      <c r="B130" t="s">
        <v>468</v>
      </c>
      <c r="C130" t="s">
        <v>19</v>
      </c>
      <c r="D130">
        <v>1.5100963925443924E-3</v>
      </c>
      <c r="E130" t="s">
        <v>6</v>
      </c>
      <c r="G130" t="s">
        <v>469</v>
      </c>
      <c r="H130" t="s">
        <v>19</v>
      </c>
      <c r="I130">
        <v>7.5874097253831776E-2</v>
      </c>
      <c r="J130" t="s">
        <v>6</v>
      </c>
      <c r="L130" t="s">
        <v>470</v>
      </c>
      <c r="M130" t="s">
        <v>19</v>
      </c>
      <c r="N130">
        <v>6.9648497015991559E-2</v>
      </c>
      <c r="O130" t="s">
        <v>6</v>
      </c>
    </row>
    <row r="131" spans="2:15" x14ac:dyDescent="0.45">
      <c r="B131" t="s">
        <v>471</v>
      </c>
      <c r="C131" t="s">
        <v>5</v>
      </c>
      <c r="D131">
        <v>0</v>
      </c>
      <c r="E131" t="s">
        <v>6</v>
      </c>
      <c r="G131" t="s">
        <v>472</v>
      </c>
      <c r="H131" t="s">
        <v>5</v>
      </c>
      <c r="I131">
        <v>0.11720513724040998</v>
      </c>
      <c r="J131" t="s">
        <v>6</v>
      </c>
    </row>
    <row r="132" spans="2:15" x14ac:dyDescent="0.45">
      <c r="B132" t="s">
        <v>471</v>
      </c>
      <c r="C132" t="s">
        <v>9</v>
      </c>
      <c r="D132">
        <v>9.1506128122677263E-2</v>
      </c>
      <c r="E132" t="s">
        <v>6</v>
      </c>
      <c r="G132" t="s">
        <v>472</v>
      </c>
      <c r="H132" t="s">
        <v>9</v>
      </c>
      <c r="I132">
        <v>0.14258957072379286</v>
      </c>
      <c r="J132" t="s">
        <v>6</v>
      </c>
    </row>
    <row r="133" spans="2:15" x14ac:dyDescent="0.45">
      <c r="B133" t="s">
        <v>471</v>
      </c>
      <c r="C133" t="s">
        <v>10</v>
      </c>
      <c r="D133">
        <v>9.4777073244951463E-5</v>
      </c>
      <c r="E133" t="s">
        <v>6</v>
      </c>
      <c r="G133" t="s">
        <v>472</v>
      </c>
      <c r="H133" t="s">
        <v>10</v>
      </c>
      <c r="I133">
        <v>8.588482147290466E-2</v>
      </c>
      <c r="J133" t="s">
        <v>6</v>
      </c>
    </row>
    <row r="134" spans="2:15" x14ac:dyDescent="0.45">
      <c r="B134" t="s">
        <v>471</v>
      </c>
      <c r="C134" t="s">
        <v>11</v>
      </c>
      <c r="D134">
        <v>4.2716981655632549E-3</v>
      </c>
      <c r="E134" t="s">
        <v>6</v>
      </c>
      <c r="G134" t="s">
        <v>472</v>
      </c>
      <c r="H134" t="s">
        <v>11</v>
      </c>
      <c r="I134">
        <v>7.2433913546774267E-2</v>
      </c>
      <c r="J134" t="s">
        <v>6</v>
      </c>
    </row>
    <row r="135" spans="2:15" x14ac:dyDescent="0.45">
      <c r="B135" t="s">
        <v>471</v>
      </c>
      <c r="C135" t="s">
        <v>12</v>
      </c>
      <c r="D135">
        <v>0.32464700774055655</v>
      </c>
      <c r="E135" t="s">
        <v>6</v>
      </c>
      <c r="G135" t="s">
        <v>472</v>
      </c>
      <c r="H135" t="s">
        <v>12</v>
      </c>
      <c r="I135">
        <v>8.334765659061727E-2</v>
      </c>
      <c r="J135" t="s">
        <v>6</v>
      </c>
    </row>
    <row r="136" spans="2:15" x14ac:dyDescent="0.45">
      <c r="B136" t="s">
        <v>471</v>
      </c>
      <c r="C136" t="s">
        <v>13</v>
      </c>
      <c r="D136">
        <v>1.1941098576968201E-2</v>
      </c>
      <c r="E136" t="s">
        <v>6</v>
      </c>
      <c r="G136" t="s">
        <v>472</v>
      </c>
      <c r="H136" t="s">
        <v>13</v>
      </c>
      <c r="I136">
        <v>5.5250706644055014E-2</v>
      </c>
      <c r="J136" t="s">
        <v>6</v>
      </c>
    </row>
    <row r="137" spans="2:15" x14ac:dyDescent="0.45">
      <c r="B137" t="s">
        <v>471</v>
      </c>
      <c r="C137" t="s">
        <v>14</v>
      </c>
      <c r="D137">
        <v>8.5619624818828073E-3</v>
      </c>
      <c r="E137" t="s">
        <v>6</v>
      </c>
      <c r="G137" t="s">
        <v>472</v>
      </c>
      <c r="H137" t="s">
        <v>14</v>
      </c>
      <c r="I137">
        <v>5.4547543621108238E-2</v>
      </c>
      <c r="J137" t="s">
        <v>6</v>
      </c>
    </row>
    <row r="138" spans="2:15" x14ac:dyDescent="0.45">
      <c r="B138" t="s">
        <v>471</v>
      </c>
      <c r="C138" t="s">
        <v>15</v>
      </c>
      <c r="D138">
        <v>0.36047497790707839</v>
      </c>
      <c r="E138" t="s">
        <v>6</v>
      </c>
      <c r="G138" t="s">
        <v>472</v>
      </c>
      <c r="H138" t="s">
        <v>15</v>
      </c>
      <c r="I138">
        <v>6.3387426481359047E-2</v>
      </c>
      <c r="J138" t="s">
        <v>6</v>
      </c>
    </row>
    <row r="139" spans="2:15" x14ac:dyDescent="0.45">
      <c r="B139" t="s">
        <v>471</v>
      </c>
      <c r="C139" t="s">
        <v>16</v>
      </c>
      <c r="D139">
        <v>2.1455025324785583E-2</v>
      </c>
      <c r="E139" t="s">
        <v>6</v>
      </c>
      <c r="G139" t="s">
        <v>472</v>
      </c>
      <c r="H139" t="s">
        <v>16</v>
      </c>
      <c r="I139">
        <v>4.0252742792749971E-2</v>
      </c>
      <c r="J139" t="s">
        <v>6</v>
      </c>
    </row>
    <row r="140" spans="2:15" x14ac:dyDescent="0.45">
      <c r="B140" t="s">
        <v>471</v>
      </c>
      <c r="C140" t="s">
        <v>17</v>
      </c>
      <c r="D140">
        <v>3.162901036065566E-4</v>
      </c>
      <c r="E140" t="s">
        <v>6</v>
      </c>
      <c r="G140" t="s">
        <v>472</v>
      </c>
      <c r="H140" t="s">
        <v>17</v>
      </c>
      <c r="I140">
        <v>0.10001110137910484</v>
      </c>
      <c r="J140" t="s">
        <v>6</v>
      </c>
    </row>
    <row r="141" spans="2:15" x14ac:dyDescent="0.45">
      <c r="B141" t="s">
        <v>471</v>
      </c>
      <c r="C141" t="s">
        <v>18</v>
      </c>
      <c r="D141">
        <v>0.17526085744023578</v>
      </c>
      <c r="E141" t="s">
        <v>6</v>
      </c>
      <c r="G141" t="s">
        <v>472</v>
      </c>
      <c r="H141" t="s">
        <v>18</v>
      </c>
      <c r="I141">
        <v>0.11280553757954197</v>
      </c>
      <c r="J141" t="s">
        <v>6</v>
      </c>
    </row>
    <row r="142" spans="2:15" x14ac:dyDescent="0.45">
      <c r="B142" t="s">
        <v>471</v>
      </c>
      <c r="C142" t="s">
        <v>19</v>
      </c>
      <c r="D142">
        <v>1.4701770633981065E-3</v>
      </c>
      <c r="E142" t="s">
        <v>6</v>
      </c>
      <c r="G142" t="s">
        <v>472</v>
      </c>
      <c r="H142" t="s">
        <v>19</v>
      </c>
      <c r="I142">
        <v>7.228384192758168E-2</v>
      </c>
      <c r="J142" t="s">
        <v>6</v>
      </c>
    </row>
    <row r="143" spans="2:15" x14ac:dyDescent="0.45">
      <c r="B143" t="s">
        <v>473</v>
      </c>
      <c r="C143" t="s">
        <v>5</v>
      </c>
      <c r="D143">
        <v>0</v>
      </c>
      <c r="E143" t="s">
        <v>6</v>
      </c>
      <c r="G143" t="s">
        <v>474</v>
      </c>
      <c r="H143" t="s">
        <v>5</v>
      </c>
      <c r="I143">
        <v>0.11400417546780785</v>
      </c>
      <c r="J143" t="s">
        <v>6</v>
      </c>
    </row>
    <row r="144" spans="2:15" x14ac:dyDescent="0.45">
      <c r="B144" t="s">
        <v>473</v>
      </c>
      <c r="C144" t="s">
        <v>9</v>
      </c>
      <c r="D144">
        <v>0.10072281439174316</v>
      </c>
      <c r="E144" t="s">
        <v>6</v>
      </c>
      <c r="G144" t="s">
        <v>474</v>
      </c>
      <c r="H144" t="s">
        <v>9</v>
      </c>
      <c r="I144">
        <v>0.13588023391244169</v>
      </c>
      <c r="J144" t="s">
        <v>6</v>
      </c>
    </row>
    <row r="145" spans="2:10" x14ac:dyDescent="0.45">
      <c r="B145" t="s">
        <v>473</v>
      </c>
      <c r="C145" t="s">
        <v>10</v>
      </c>
      <c r="D145">
        <v>1.9379382467577921E-4</v>
      </c>
      <c r="E145" t="s">
        <v>6</v>
      </c>
      <c r="G145" t="s">
        <v>474</v>
      </c>
      <c r="H145" t="s">
        <v>10</v>
      </c>
      <c r="I145">
        <v>8.4726019033801697E-2</v>
      </c>
      <c r="J145" t="s">
        <v>6</v>
      </c>
    </row>
    <row r="146" spans="2:10" x14ac:dyDescent="0.45">
      <c r="B146" t="s">
        <v>473</v>
      </c>
      <c r="C146" t="s">
        <v>11</v>
      </c>
      <c r="D146">
        <v>3.2659644255305978E-3</v>
      </c>
      <c r="E146" t="s">
        <v>6</v>
      </c>
      <c r="G146" t="s">
        <v>474</v>
      </c>
      <c r="H146" t="s">
        <v>11</v>
      </c>
      <c r="I146">
        <v>7.7094725052564372E-2</v>
      </c>
      <c r="J146" t="s">
        <v>6</v>
      </c>
    </row>
    <row r="147" spans="2:10" x14ac:dyDescent="0.45">
      <c r="B147" t="s">
        <v>473</v>
      </c>
      <c r="C147" t="s">
        <v>12</v>
      </c>
      <c r="D147">
        <v>0.31364764842829723</v>
      </c>
      <c r="E147" t="s">
        <v>6</v>
      </c>
      <c r="G147" t="s">
        <v>474</v>
      </c>
      <c r="H147" t="s">
        <v>12</v>
      </c>
      <c r="I147">
        <v>9.369452678671604E-2</v>
      </c>
      <c r="J147" t="s">
        <v>6</v>
      </c>
    </row>
    <row r="148" spans="2:10" x14ac:dyDescent="0.45">
      <c r="B148" t="s">
        <v>473</v>
      </c>
      <c r="C148" t="s">
        <v>13</v>
      </c>
      <c r="D148">
        <v>1.2554634904028384E-2</v>
      </c>
      <c r="E148" t="s">
        <v>6</v>
      </c>
      <c r="G148" t="s">
        <v>474</v>
      </c>
      <c r="H148" t="s">
        <v>13</v>
      </c>
      <c r="I148">
        <v>6.1557200475090355E-2</v>
      </c>
      <c r="J148" t="s">
        <v>6</v>
      </c>
    </row>
    <row r="149" spans="2:10" x14ac:dyDescent="0.45">
      <c r="B149" t="s">
        <v>473</v>
      </c>
      <c r="C149" t="s">
        <v>14</v>
      </c>
      <c r="D149">
        <v>6.8132244458729155E-3</v>
      </c>
      <c r="E149" t="s">
        <v>6</v>
      </c>
      <c r="G149" t="s">
        <v>474</v>
      </c>
      <c r="H149" t="s">
        <v>14</v>
      </c>
      <c r="I149">
        <v>5.0888951163291042E-2</v>
      </c>
      <c r="J149" t="s">
        <v>6</v>
      </c>
    </row>
    <row r="150" spans="2:10" x14ac:dyDescent="0.45">
      <c r="B150" t="s">
        <v>473</v>
      </c>
      <c r="C150" t="s">
        <v>15</v>
      </c>
      <c r="D150">
        <v>0.35412460155758152</v>
      </c>
      <c r="E150" t="s">
        <v>6</v>
      </c>
      <c r="G150" t="s">
        <v>474</v>
      </c>
      <c r="H150" t="s">
        <v>15</v>
      </c>
      <c r="I150">
        <v>5.9845123337764379E-2</v>
      </c>
      <c r="J150" t="s">
        <v>6</v>
      </c>
    </row>
    <row r="151" spans="2:10" x14ac:dyDescent="0.45">
      <c r="B151" t="s">
        <v>473</v>
      </c>
      <c r="C151" t="s">
        <v>16</v>
      </c>
      <c r="D151">
        <v>2.2804088219412731E-2</v>
      </c>
      <c r="E151" t="s">
        <v>6</v>
      </c>
      <c r="G151" t="s">
        <v>474</v>
      </c>
      <c r="H151" t="s">
        <v>16</v>
      </c>
      <c r="I151">
        <v>3.9521359835266494E-2</v>
      </c>
      <c r="J151" t="s">
        <v>6</v>
      </c>
    </row>
    <row r="152" spans="2:10" x14ac:dyDescent="0.45">
      <c r="B152" t="s">
        <v>473</v>
      </c>
      <c r="C152" t="s">
        <v>17</v>
      </c>
      <c r="D152">
        <v>1.6803118330766968E-4</v>
      </c>
      <c r="E152" t="s">
        <v>6</v>
      </c>
      <c r="G152" t="s">
        <v>474</v>
      </c>
      <c r="H152" t="s">
        <v>17</v>
      </c>
      <c r="I152">
        <v>9.8176960714953396E-2</v>
      </c>
      <c r="J152" t="s">
        <v>6</v>
      </c>
    </row>
    <row r="153" spans="2:10" x14ac:dyDescent="0.45">
      <c r="B153" t="s">
        <v>473</v>
      </c>
      <c r="C153" t="s">
        <v>18</v>
      </c>
      <c r="D153">
        <v>0.18380884871398173</v>
      </c>
      <c r="E153" t="s">
        <v>6</v>
      </c>
      <c r="G153" t="s">
        <v>474</v>
      </c>
      <c r="H153" t="s">
        <v>18</v>
      </c>
      <c r="I153">
        <v>0.11112598016947101</v>
      </c>
      <c r="J153" t="s">
        <v>6</v>
      </c>
    </row>
    <row r="154" spans="2:10" x14ac:dyDescent="0.45">
      <c r="B154" t="s">
        <v>473</v>
      </c>
      <c r="C154" t="s">
        <v>19</v>
      </c>
      <c r="D154">
        <v>1.8963499055678955E-3</v>
      </c>
      <c r="E154" t="s">
        <v>6</v>
      </c>
      <c r="G154" t="s">
        <v>474</v>
      </c>
      <c r="H154" t="s">
        <v>19</v>
      </c>
      <c r="I154">
        <v>7.3484744050831344E-2</v>
      </c>
      <c r="J154" t="s">
        <v>6</v>
      </c>
    </row>
    <row r="155" spans="2:10" x14ac:dyDescent="0.45">
      <c r="B155" t="s">
        <v>475</v>
      </c>
      <c r="C155" t="s">
        <v>5</v>
      </c>
      <c r="D155">
        <v>0</v>
      </c>
      <c r="E155" t="s">
        <v>6</v>
      </c>
      <c r="G155" t="s">
        <v>476</v>
      </c>
      <c r="H155" t="s">
        <v>5</v>
      </c>
      <c r="I155">
        <v>0.1162014044115354</v>
      </c>
      <c r="J155" t="s">
        <v>6</v>
      </c>
    </row>
    <row r="156" spans="2:10" x14ac:dyDescent="0.45">
      <c r="B156" t="s">
        <v>475</v>
      </c>
      <c r="C156" t="s">
        <v>9</v>
      </c>
      <c r="D156">
        <v>0.16409514797002009</v>
      </c>
      <c r="E156" t="s">
        <v>6</v>
      </c>
      <c r="G156" t="s">
        <v>476</v>
      </c>
      <c r="H156" t="s">
        <v>9</v>
      </c>
      <c r="I156">
        <v>0.14278937092880101</v>
      </c>
      <c r="J156" t="s">
        <v>6</v>
      </c>
    </row>
    <row r="157" spans="2:10" x14ac:dyDescent="0.45">
      <c r="B157" t="s">
        <v>475</v>
      </c>
      <c r="C157" t="s">
        <v>10</v>
      </c>
      <c r="D157">
        <v>5.3287198712364788E-4</v>
      </c>
      <c r="E157" t="s">
        <v>6</v>
      </c>
      <c r="G157" t="s">
        <v>476</v>
      </c>
      <c r="H157" t="s">
        <v>10</v>
      </c>
      <c r="I157">
        <v>8.6876359599697875E-2</v>
      </c>
      <c r="J157" t="s">
        <v>6</v>
      </c>
    </row>
    <row r="158" spans="2:10" x14ac:dyDescent="0.45">
      <c r="B158" t="s">
        <v>475</v>
      </c>
      <c r="C158" t="s">
        <v>11</v>
      </c>
      <c r="D158">
        <v>2.6740404168521335E-3</v>
      </c>
      <c r="E158" t="s">
        <v>6</v>
      </c>
      <c r="G158" t="s">
        <v>476</v>
      </c>
      <c r="H158" t="s">
        <v>11</v>
      </c>
      <c r="I158">
        <v>7.3745574490119134E-2</v>
      </c>
      <c r="J158" t="s">
        <v>6</v>
      </c>
    </row>
    <row r="159" spans="2:10" x14ac:dyDescent="0.45">
      <c r="B159" t="s">
        <v>475</v>
      </c>
      <c r="C159" t="s">
        <v>12</v>
      </c>
      <c r="D159">
        <v>0.27884125529995796</v>
      </c>
      <c r="E159" t="s">
        <v>6</v>
      </c>
      <c r="G159" t="s">
        <v>476</v>
      </c>
      <c r="H159" t="s">
        <v>12</v>
      </c>
      <c r="I159">
        <v>8.9024095983590554E-2</v>
      </c>
      <c r="J159" t="s">
        <v>6</v>
      </c>
    </row>
    <row r="160" spans="2:10" x14ac:dyDescent="0.45">
      <c r="B160" t="s">
        <v>475</v>
      </c>
      <c r="C160" t="s">
        <v>13</v>
      </c>
      <c r="D160">
        <v>8.8405466120218545E-3</v>
      </c>
      <c r="E160" t="s">
        <v>6</v>
      </c>
      <c r="G160" t="s">
        <v>476</v>
      </c>
      <c r="H160" t="s">
        <v>13</v>
      </c>
      <c r="I160">
        <v>5.6565277351841775E-2</v>
      </c>
      <c r="J160" t="s">
        <v>6</v>
      </c>
    </row>
    <row r="161" spans="2:10" x14ac:dyDescent="0.45">
      <c r="B161" t="s">
        <v>475</v>
      </c>
      <c r="C161" t="s">
        <v>14</v>
      </c>
      <c r="D161">
        <v>5.6730747374774577E-3</v>
      </c>
      <c r="E161" t="s">
        <v>6</v>
      </c>
      <c r="G161" t="s">
        <v>476</v>
      </c>
      <c r="H161" t="s">
        <v>14</v>
      </c>
      <c r="I161">
        <v>4.8180437637899122E-2</v>
      </c>
      <c r="J161" t="s">
        <v>6</v>
      </c>
    </row>
    <row r="162" spans="2:10" x14ac:dyDescent="0.45">
      <c r="B162" t="s">
        <v>475</v>
      </c>
      <c r="C162" t="s">
        <v>15</v>
      </c>
      <c r="D162">
        <v>0.3291894419068867</v>
      </c>
      <c r="E162" t="s">
        <v>6</v>
      </c>
      <c r="G162" t="s">
        <v>476</v>
      </c>
      <c r="H162" t="s">
        <v>15</v>
      </c>
      <c r="I162">
        <v>5.7279063936264821E-2</v>
      </c>
      <c r="J162" t="s">
        <v>6</v>
      </c>
    </row>
    <row r="163" spans="2:10" x14ac:dyDescent="0.45">
      <c r="B163" t="s">
        <v>475</v>
      </c>
      <c r="C163" t="s">
        <v>16</v>
      </c>
      <c r="D163">
        <v>1.6715970930559459E-2</v>
      </c>
      <c r="E163" t="s">
        <v>6</v>
      </c>
      <c r="G163" t="s">
        <v>476</v>
      </c>
      <c r="H163" t="s">
        <v>16</v>
      </c>
      <c r="I163">
        <v>3.8405862700082581E-2</v>
      </c>
      <c r="J163" t="s">
        <v>6</v>
      </c>
    </row>
    <row r="164" spans="2:10" x14ac:dyDescent="0.45">
      <c r="B164" t="s">
        <v>475</v>
      </c>
      <c r="C164" t="s">
        <v>17</v>
      </c>
      <c r="D164">
        <v>3.0559573678406679E-4</v>
      </c>
      <c r="E164" t="s">
        <v>6</v>
      </c>
      <c r="G164" t="s">
        <v>476</v>
      </c>
      <c r="H164" t="s">
        <v>17</v>
      </c>
      <c r="I164">
        <v>0.10191776978348439</v>
      </c>
      <c r="J164" t="s">
        <v>6</v>
      </c>
    </row>
    <row r="165" spans="2:10" x14ac:dyDescent="0.45">
      <c r="B165" t="s">
        <v>475</v>
      </c>
      <c r="C165" t="s">
        <v>18</v>
      </c>
      <c r="D165">
        <v>0.19126629988335239</v>
      </c>
      <c r="E165" t="s">
        <v>6</v>
      </c>
      <c r="G165" t="s">
        <v>476</v>
      </c>
      <c r="H165" t="s">
        <v>18</v>
      </c>
      <c r="I165">
        <v>0.11463251919616672</v>
      </c>
      <c r="J165" t="s">
        <v>6</v>
      </c>
    </row>
    <row r="166" spans="2:10" x14ac:dyDescent="0.45">
      <c r="B166" t="s">
        <v>475</v>
      </c>
      <c r="C166" t="s">
        <v>19</v>
      </c>
      <c r="D166">
        <v>1.8657545189649986E-3</v>
      </c>
      <c r="E166" t="s">
        <v>6</v>
      </c>
      <c r="G166" t="s">
        <v>476</v>
      </c>
      <c r="H166" t="s">
        <v>19</v>
      </c>
      <c r="I166">
        <v>7.4382263980518601E-2</v>
      </c>
      <c r="J166" t="s">
        <v>6</v>
      </c>
    </row>
    <row r="167" spans="2:10" x14ac:dyDescent="0.45">
      <c r="B167" t="s">
        <v>477</v>
      </c>
      <c r="C167" t="s">
        <v>5</v>
      </c>
      <c r="D167">
        <v>0</v>
      </c>
      <c r="E167" t="s">
        <v>6</v>
      </c>
      <c r="G167" t="s">
        <v>478</v>
      </c>
      <c r="H167" t="s">
        <v>5</v>
      </c>
      <c r="I167">
        <v>0.1169863114469403</v>
      </c>
      <c r="J167" t="s">
        <v>6</v>
      </c>
    </row>
    <row r="168" spans="2:10" x14ac:dyDescent="0.45">
      <c r="B168" t="s">
        <v>477</v>
      </c>
      <c r="C168" t="s">
        <v>9</v>
      </c>
      <c r="D168">
        <v>0.13139197765555563</v>
      </c>
      <c r="E168" t="s">
        <v>6</v>
      </c>
      <c r="G168" t="s">
        <v>478</v>
      </c>
      <c r="H168" t="s">
        <v>9</v>
      </c>
      <c r="I168">
        <v>0.13154044908054119</v>
      </c>
      <c r="J168" t="s">
        <v>6</v>
      </c>
    </row>
    <row r="169" spans="2:10" x14ac:dyDescent="0.45">
      <c r="B169" t="s">
        <v>477</v>
      </c>
      <c r="C169" t="s">
        <v>10</v>
      </c>
      <c r="D169">
        <v>1.9468851420725494E-4</v>
      </c>
      <c r="E169" t="s">
        <v>6</v>
      </c>
      <c r="G169" t="s">
        <v>478</v>
      </c>
      <c r="H169" t="s">
        <v>10</v>
      </c>
      <c r="I169">
        <v>8.6114963915647783E-2</v>
      </c>
      <c r="J169" t="s">
        <v>6</v>
      </c>
    </row>
    <row r="170" spans="2:10" x14ac:dyDescent="0.45">
      <c r="B170" t="s">
        <v>477</v>
      </c>
      <c r="C170" t="s">
        <v>11</v>
      </c>
      <c r="D170">
        <v>3.5483428427163046E-3</v>
      </c>
      <c r="E170" t="s">
        <v>6</v>
      </c>
      <c r="G170" t="s">
        <v>478</v>
      </c>
      <c r="H170" t="s">
        <v>11</v>
      </c>
      <c r="I170">
        <v>7.9294095579616017E-2</v>
      </c>
      <c r="J170" t="s">
        <v>6</v>
      </c>
    </row>
    <row r="171" spans="2:10" x14ac:dyDescent="0.45">
      <c r="B171" t="s">
        <v>477</v>
      </c>
      <c r="C171" t="s">
        <v>12</v>
      </c>
      <c r="D171">
        <v>0.29352580727543487</v>
      </c>
      <c r="E171" t="s">
        <v>6</v>
      </c>
      <c r="G171" t="s">
        <v>478</v>
      </c>
      <c r="H171" t="s">
        <v>12</v>
      </c>
      <c r="I171">
        <v>9.0109110932433789E-2</v>
      </c>
      <c r="J171" t="s">
        <v>6</v>
      </c>
    </row>
    <row r="172" spans="2:10" x14ac:dyDescent="0.45">
      <c r="B172" t="s">
        <v>477</v>
      </c>
      <c r="C172" t="s">
        <v>13</v>
      </c>
      <c r="D172">
        <v>8.8923195524919611E-3</v>
      </c>
      <c r="E172" t="s">
        <v>6</v>
      </c>
      <c r="G172" t="s">
        <v>478</v>
      </c>
      <c r="H172" t="s">
        <v>13</v>
      </c>
      <c r="I172">
        <v>6.0698533225959209E-2</v>
      </c>
      <c r="J172" t="s">
        <v>6</v>
      </c>
    </row>
    <row r="173" spans="2:10" x14ac:dyDescent="0.45">
      <c r="B173" t="s">
        <v>477</v>
      </c>
      <c r="C173" t="s">
        <v>14</v>
      </c>
      <c r="D173">
        <v>7.5102500374338698E-3</v>
      </c>
      <c r="E173" t="s">
        <v>6</v>
      </c>
      <c r="G173" t="s">
        <v>478</v>
      </c>
      <c r="H173" t="s">
        <v>14</v>
      </c>
      <c r="I173">
        <v>5.3861949603451559E-2</v>
      </c>
      <c r="J173" t="s">
        <v>6</v>
      </c>
    </row>
    <row r="174" spans="2:10" x14ac:dyDescent="0.45">
      <c r="B174" t="s">
        <v>477</v>
      </c>
      <c r="C174" t="s">
        <v>15</v>
      </c>
      <c r="D174">
        <v>0.35214086864817107</v>
      </c>
      <c r="E174" t="s">
        <v>6</v>
      </c>
      <c r="G174" t="s">
        <v>478</v>
      </c>
      <c r="H174" t="s">
        <v>15</v>
      </c>
      <c r="I174">
        <v>5.8158033494888156E-2</v>
      </c>
      <c r="J174" t="s">
        <v>6</v>
      </c>
    </row>
    <row r="175" spans="2:10" x14ac:dyDescent="0.45">
      <c r="B175" t="s">
        <v>477</v>
      </c>
      <c r="C175" t="s">
        <v>16</v>
      </c>
      <c r="D175">
        <v>1.7486917250314465E-2</v>
      </c>
      <c r="E175" t="s">
        <v>6</v>
      </c>
      <c r="G175" t="s">
        <v>478</v>
      </c>
      <c r="H175" t="s">
        <v>16</v>
      </c>
      <c r="I175">
        <v>3.8997522426651041E-2</v>
      </c>
      <c r="J175" t="s">
        <v>6</v>
      </c>
    </row>
    <row r="176" spans="2:10" x14ac:dyDescent="0.45">
      <c r="B176" t="s">
        <v>477</v>
      </c>
      <c r="C176" t="s">
        <v>17</v>
      </c>
      <c r="D176">
        <v>3.7898592124848085E-4</v>
      </c>
      <c r="E176" t="s">
        <v>6</v>
      </c>
      <c r="G176" t="s">
        <v>478</v>
      </c>
      <c r="H176" t="s">
        <v>17</v>
      </c>
      <c r="I176">
        <v>9.9997635648958902E-2</v>
      </c>
      <c r="J176" t="s">
        <v>6</v>
      </c>
    </row>
    <row r="177" spans="2:10" x14ac:dyDescent="0.45">
      <c r="B177" t="s">
        <v>477</v>
      </c>
      <c r="C177" t="s">
        <v>18</v>
      </c>
      <c r="D177">
        <v>0.18324489864164686</v>
      </c>
      <c r="E177" t="s">
        <v>6</v>
      </c>
      <c r="G177" t="s">
        <v>478</v>
      </c>
      <c r="H177" t="s">
        <v>18</v>
      </c>
      <c r="I177">
        <v>0.10948011427863755</v>
      </c>
      <c r="J177" t="s">
        <v>6</v>
      </c>
    </row>
    <row r="178" spans="2:10" x14ac:dyDescent="0.45">
      <c r="B178" t="s">
        <v>477</v>
      </c>
      <c r="C178" t="s">
        <v>19</v>
      </c>
      <c r="D178">
        <v>1.6849436607798893E-3</v>
      </c>
      <c r="E178" t="s">
        <v>6</v>
      </c>
      <c r="G178" t="s">
        <v>478</v>
      </c>
      <c r="H178" t="s">
        <v>19</v>
      </c>
      <c r="I178">
        <v>7.4761280366273483E-2</v>
      </c>
      <c r="J178" t="s">
        <v>6</v>
      </c>
    </row>
    <row r="179" spans="2:10" x14ac:dyDescent="0.45">
      <c r="B179" t="s">
        <v>479</v>
      </c>
      <c r="C179" t="s">
        <v>5</v>
      </c>
      <c r="D179">
        <v>0</v>
      </c>
      <c r="E179" t="s">
        <v>6</v>
      </c>
      <c r="G179" t="s">
        <v>480</v>
      </c>
      <c r="H179" t="s">
        <v>5</v>
      </c>
      <c r="I179">
        <v>0.11373025610952643</v>
      </c>
      <c r="J179" t="s">
        <v>6</v>
      </c>
    </row>
    <row r="180" spans="2:10" x14ac:dyDescent="0.45">
      <c r="B180" t="s">
        <v>479</v>
      </c>
      <c r="C180" t="s">
        <v>9</v>
      </c>
      <c r="D180">
        <v>0.12672955984286613</v>
      </c>
      <c r="E180" t="s">
        <v>6</v>
      </c>
      <c r="G180" t="s">
        <v>480</v>
      </c>
      <c r="H180" t="s">
        <v>9</v>
      </c>
      <c r="I180">
        <v>0.13369002961699369</v>
      </c>
      <c r="J180" t="s">
        <v>6</v>
      </c>
    </row>
    <row r="181" spans="2:10" x14ac:dyDescent="0.45">
      <c r="B181" t="s">
        <v>479</v>
      </c>
      <c r="C181" t="s">
        <v>10</v>
      </c>
      <c r="D181">
        <v>1.01026357333088E-4</v>
      </c>
      <c r="E181" t="s">
        <v>6</v>
      </c>
      <c r="G181" t="s">
        <v>480</v>
      </c>
      <c r="H181" t="s">
        <v>10</v>
      </c>
      <c r="I181">
        <v>8.4282397367879375E-2</v>
      </c>
      <c r="J181" t="s">
        <v>6</v>
      </c>
    </row>
    <row r="182" spans="2:10" x14ac:dyDescent="0.45">
      <c r="B182" t="s">
        <v>479</v>
      </c>
      <c r="C182" t="s">
        <v>11</v>
      </c>
      <c r="D182">
        <v>4.7685445905708487E-3</v>
      </c>
      <c r="E182" t="s">
        <v>6</v>
      </c>
      <c r="G182" t="s">
        <v>480</v>
      </c>
      <c r="H182" t="s">
        <v>11</v>
      </c>
      <c r="I182">
        <v>8.0802067280113035E-2</v>
      </c>
      <c r="J182" t="s">
        <v>6</v>
      </c>
    </row>
    <row r="183" spans="2:10" x14ac:dyDescent="0.45">
      <c r="B183" t="s">
        <v>479</v>
      </c>
      <c r="C183" t="s">
        <v>12</v>
      </c>
      <c r="D183">
        <v>0.29549861664741411</v>
      </c>
      <c r="E183" t="s">
        <v>6</v>
      </c>
      <c r="G183" t="s">
        <v>480</v>
      </c>
      <c r="H183" t="s">
        <v>12</v>
      </c>
      <c r="I183">
        <v>9.2435720994234888E-2</v>
      </c>
      <c r="J183" t="s">
        <v>6</v>
      </c>
    </row>
    <row r="184" spans="2:10" x14ac:dyDescent="0.45">
      <c r="B184" t="s">
        <v>479</v>
      </c>
      <c r="C184" t="s">
        <v>13</v>
      </c>
      <c r="D184">
        <v>7.0071392797210908E-3</v>
      </c>
      <c r="E184" t="s">
        <v>6</v>
      </c>
      <c r="G184" t="s">
        <v>480</v>
      </c>
      <c r="H184" t="s">
        <v>13</v>
      </c>
      <c r="I184">
        <v>6.0071664530007833E-2</v>
      </c>
      <c r="J184" t="s">
        <v>6</v>
      </c>
    </row>
    <row r="185" spans="2:10" x14ac:dyDescent="0.45">
      <c r="B185" t="s">
        <v>479</v>
      </c>
      <c r="C185" t="s">
        <v>14</v>
      </c>
      <c r="D185">
        <v>9.0582676239197076E-3</v>
      </c>
      <c r="E185" t="s">
        <v>6</v>
      </c>
      <c r="G185" t="s">
        <v>480</v>
      </c>
      <c r="H185" t="s">
        <v>14</v>
      </c>
      <c r="I185">
        <v>5.6507719987711161E-2</v>
      </c>
      <c r="J185" t="s">
        <v>6</v>
      </c>
    </row>
    <row r="186" spans="2:10" x14ac:dyDescent="0.45">
      <c r="B186" t="s">
        <v>479</v>
      </c>
      <c r="C186" t="s">
        <v>15</v>
      </c>
      <c r="D186">
        <v>0.34804328892234587</v>
      </c>
      <c r="E186" t="s">
        <v>6</v>
      </c>
      <c r="G186" t="s">
        <v>480</v>
      </c>
      <c r="H186" t="s">
        <v>15</v>
      </c>
      <c r="I186">
        <v>6.4360325896998749E-2</v>
      </c>
      <c r="J186" t="s">
        <v>6</v>
      </c>
    </row>
    <row r="187" spans="2:10" x14ac:dyDescent="0.45">
      <c r="B187" t="s">
        <v>479</v>
      </c>
      <c r="C187" t="s">
        <v>16</v>
      </c>
      <c r="D187">
        <v>1.3426804757300485E-2</v>
      </c>
      <c r="E187" t="s">
        <v>6</v>
      </c>
      <c r="G187" t="s">
        <v>480</v>
      </c>
      <c r="H187" t="s">
        <v>16</v>
      </c>
      <c r="I187">
        <v>4.1999882683379071E-2</v>
      </c>
      <c r="J187" t="s">
        <v>6</v>
      </c>
    </row>
    <row r="188" spans="2:10" x14ac:dyDescent="0.45">
      <c r="B188" t="s">
        <v>479</v>
      </c>
      <c r="C188" t="s">
        <v>17</v>
      </c>
      <c r="D188">
        <v>7.6526068827261851E-4</v>
      </c>
      <c r="E188" t="s">
        <v>6</v>
      </c>
      <c r="G188" t="s">
        <v>480</v>
      </c>
      <c r="H188" t="s">
        <v>17</v>
      </c>
      <c r="I188">
        <v>9.4554737987987275E-2</v>
      </c>
      <c r="J188" t="s">
        <v>6</v>
      </c>
    </row>
    <row r="189" spans="2:10" x14ac:dyDescent="0.45">
      <c r="B189" t="s">
        <v>479</v>
      </c>
      <c r="C189" t="s">
        <v>18</v>
      </c>
      <c r="D189">
        <v>0.19352699842855983</v>
      </c>
      <c r="E189" t="s">
        <v>6</v>
      </c>
      <c r="G189" t="s">
        <v>480</v>
      </c>
      <c r="H189" t="s">
        <v>18</v>
      </c>
      <c r="I189">
        <v>0.10758172721408968</v>
      </c>
      <c r="J189" t="s">
        <v>6</v>
      </c>
    </row>
    <row r="190" spans="2:10" x14ac:dyDescent="0.45">
      <c r="B190" t="s">
        <v>479</v>
      </c>
      <c r="C190" t="s">
        <v>19</v>
      </c>
      <c r="D190">
        <v>1.0744928616971314E-3</v>
      </c>
      <c r="E190" t="s">
        <v>6</v>
      </c>
      <c r="G190" t="s">
        <v>480</v>
      </c>
      <c r="H190" t="s">
        <v>19</v>
      </c>
      <c r="I190">
        <v>6.998347033107323E-2</v>
      </c>
      <c r="J190" t="s">
        <v>6</v>
      </c>
    </row>
    <row r="191" spans="2:10" x14ac:dyDescent="0.45">
      <c r="B191" t="s">
        <v>481</v>
      </c>
      <c r="C191" t="s">
        <v>5</v>
      </c>
      <c r="D191">
        <v>0</v>
      </c>
      <c r="E191" t="s">
        <v>6</v>
      </c>
      <c r="G191" t="s">
        <v>482</v>
      </c>
      <c r="H191" t="s">
        <v>5</v>
      </c>
      <c r="I191">
        <v>0.10978562051088243</v>
      </c>
      <c r="J191" t="s">
        <v>6</v>
      </c>
    </row>
    <row r="192" spans="2:10" x14ac:dyDescent="0.45">
      <c r="B192" t="s">
        <v>481</v>
      </c>
      <c r="C192" t="s">
        <v>9</v>
      </c>
      <c r="D192">
        <v>0.15387398278278208</v>
      </c>
      <c r="E192" t="s">
        <v>6</v>
      </c>
      <c r="G192" t="s">
        <v>482</v>
      </c>
      <c r="H192" t="s">
        <v>9</v>
      </c>
      <c r="I192">
        <v>0.13355098204324423</v>
      </c>
      <c r="J192" t="s">
        <v>6</v>
      </c>
    </row>
    <row r="193" spans="2:10" x14ac:dyDescent="0.45">
      <c r="B193" t="s">
        <v>481</v>
      </c>
      <c r="C193" t="s">
        <v>10</v>
      </c>
      <c r="D193">
        <v>2.0484711440287685E-4</v>
      </c>
      <c r="E193" t="s">
        <v>6</v>
      </c>
      <c r="G193" t="s">
        <v>482</v>
      </c>
      <c r="H193" t="s">
        <v>10</v>
      </c>
      <c r="I193">
        <v>8.1003134708398913E-2</v>
      </c>
      <c r="J193" t="s">
        <v>6</v>
      </c>
    </row>
    <row r="194" spans="2:10" x14ac:dyDescent="0.45">
      <c r="B194" t="s">
        <v>481</v>
      </c>
      <c r="C194" t="s">
        <v>11</v>
      </c>
      <c r="D194">
        <v>4.0168924346752569E-3</v>
      </c>
      <c r="E194" t="s">
        <v>6</v>
      </c>
      <c r="G194" t="s">
        <v>482</v>
      </c>
      <c r="H194" t="s">
        <v>11</v>
      </c>
      <c r="I194">
        <v>8.0284515019517083E-2</v>
      </c>
      <c r="J194" t="s">
        <v>6</v>
      </c>
    </row>
    <row r="195" spans="2:10" x14ac:dyDescent="0.45">
      <c r="B195" t="s">
        <v>481</v>
      </c>
      <c r="C195" t="s">
        <v>12</v>
      </c>
      <c r="D195">
        <v>0.29268978767691822</v>
      </c>
      <c r="E195" t="s">
        <v>6</v>
      </c>
      <c r="G195" t="s">
        <v>482</v>
      </c>
      <c r="H195" t="s">
        <v>12</v>
      </c>
      <c r="I195">
        <v>9.2448893712965149E-2</v>
      </c>
      <c r="J195" t="s">
        <v>6</v>
      </c>
    </row>
    <row r="196" spans="2:10" x14ac:dyDescent="0.45">
      <c r="B196" t="s">
        <v>481</v>
      </c>
      <c r="C196" t="s">
        <v>13</v>
      </c>
      <c r="D196">
        <v>7.4269697396778141E-3</v>
      </c>
      <c r="E196" t="s">
        <v>6</v>
      </c>
      <c r="G196" t="s">
        <v>482</v>
      </c>
      <c r="H196" t="s">
        <v>13</v>
      </c>
      <c r="I196">
        <v>5.982641221712557E-2</v>
      </c>
      <c r="J196" t="s">
        <v>6</v>
      </c>
    </row>
    <row r="197" spans="2:10" x14ac:dyDescent="0.45">
      <c r="B197" t="s">
        <v>481</v>
      </c>
      <c r="C197" t="s">
        <v>14</v>
      </c>
      <c r="D197">
        <v>7.5690989784045065E-3</v>
      </c>
      <c r="E197" t="s">
        <v>6</v>
      </c>
      <c r="G197" t="s">
        <v>482</v>
      </c>
      <c r="H197" t="s">
        <v>14</v>
      </c>
      <c r="I197">
        <v>5.8324135443710637E-2</v>
      </c>
      <c r="J197" t="s">
        <v>6</v>
      </c>
    </row>
    <row r="198" spans="2:10" x14ac:dyDescent="0.45">
      <c r="B198" t="s">
        <v>481</v>
      </c>
      <c r="C198" t="s">
        <v>15</v>
      </c>
      <c r="D198">
        <v>0.33064346281171669</v>
      </c>
      <c r="E198" t="s">
        <v>6</v>
      </c>
      <c r="G198" t="s">
        <v>482</v>
      </c>
      <c r="H198" t="s">
        <v>15</v>
      </c>
      <c r="I198">
        <v>6.8656069673170422E-2</v>
      </c>
      <c r="J198" t="s">
        <v>6</v>
      </c>
    </row>
    <row r="199" spans="2:10" x14ac:dyDescent="0.45">
      <c r="B199" t="s">
        <v>481</v>
      </c>
      <c r="C199" t="s">
        <v>16</v>
      </c>
      <c r="D199">
        <v>1.3622036614769153E-2</v>
      </c>
      <c r="E199" t="s">
        <v>6</v>
      </c>
      <c r="G199" t="s">
        <v>482</v>
      </c>
      <c r="H199" t="s">
        <v>16</v>
      </c>
      <c r="I199">
        <v>4.276594083078139E-2</v>
      </c>
      <c r="J199" t="s">
        <v>6</v>
      </c>
    </row>
    <row r="200" spans="2:10" x14ac:dyDescent="0.45">
      <c r="B200" t="s">
        <v>481</v>
      </c>
      <c r="C200" t="s">
        <v>17</v>
      </c>
      <c r="D200">
        <v>5.4842023089991007E-4</v>
      </c>
      <c r="E200" t="s">
        <v>6</v>
      </c>
      <c r="G200" t="s">
        <v>482</v>
      </c>
      <c r="H200" t="s">
        <v>17</v>
      </c>
      <c r="I200">
        <v>9.422806987161822E-2</v>
      </c>
      <c r="J200" t="s">
        <v>6</v>
      </c>
    </row>
    <row r="201" spans="2:10" x14ac:dyDescent="0.45">
      <c r="B201" t="s">
        <v>481</v>
      </c>
      <c r="C201" t="s">
        <v>18</v>
      </c>
      <c r="D201">
        <v>0.18818035922375409</v>
      </c>
      <c r="E201" t="s">
        <v>6</v>
      </c>
      <c r="G201" t="s">
        <v>482</v>
      </c>
      <c r="H201" t="s">
        <v>18</v>
      </c>
      <c r="I201">
        <v>0.10996551423526194</v>
      </c>
      <c r="J201" t="s">
        <v>6</v>
      </c>
    </row>
    <row r="202" spans="2:10" x14ac:dyDescent="0.45">
      <c r="B202" t="s">
        <v>481</v>
      </c>
      <c r="C202" t="s">
        <v>19</v>
      </c>
      <c r="D202">
        <v>1.2241423919993649E-3</v>
      </c>
      <c r="E202" t="s">
        <v>6</v>
      </c>
      <c r="G202" t="s">
        <v>482</v>
      </c>
      <c r="H202" t="s">
        <v>19</v>
      </c>
      <c r="I202">
        <v>6.9160711733324373E-2</v>
      </c>
      <c r="J202" t="s">
        <v>6</v>
      </c>
    </row>
    <row r="203" spans="2:10" x14ac:dyDescent="0.45">
      <c r="B203" t="s">
        <v>483</v>
      </c>
      <c r="C203" t="s">
        <v>5</v>
      </c>
      <c r="D203">
        <v>0</v>
      </c>
      <c r="E203" t="s">
        <v>6</v>
      </c>
      <c r="G203" t="s">
        <v>484</v>
      </c>
      <c r="H203" t="s">
        <v>5</v>
      </c>
      <c r="I203">
        <v>9.8347923283311753E-2</v>
      </c>
      <c r="J203" t="s">
        <v>6</v>
      </c>
    </row>
    <row r="204" spans="2:10" x14ac:dyDescent="0.45">
      <c r="B204" t="s">
        <v>483</v>
      </c>
      <c r="C204" t="s">
        <v>9</v>
      </c>
      <c r="D204">
        <v>0.1150429356708008</v>
      </c>
      <c r="E204" t="s">
        <v>6</v>
      </c>
      <c r="G204" t="s">
        <v>484</v>
      </c>
      <c r="H204" t="s">
        <v>9</v>
      </c>
      <c r="I204">
        <v>0.12625746284312012</v>
      </c>
      <c r="J204" t="s">
        <v>6</v>
      </c>
    </row>
    <row r="205" spans="2:10" x14ac:dyDescent="0.45">
      <c r="B205" t="s">
        <v>483</v>
      </c>
      <c r="C205" t="s">
        <v>10</v>
      </c>
      <c r="D205">
        <v>3.1300465704701952E-4</v>
      </c>
      <c r="E205" t="s">
        <v>6</v>
      </c>
      <c r="G205" t="s">
        <v>484</v>
      </c>
      <c r="H205" t="s">
        <v>10</v>
      </c>
      <c r="I205">
        <v>7.7074042952262056E-2</v>
      </c>
      <c r="J205" t="s">
        <v>6</v>
      </c>
    </row>
    <row r="206" spans="2:10" x14ac:dyDescent="0.45">
      <c r="B206" t="s">
        <v>483</v>
      </c>
      <c r="C206" t="s">
        <v>11</v>
      </c>
      <c r="D206">
        <v>2.4794144158149295E-3</v>
      </c>
      <c r="E206" t="s">
        <v>6</v>
      </c>
      <c r="G206" t="s">
        <v>484</v>
      </c>
      <c r="H206" t="s">
        <v>11</v>
      </c>
      <c r="I206">
        <v>8.4576613232454204E-2</v>
      </c>
      <c r="J206" t="s">
        <v>6</v>
      </c>
    </row>
    <row r="207" spans="2:10" x14ac:dyDescent="0.45">
      <c r="B207" t="s">
        <v>483</v>
      </c>
      <c r="C207" t="s">
        <v>12</v>
      </c>
      <c r="D207">
        <v>0.3065014613725433</v>
      </c>
      <c r="E207" t="s">
        <v>6</v>
      </c>
      <c r="G207" t="s">
        <v>484</v>
      </c>
      <c r="H207" t="s">
        <v>12</v>
      </c>
      <c r="I207">
        <v>9.9311305033221164E-2</v>
      </c>
      <c r="J207" t="s">
        <v>6</v>
      </c>
    </row>
    <row r="208" spans="2:10" x14ac:dyDescent="0.45">
      <c r="B208" t="s">
        <v>483</v>
      </c>
      <c r="C208" t="s">
        <v>13</v>
      </c>
      <c r="D208">
        <v>1.2399536695529267E-2</v>
      </c>
      <c r="E208" t="s">
        <v>6</v>
      </c>
      <c r="G208" t="s">
        <v>484</v>
      </c>
      <c r="H208" t="s">
        <v>13</v>
      </c>
      <c r="I208">
        <v>6.7155435108711387E-2</v>
      </c>
      <c r="J208" t="s">
        <v>6</v>
      </c>
    </row>
    <row r="209" spans="2:10" x14ac:dyDescent="0.45">
      <c r="B209" t="s">
        <v>483</v>
      </c>
      <c r="C209" t="s">
        <v>14</v>
      </c>
      <c r="D209">
        <v>5.6582765287768065E-3</v>
      </c>
      <c r="E209" t="s">
        <v>6</v>
      </c>
      <c r="G209" t="s">
        <v>484</v>
      </c>
      <c r="H209" t="s">
        <v>14</v>
      </c>
      <c r="I209">
        <v>5.9662453018701253E-2</v>
      </c>
      <c r="J209" t="s">
        <v>6</v>
      </c>
    </row>
    <row r="210" spans="2:10" x14ac:dyDescent="0.45">
      <c r="B210" t="s">
        <v>483</v>
      </c>
      <c r="C210" t="s">
        <v>15</v>
      </c>
      <c r="D210">
        <v>0.3489290109040713</v>
      </c>
      <c r="E210" t="s">
        <v>6</v>
      </c>
      <c r="G210" t="s">
        <v>484</v>
      </c>
      <c r="H210" t="s">
        <v>15</v>
      </c>
      <c r="I210">
        <v>7.0554882229093605E-2</v>
      </c>
      <c r="J210" t="s">
        <v>6</v>
      </c>
    </row>
    <row r="211" spans="2:10" x14ac:dyDescent="0.45">
      <c r="B211" t="s">
        <v>483</v>
      </c>
      <c r="C211" t="s">
        <v>16</v>
      </c>
      <c r="D211">
        <v>2.2097185486851179E-2</v>
      </c>
      <c r="E211" t="s">
        <v>6</v>
      </c>
      <c r="G211" t="s">
        <v>484</v>
      </c>
      <c r="H211" t="s">
        <v>16</v>
      </c>
      <c r="I211">
        <v>4.6611999734110385E-2</v>
      </c>
      <c r="J211" t="s">
        <v>6</v>
      </c>
    </row>
    <row r="212" spans="2:10" x14ac:dyDescent="0.45">
      <c r="B212" t="s">
        <v>483</v>
      </c>
      <c r="C212" t="s">
        <v>17</v>
      </c>
      <c r="D212">
        <v>1.3466910544235103E-4</v>
      </c>
      <c r="E212" t="s">
        <v>6</v>
      </c>
      <c r="G212" t="s">
        <v>484</v>
      </c>
      <c r="H212" t="s">
        <v>17</v>
      </c>
      <c r="I212">
        <v>8.8615757853639177E-2</v>
      </c>
      <c r="J212" t="s">
        <v>6</v>
      </c>
    </row>
    <row r="213" spans="2:10" x14ac:dyDescent="0.45">
      <c r="B213" t="s">
        <v>483</v>
      </c>
      <c r="C213" t="s">
        <v>18</v>
      </c>
      <c r="D213">
        <v>0.18443226836738016</v>
      </c>
      <c r="E213" t="s">
        <v>6</v>
      </c>
      <c r="G213" t="s">
        <v>484</v>
      </c>
      <c r="H213" t="s">
        <v>18</v>
      </c>
      <c r="I213">
        <v>0.11116793981831263</v>
      </c>
      <c r="J213" t="s">
        <v>6</v>
      </c>
    </row>
    <row r="214" spans="2:10" x14ac:dyDescent="0.45">
      <c r="B214" t="s">
        <v>483</v>
      </c>
      <c r="C214" t="s">
        <v>19</v>
      </c>
      <c r="D214">
        <v>2.0122367957419738E-3</v>
      </c>
      <c r="E214" t="s">
        <v>6</v>
      </c>
      <c r="G214" t="s">
        <v>484</v>
      </c>
      <c r="H214" t="s">
        <v>19</v>
      </c>
      <c r="I214">
        <v>7.0664184893066431E-2</v>
      </c>
      <c r="J214" t="s">
        <v>6</v>
      </c>
    </row>
    <row r="215" spans="2:10" x14ac:dyDescent="0.45">
      <c r="B215" t="s">
        <v>485</v>
      </c>
      <c r="C215" t="s">
        <v>5</v>
      </c>
      <c r="D215">
        <v>0</v>
      </c>
      <c r="E215" t="s">
        <v>6</v>
      </c>
      <c r="G215" t="s">
        <v>486</v>
      </c>
      <c r="H215" t="s">
        <v>5</v>
      </c>
      <c r="I215">
        <v>9.9566909791450067E-2</v>
      </c>
      <c r="J215" t="s">
        <v>6</v>
      </c>
    </row>
    <row r="216" spans="2:10" x14ac:dyDescent="0.45">
      <c r="B216" t="s">
        <v>485</v>
      </c>
      <c r="C216" t="s">
        <v>9</v>
      </c>
      <c r="D216">
        <v>0.11086262109419874</v>
      </c>
      <c r="E216" t="s">
        <v>6</v>
      </c>
      <c r="G216" t="s">
        <v>486</v>
      </c>
      <c r="H216" t="s">
        <v>9</v>
      </c>
      <c r="I216">
        <v>0.12360882240130289</v>
      </c>
      <c r="J216" t="s">
        <v>6</v>
      </c>
    </row>
    <row r="217" spans="2:10" x14ac:dyDescent="0.45">
      <c r="B217" t="s">
        <v>485</v>
      </c>
      <c r="C217" t="s">
        <v>10</v>
      </c>
      <c r="D217">
        <v>2.5996847910470726E-4</v>
      </c>
      <c r="E217" t="s">
        <v>6</v>
      </c>
      <c r="G217" t="s">
        <v>486</v>
      </c>
      <c r="H217" t="s">
        <v>10</v>
      </c>
      <c r="I217">
        <v>7.5060906353718648E-2</v>
      </c>
      <c r="J217" t="s">
        <v>6</v>
      </c>
    </row>
    <row r="218" spans="2:10" x14ac:dyDescent="0.45">
      <c r="B218" t="s">
        <v>485</v>
      </c>
      <c r="C218" t="s">
        <v>11</v>
      </c>
      <c r="D218">
        <v>2.8240739118072329E-3</v>
      </c>
      <c r="E218" t="s">
        <v>6</v>
      </c>
      <c r="G218" t="s">
        <v>486</v>
      </c>
      <c r="H218" t="s">
        <v>11</v>
      </c>
      <c r="I218">
        <v>8.3457226101902163E-2</v>
      </c>
      <c r="J218" t="s">
        <v>6</v>
      </c>
    </row>
    <row r="219" spans="2:10" x14ac:dyDescent="0.45">
      <c r="B219" t="s">
        <v>485</v>
      </c>
      <c r="C219" t="s">
        <v>12</v>
      </c>
      <c r="D219">
        <v>0.3084810864859322</v>
      </c>
      <c r="E219" t="s">
        <v>6</v>
      </c>
      <c r="G219" t="s">
        <v>486</v>
      </c>
      <c r="H219" t="s">
        <v>12</v>
      </c>
      <c r="I219">
        <v>9.6937911257046691E-2</v>
      </c>
      <c r="J219" t="s">
        <v>6</v>
      </c>
    </row>
    <row r="220" spans="2:10" x14ac:dyDescent="0.45">
      <c r="B220" t="s">
        <v>485</v>
      </c>
      <c r="C220" t="s">
        <v>13</v>
      </c>
      <c r="D220">
        <v>1.28204421659124E-2</v>
      </c>
      <c r="E220" t="s">
        <v>6</v>
      </c>
      <c r="G220" t="s">
        <v>486</v>
      </c>
      <c r="H220" t="s">
        <v>13</v>
      </c>
      <c r="I220">
        <v>6.2674381579311406E-2</v>
      </c>
      <c r="J220" t="s">
        <v>6</v>
      </c>
    </row>
    <row r="221" spans="2:10" x14ac:dyDescent="0.45">
      <c r="B221" t="s">
        <v>485</v>
      </c>
      <c r="C221" t="s">
        <v>14</v>
      </c>
      <c r="D221">
        <v>6.0111792866786801E-3</v>
      </c>
      <c r="E221" t="s">
        <v>6</v>
      </c>
      <c r="G221" t="s">
        <v>486</v>
      </c>
      <c r="H221" t="s">
        <v>14</v>
      </c>
      <c r="I221">
        <v>6.2844973934208306E-2</v>
      </c>
      <c r="J221" t="s">
        <v>6</v>
      </c>
    </row>
    <row r="222" spans="2:10" x14ac:dyDescent="0.45">
      <c r="B222" t="s">
        <v>485</v>
      </c>
      <c r="C222" t="s">
        <v>15</v>
      </c>
      <c r="D222">
        <v>0.34589394020823572</v>
      </c>
      <c r="E222" t="s">
        <v>6</v>
      </c>
      <c r="G222" t="s">
        <v>486</v>
      </c>
      <c r="H222" t="s">
        <v>15</v>
      </c>
      <c r="I222">
        <v>7.7487016525586608E-2</v>
      </c>
      <c r="J222" t="s">
        <v>6</v>
      </c>
    </row>
    <row r="223" spans="2:10" x14ac:dyDescent="0.45">
      <c r="B223" t="s">
        <v>485</v>
      </c>
      <c r="C223" t="s">
        <v>16</v>
      </c>
      <c r="D223">
        <v>2.3572399895149799E-2</v>
      </c>
      <c r="E223" t="s">
        <v>6</v>
      </c>
      <c r="G223" t="s">
        <v>486</v>
      </c>
      <c r="H223" t="s">
        <v>16</v>
      </c>
      <c r="I223">
        <v>4.8571792507966262E-2</v>
      </c>
      <c r="J223" t="s">
        <v>6</v>
      </c>
    </row>
    <row r="224" spans="2:10" x14ac:dyDescent="0.45">
      <c r="B224" t="s">
        <v>485</v>
      </c>
      <c r="C224" t="s">
        <v>17</v>
      </c>
      <c r="D224">
        <v>1.4129659963152587E-4</v>
      </c>
      <c r="E224" t="s">
        <v>6</v>
      </c>
      <c r="G224" t="s">
        <v>486</v>
      </c>
      <c r="H224" t="s">
        <v>17</v>
      </c>
      <c r="I224">
        <v>9.1758645677623499E-2</v>
      </c>
      <c r="J224" t="s">
        <v>6</v>
      </c>
    </row>
    <row r="225" spans="2:10" x14ac:dyDescent="0.45">
      <c r="B225" t="s">
        <v>485</v>
      </c>
      <c r="C225" t="s">
        <v>18</v>
      </c>
      <c r="D225">
        <v>0.1871497144690013</v>
      </c>
      <c r="E225" t="s">
        <v>6</v>
      </c>
      <c r="G225" t="s">
        <v>486</v>
      </c>
      <c r="H225" t="s">
        <v>18</v>
      </c>
      <c r="I225">
        <v>0.11034643857884663</v>
      </c>
      <c r="J225" t="s">
        <v>6</v>
      </c>
    </row>
    <row r="226" spans="2:10" x14ac:dyDescent="0.45">
      <c r="B226" t="s">
        <v>485</v>
      </c>
      <c r="C226" t="s">
        <v>19</v>
      </c>
      <c r="D226">
        <v>1.9832774043508157E-3</v>
      </c>
      <c r="E226" t="s">
        <v>6</v>
      </c>
      <c r="G226" t="s">
        <v>486</v>
      </c>
      <c r="H226" t="s">
        <v>19</v>
      </c>
      <c r="I226">
        <v>6.7684975291034608E-2</v>
      </c>
      <c r="J226" t="s">
        <v>6</v>
      </c>
    </row>
    <row r="227" spans="2:10" x14ac:dyDescent="0.45">
      <c r="B227" t="s">
        <v>487</v>
      </c>
      <c r="C227" t="s">
        <v>5</v>
      </c>
      <c r="D227">
        <v>0</v>
      </c>
      <c r="E227" t="s">
        <v>6</v>
      </c>
      <c r="G227" t="s">
        <v>488</v>
      </c>
      <c r="H227" t="s">
        <v>5</v>
      </c>
      <c r="I227">
        <v>0.10356609558185817</v>
      </c>
      <c r="J227" t="s">
        <v>6</v>
      </c>
    </row>
    <row r="228" spans="2:10" x14ac:dyDescent="0.45">
      <c r="B228" t="s">
        <v>487</v>
      </c>
      <c r="C228" t="s">
        <v>9</v>
      </c>
      <c r="D228">
        <v>0.10396782068751098</v>
      </c>
      <c r="E228" t="s">
        <v>6</v>
      </c>
      <c r="G228" t="s">
        <v>488</v>
      </c>
      <c r="H228" t="s">
        <v>9</v>
      </c>
      <c r="I228">
        <v>0.12843354256016465</v>
      </c>
      <c r="J228" t="s">
        <v>6</v>
      </c>
    </row>
    <row r="229" spans="2:10" x14ac:dyDescent="0.45">
      <c r="B229" t="s">
        <v>487</v>
      </c>
      <c r="C229" t="s">
        <v>10</v>
      </c>
      <c r="D229">
        <v>2.0459874061879769E-4</v>
      </c>
      <c r="E229" t="s">
        <v>6</v>
      </c>
      <c r="G229" t="s">
        <v>488</v>
      </c>
      <c r="H229" t="s">
        <v>10</v>
      </c>
      <c r="I229">
        <v>7.8592923044640398E-2</v>
      </c>
      <c r="J229" t="s">
        <v>6</v>
      </c>
    </row>
    <row r="230" spans="2:10" x14ac:dyDescent="0.45">
      <c r="B230" t="s">
        <v>487</v>
      </c>
      <c r="C230" t="s">
        <v>11</v>
      </c>
      <c r="D230">
        <v>3.3159446072433783E-3</v>
      </c>
      <c r="E230" t="s">
        <v>6</v>
      </c>
      <c r="G230" t="s">
        <v>488</v>
      </c>
      <c r="H230" t="s">
        <v>11</v>
      </c>
      <c r="I230">
        <v>8.2315253915368647E-2</v>
      </c>
      <c r="J230" t="s">
        <v>6</v>
      </c>
    </row>
    <row r="231" spans="2:10" x14ac:dyDescent="0.45">
      <c r="B231" t="s">
        <v>487</v>
      </c>
      <c r="C231" t="s">
        <v>12</v>
      </c>
      <c r="D231">
        <v>0.31091301569275426</v>
      </c>
      <c r="E231" t="s">
        <v>6</v>
      </c>
      <c r="G231" t="s">
        <v>488</v>
      </c>
      <c r="H231" t="s">
        <v>12</v>
      </c>
      <c r="I231">
        <v>9.9679336762707821E-2</v>
      </c>
      <c r="J231" t="s">
        <v>6</v>
      </c>
    </row>
    <row r="232" spans="2:10" x14ac:dyDescent="0.45">
      <c r="B232" t="s">
        <v>487</v>
      </c>
      <c r="C232" t="s">
        <v>13</v>
      </c>
      <c r="D232">
        <v>1.1261489510055825E-2</v>
      </c>
      <c r="E232" t="s">
        <v>6</v>
      </c>
      <c r="G232" t="s">
        <v>488</v>
      </c>
      <c r="H232" t="s">
        <v>13</v>
      </c>
      <c r="I232">
        <v>6.2364906202820959E-2</v>
      </c>
      <c r="J232" t="s">
        <v>6</v>
      </c>
    </row>
    <row r="233" spans="2:10" x14ac:dyDescent="0.45">
      <c r="B233" t="s">
        <v>487</v>
      </c>
      <c r="C233" t="s">
        <v>14</v>
      </c>
      <c r="D233">
        <v>7.1145946950571873E-3</v>
      </c>
      <c r="E233" t="s">
        <v>6</v>
      </c>
      <c r="G233" t="s">
        <v>488</v>
      </c>
      <c r="H233" t="s">
        <v>14</v>
      </c>
      <c r="I233">
        <v>5.7993495598041893E-2</v>
      </c>
      <c r="J233" t="s">
        <v>6</v>
      </c>
    </row>
    <row r="234" spans="2:10" x14ac:dyDescent="0.45">
      <c r="B234" t="s">
        <v>487</v>
      </c>
      <c r="C234" t="s">
        <v>15</v>
      </c>
      <c r="D234">
        <v>0.35357716260803052</v>
      </c>
      <c r="E234" t="s">
        <v>6</v>
      </c>
      <c r="G234" t="s">
        <v>488</v>
      </c>
      <c r="H234" t="s">
        <v>15</v>
      </c>
      <c r="I234">
        <v>7.2309718476519985E-2</v>
      </c>
      <c r="J234" t="s">
        <v>6</v>
      </c>
    </row>
    <row r="235" spans="2:10" x14ac:dyDescent="0.45">
      <c r="B235" t="s">
        <v>487</v>
      </c>
      <c r="C235" t="s">
        <v>16</v>
      </c>
      <c r="D235">
        <v>2.0776118624807115E-2</v>
      </c>
      <c r="E235" t="s">
        <v>6</v>
      </c>
      <c r="G235" t="s">
        <v>488</v>
      </c>
      <c r="H235" t="s">
        <v>16</v>
      </c>
      <c r="I235">
        <v>4.5507150695761278E-2</v>
      </c>
      <c r="J235" t="s">
        <v>6</v>
      </c>
    </row>
    <row r="236" spans="2:10" x14ac:dyDescent="0.45">
      <c r="B236" t="s">
        <v>487</v>
      </c>
      <c r="C236" t="s">
        <v>17</v>
      </c>
      <c r="D236">
        <v>1.9407368150428121E-4</v>
      </c>
      <c r="E236" t="s">
        <v>6</v>
      </c>
      <c r="G236" t="s">
        <v>488</v>
      </c>
      <c r="H236" t="s">
        <v>17</v>
      </c>
      <c r="I236">
        <v>9.0329785130959128E-2</v>
      </c>
      <c r="J236" t="s">
        <v>6</v>
      </c>
    </row>
    <row r="237" spans="2:10" x14ac:dyDescent="0.45">
      <c r="B237" t="s">
        <v>487</v>
      </c>
      <c r="C237" t="s">
        <v>18</v>
      </c>
      <c r="D237">
        <v>0.1869410288185514</v>
      </c>
      <c r="E237" t="s">
        <v>6</v>
      </c>
      <c r="G237" t="s">
        <v>488</v>
      </c>
      <c r="H237" t="s">
        <v>18</v>
      </c>
      <c r="I237">
        <v>0.11041593514415009</v>
      </c>
      <c r="J237" t="s">
        <v>6</v>
      </c>
    </row>
    <row r="238" spans="2:10" x14ac:dyDescent="0.45">
      <c r="B238" t="s">
        <v>487</v>
      </c>
      <c r="C238" t="s">
        <v>19</v>
      </c>
      <c r="D238">
        <v>1.7341523338668791E-3</v>
      </c>
      <c r="E238" t="s">
        <v>6</v>
      </c>
      <c r="G238" t="s">
        <v>488</v>
      </c>
      <c r="H238" t="s">
        <v>19</v>
      </c>
      <c r="I238">
        <v>6.8491856887005181E-2</v>
      </c>
      <c r="J238" t="s">
        <v>6</v>
      </c>
    </row>
    <row r="239" spans="2:10" x14ac:dyDescent="0.45">
      <c r="B239" t="s">
        <v>489</v>
      </c>
      <c r="C239" t="s">
        <v>5</v>
      </c>
      <c r="D239">
        <v>0</v>
      </c>
      <c r="E239" t="s">
        <v>6</v>
      </c>
      <c r="G239" t="s">
        <v>490</v>
      </c>
      <c r="H239" t="s">
        <v>5</v>
      </c>
      <c r="I239">
        <v>0.11239999641965326</v>
      </c>
      <c r="J239" t="s">
        <v>6</v>
      </c>
    </row>
    <row r="240" spans="2:10" x14ac:dyDescent="0.45">
      <c r="B240" t="s">
        <v>489</v>
      </c>
      <c r="C240" t="s">
        <v>9</v>
      </c>
      <c r="D240">
        <v>0.10758040469231554</v>
      </c>
      <c r="E240" t="s">
        <v>6</v>
      </c>
      <c r="G240" t="s">
        <v>490</v>
      </c>
      <c r="H240" t="s">
        <v>9</v>
      </c>
      <c r="I240">
        <v>0.14063872598051658</v>
      </c>
      <c r="J240" t="s">
        <v>6</v>
      </c>
    </row>
    <row r="241" spans="2:10" x14ac:dyDescent="0.45">
      <c r="B241" t="s">
        <v>489</v>
      </c>
      <c r="C241" t="s">
        <v>10</v>
      </c>
      <c r="D241">
        <v>1.7563320361391362E-4</v>
      </c>
      <c r="E241" t="s">
        <v>6</v>
      </c>
      <c r="G241" t="s">
        <v>490</v>
      </c>
      <c r="H241" t="s">
        <v>10</v>
      </c>
      <c r="I241">
        <v>8.6474261460488658E-2</v>
      </c>
      <c r="J241" t="s">
        <v>6</v>
      </c>
    </row>
    <row r="242" spans="2:10" x14ac:dyDescent="0.45">
      <c r="B242" t="s">
        <v>489</v>
      </c>
      <c r="C242" t="s">
        <v>11</v>
      </c>
      <c r="D242">
        <v>3.3951251267136402E-3</v>
      </c>
      <c r="E242" t="s">
        <v>6</v>
      </c>
      <c r="G242" t="s">
        <v>490</v>
      </c>
      <c r="H242" t="s">
        <v>11</v>
      </c>
      <c r="I242">
        <v>7.4631608174047667E-2</v>
      </c>
      <c r="J242" t="s">
        <v>6</v>
      </c>
    </row>
    <row r="243" spans="2:10" x14ac:dyDescent="0.45">
      <c r="B243" t="s">
        <v>489</v>
      </c>
      <c r="C243" t="s">
        <v>12</v>
      </c>
      <c r="D243">
        <v>0.29970085534836427</v>
      </c>
      <c r="E243" t="s">
        <v>6</v>
      </c>
      <c r="G243" t="s">
        <v>490</v>
      </c>
      <c r="H243" t="s">
        <v>12</v>
      </c>
      <c r="I243">
        <v>8.472709345274361E-2</v>
      </c>
      <c r="J243" t="s">
        <v>6</v>
      </c>
    </row>
    <row r="244" spans="2:10" x14ac:dyDescent="0.45">
      <c r="B244" t="s">
        <v>489</v>
      </c>
      <c r="C244" t="s">
        <v>13</v>
      </c>
      <c r="D244">
        <v>9.6995491232739119E-3</v>
      </c>
      <c r="E244" t="s">
        <v>6</v>
      </c>
      <c r="G244" t="s">
        <v>490</v>
      </c>
      <c r="H244" t="s">
        <v>13</v>
      </c>
      <c r="I244">
        <v>5.9430723992933393E-2</v>
      </c>
      <c r="J244" t="s">
        <v>6</v>
      </c>
    </row>
    <row r="245" spans="2:10" x14ac:dyDescent="0.45">
      <c r="B245" t="s">
        <v>489</v>
      </c>
      <c r="C245" t="s">
        <v>14</v>
      </c>
      <c r="D245">
        <v>8.176396496298529E-3</v>
      </c>
      <c r="E245" t="s">
        <v>6</v>
      </c>
      <c r="G245" t="s">
        <v>490</v>
      </c>
      <c r="H245" t="s">
        <v>14</v>
      </c>
      <c r="I245">
        <v>5.5259941011077965E-2</v>
      </c>
      <c r="J245" t="s">
        <v>6</v>
      </c>
    </row>
    <row r="246" spans="2:10" x14ac:dyDescent="0.45">
      <c r="B246" t="s">
        <v>489</v>
      </c>
      <c r="C246" t="s">
        <v>15</v>
      </c>
      <c r="D246">
        <v>0.37087062360742856</v>
      </c>
      <c r="E246" t="s">
        <v>6</v>
      </c>
      <c r="G246" t="s">
        <v>490</v>
      </c>
      <c r="H246" t="s">
        <v>15</v>
      </c>
      <c r="I246">
        <v>5.7321293395875592E-2</v>
      </c>
      <c r="J246" t="s">
        <v>6</v>
      </c>
    </row>
    <row r="247" spans="2:10" x14ac:dyDescent="0.45">
      <c r="B247" t="s">
        <v>489</v>
      </c>
      <c r="C247" t="s">
        <v>16</v>
      </c>
      <c r="D247">
        <v>1.8768204580756963E-2</v>
      </c>
      <c r="E247" t="s">
        <v>6</v>
      </c>
      <c r="G247" t="s">
        <v>490</v>
      </c>
      <c r="H247" t="s">
        <v>16</v>
      </c>
      <c r="I247">
        <v>3.9383901952269824E-2</v>
      </c>
      <c r="J247" t="s">
        <v>6</v>
      </c>
    </row>
    <row r="248" spans="2:10" x14ac:dyDescent="0.45">
      <c r="B248" t="s">
        <v>489</v>
      </c>
      <c r="C248" t="s">
        <v>17</v>
      </c>
      <c r="D248">
        <v>3.1960429503968721E-4</v>
      </c>
      <c r="E248" t="s">
        <v>6</v>
      </c>
      <c r="G248" t="s">
        <v>490</v>
      </c>
      <c r="H248" t="s">
        <v>17</v>
      </c>
      <c r="I248">
        <v>9.9743210068869298E-2</v>
      </c>
      <c r="J248" t="s">
        <v>6</v>
      </c>
    </row>
    <row r="249" spans="2:10" x14ac:dyDescent="0.45">
      <c r="B249" t="s">
        <v>489</v>
      </c>
      <c r="C249" t="s">
        <v>18</v>
      </c>
      <c r="D249">
        <v>0.17962635803711671</v>
      </c>
      <c r="E249" t="s">
        <v>6</v>
      </c>
      <c r="G249" t="s">
        <v>490</v>
      </c>
      <c r="H249" t="s">
        <v>18</v>
      </c>
      <c r="I249">
        <v>0.11474307041352258</v>
      </c>
      <c r="J249" t="s">
        <v>6</v>
      </c>
    </row>
    <row r="250" spans="2:10" x14ac:dyDescent="0.45">
      <c r="B250" t="s">
        <v>489</v>
      </c>
      <c r="C250" t="s">
        <v>19</v>
      </c>
      <c r="D250">
        <v>1.6872454890761415E-3</v>
      </c>
      <c r="E250" t="s">
        <v>6</v>
      </c>
      <c r="G250" t="s">
        <v>490</v>
      </c>
      <c r="H250" t="s">
        <v>19</v>
      </c>
      <c r="I250">
        <v>7.5246173678000683E-2</v>
      </c>
      <c r="J250" t="s">
        <v>6</v>
      </c>
    </row>
    <row r="251" spans="2:10" x14ac:dyDescent="0.45">
      <c r="B251" t="s">
        <v>491</v>
      </c>
      <c r="C251" t="s">
        <v>5</v>
      </c>
      <c r="D251">
        <v>0</v>
      </c>
      <c r="E251" t="s">
        <v>6</v>
      </c>
      <c r="G251" t="s">
        <v>492</v>
      </c>
      <c r="H251" t="s">
        <v>5</v>
      </c>
      <c r="I251">
        <v>0.10516323337108706</v>
      </c>
      <c r="J251" t="s">
        <v>6</v>
      </c>
    </row>
    <row r="252" spans="2:10" x14ac:dyDescent="0.45">
      <c r="B252" t="s">
        <v>491</v>
      </c>
      <c r="C252" t="s">
        <v>9</v>
      </c>
      <c r="D252">
        <v>0.11474622526600156</v>
      </c>
      <c r="E252" t="s">
        <v>6</v>
      </c>
      <c r="G252" t="s">
        <v>492</v>
      </c>
      <c r="H252" t="s">
        <v>9</v>
      </c>
      <c r="I252">
        <v>0.13141406906214126</v>
      </c>
      <c r="J252" t="s">
        <v>6</v>
      </c>
    </row>
    <row r="253" spans="2:10" x14ac:dyDescent="0.45">
      <c r="B253" t="s">
        <v>491</v>
      </c>
      <c r="C253" t="s">
        <v>10</v>
      </c>
      <c r="D253">
        <v>1.7398275855674161E-4</v>
      </c>
      <c r="E253" t="s">
        <v>6</v>
      </c>
      <c r="G253" t="s">
        <v>492</v>
      </c>
      <c r="H253" t="s">
        <v>10</v>
      </c>
      <c r="I253">
        <v>8.0841705347883874E-2</v>
      </c>
      <c r="J253" t="s">
        <v>6</v>
      </c>
    </row>
    <row r="254" spans="2:10" x14ac:dyDescent="0.45">
      <c r="B254" t="s">
        <v>491</v>
      </c>
      <c r="C254" t="s">
        <v>11</v>
      </c>
      <c r="D254">
        <v>3.6677277367385365E-3</v>
      </c>
      <c r="E254" t="s">
        <v>6</v>
      </c>
      <c r="G254" t="s">
        <v>492</v>
      </c>
      <c r="H254" t="s">
        <v>11</v>
      </c>
      <c r="I254">
        <v>8.2456138839308052E-2</v>
      </c>
      <c r="J254" t="s">
        <v>6</v>
      </c>
    </row>
    <row r="255" spans="2:10" x14ac:dyDescent="0.45">
      <c r="B255" t="s">
        <v>491</v>
      </c>
      <c r="C255" t="s">
        <v>12</v>
      </c>
      <c r="D255">
        <v>0.29608483155893595</v>
      </c>
      <c r="E255" t="s">
        <v>6</v>
      </c>
      <c r="G255" t="s">
        <v>492</v>
      </c>
      <c r="H255" t="s">
        <v>12</v>
      </c>
      <c r="I255">
        <v>8.3616761595381395E-2</v>
      </c>
      <c r="J255" t="s">
        <v>6</v>
      </c>
    </row>
    <row r="256" spans="2:10" x14ac:dyDescent="0.45">
      <c r="B256" t="s">
        <v>491</v>
      </c>
      <c r="C256" t="s">
        <v>13</v>
      </c>
      <c r="D256">
        <v>8.8321263290424869E-3</v>
      </c>
      <c r="E256" t="s">
        <v>6</v>
      </c>
      <c r="G256" t="s">
        <v>492</v>
      </c>
      <c r="H256" t="s">
        <v>13</v>
      </c>
      <c r="I256">
        <v>6.4907942399517485E-2</v>
      </c>
      <c r="J256" t="s">
        <v>6</v>
      </c>
    </row>
    <row r="257" spans="2:10" x14ac:dyDescent="0.45">
      <c r="B257" t="s">
        <v>491</v>
      </c>
      <c r="C257" t="s">
        <v>14</v>
      </c>
      <c r="D257">
        <v>8.4046613095145068E-3</v>
      </c>
      <c r="E257" t="s">
        <v>6</v>
      </c>
      <c r="G257" t="s">
        <v>492</v>
      </c>
      <c r="H257" t="s">
        <v>14</v>
      </c>
      <c r="I257">
        <v>5.8426234703366421E-2</v>
      </c>
      <c r="J257" t="s">
        <v>6</v>
      </c>
    </row>
    <row r="258" spans="2:10" x14ac:dyDescent="0.45">
      <c r="B258" t="s">
        <v>491</v>
      </c>
      <c r="C258" t="s">
        <v>15</v>
      </c>
      <c r="D258">
        <v>0.36501066308708768</v>
      </c>
      <c r="E258" t="s">
        <v>6</v>
      </c>
      <c r="G258" t="s">
        <v>492</v>
      </c>
      <c r="H258" t="s">
        <v>15</v>
      </c>
      <c r="I258">
        <v>6.5525333256743562E-2</v>
      </c>
      <c r="J258" t="s">
        <v>6</v>
      </c>
    </row>
    <row r="259" spans="2:10" x14ac:dyDescent="0.45">
      <c r="B259" t="s">
        <v>491</v>
      </c>
      <c r="C259" t="s">
        <v>16</v>
      </c>
      <c r="D259">
        <v>1.740120396741102E-2</v>
      </c>
      <c r="E259" t="s">
        <v>6</v>
      </c>
      <c r="G259" t="s">
        <v>492</v>
      </c>
      <c r="H259" t="s">
        <v>16</v>
      </c>
      <c r="I259">
        <v>4.3307338043761322E-2</v>
      </c>
      <c r="J259" t="s">
        <v>6</v>
      </c>
    </row>
    <row r="260" spans="2:10" x14ac:dyDescent="0.45">
      <c r="B260" t="s">
        <v>491</v>
      </c>
      <c r="C260" t="s">
        <v>17</v>
      </c>
      <c r="D260">
        <v>4.4889919301906509E-4</v>
      </c>
      <c r="E260" t="s">
        <v>6</v>
      </c>
      <c r="G260" t="s">
        <v>492</v>
      </c>
      <c r="H260" t="s">
        <v>17</v>
      </c>
      <c r="I260">
        <v>9.4743918406279715E-2</v>
      </c>
      <c r="J260" t="s">
        <v>6</v>
      </c>
    </row>
    <row r="261" spans="2:10" x14ac:dyDescent="0.45">
      <c r="B261" t="s">
        <v>491</v>
      </c>
      <c r="C261" t="s">
        <v>18</v>
      </c>
      <c r="D261">
        <v>0.18367737210036827</v>
      </c>
      <c r="E261" t="s">
        <v>6</v>
      </c>
      <c r="G261" t="s">
        <v>492</v>
      </c>
      <c r="H261" t="s">
        <v>18</v>
      </c>
      <c r="I261">
        <v>0.113852947361543</v>
      </c>
      <c r="J261" t="s">
        <v>6</v>
      </c>
    </row>
    <row r="262" spans="2:10" x14ac:dyDescent="0.45">
      <c r="B262" t="s">
        <v>491</v>
      </c>
      <c r="C262" t="s">
        <v>19</v>
      </c>
      <c r="D262">
        <v>1.5523066933247401E-3</v>
      </c>
      <c r="E262" t="s">
        <v>6</v>
      </c>
      <c r="G262" t="s">
        <v>492</v>
      </c>
      <c r="H262" t="s">
        <v>19</v>
      </c>
      <c r="I262">
        <v>7.5744377612983263E-2</v>
      </c>
      <c r="J262" t="s">
        <v>6</v>
      </c>
    </row>
    <row r="263" spans="2:10" x14ac:dyDescent="0.45">
      <c r="B263" t="s">
        <v>493</v>
      </c>
      <c r="C263" t="s">
        <v>5</v>
      </c>
      <c r="D263">
        <v>0</v>
      </c>
      <c r="E263" t="s">
        <v>6</v>
      </c>
      <c r="G263" t="s">
        <v>494</v>
      </c>
      <c r="H263" t="s">
        <v>5</v>
      </c>
      <c r="I263">
        <v>0.1072466073893433</v>
      </c>
      <c r="J263" t="s">
        <v>6</v>
      </c>
    </row>
    <row r="264" spans="2:10" x14ac:dyDescent="0.45">
      <c r="B264" t="s">
        <v>493</v>
      </c>
      <c r="C264" t="s">
        <v>9</v>
      </c>
      <c r="D264">
        <v>0.12845228823436311</v>
      </c>
      <c r="E264" t="s">
        <v>6</v>
      </c>
      <c r="G264" t="s">
        <v>494</v>
      </c>
      <c r="H264" t="s">
        <v>9</v>
      </c>
      <c r="I264">
        <v>0.13102128437690552</v>
      </c>
      <c r="J264" t="s">
        <v>6</v>
      </c>
    </row>
    <row r="265" spans="2:10" x14ac:dyDescent="0.45">
      <c r="B265" t="s">
        <v>493</v>
      </c>
      <c r="C265" t="s">
        <v>10</v>
      </c>
      <c r="D265">
        <v>4.4339678048816561E-4</v>
      </c>
      <c r="E265" t="s">
        <v>6</v>
      </c>
      <c r="G265" t="s">
        <v>494</v>
      </c>
      <c r="H265" t="s">
        <v>10</v>
      </c>
      <c r="I265">
        <v>7.8794520413924277E-2</v>
      </c>
      <c r="J265" t="s">
        <v>6</v>
      </c>
    </row>
    <row r="266" spans="2:10" x14ac:dyDescent="0.45">
      <c r="B266" t="s">
        <v>493</v>
      </c>
      <c r="C266" t="s">
        <v>11</v>
      </c>
      <c r="D266">
        <v>2.4025774754287358E-3</v>
      </c>
      <c r="E266" t="s">
        <v>6</v>
      </c>
      <c r="G266" t="s">
        <v>494</v>
      </c>
      <c r="H266" t="s">
        <v>11</v>
      </c>
      <c r="I266">
        <v>8.0608048807659968E-2</v>
      </c>
      <c r="J266" t="s">
        <v>6</v>
      </c>
    </row>
    <row r="267" spans="2:10" x14ac:dyDescent="0.45">
      <c r="B267" t="s">
        <v>493</v>
      </c>
      <c r="C267" t="s">
        <v>12</v>
      </c>
      <c r="D267">
        <v>0.28860180216569281</v>
      </c>
      <c r="E267" t="s">
        <v>6</v>
      </c>
      <c r="G267" t="s">
        <v>494</v>
      </c>
      <c r="H267" t="s">
        <v>12</v>
      </c>
      <c r="I267">
        <v>9.0392986432225902E-2</v>
      </c>
      <c r="J267" t="s">
        <v>6</v>
      </c>
    </row>
    <row r="268" spans="2:10" x14ac:dyDescent="0.45">
      <c r="B268" t="s">
        <v>493</v>
      </c>
      <c r="C268" t="s">
        <v>13</v>
      </c>
      <c r="D268">
        <v>1.0315920910362009E-2</v>
      </c>
      <c r="E268" t="s">
        <v>6</v>
      </c>
      <c r="G268" t="s">
        <v>494</v>
      </c>
      <c r="H268" t="s">
        <v>13</v>
      </c>
      <c r="I268">
        <v>6.2885170943454305E-2</v>
      </c>
      <c r="J268" t="s">
        <v>6</v>
      </c>
    </row>
    <row r="269" spans="2:10" x14ac:dyDescent="0.45">
      <c r="B269" t="s">
        <v>493</v>
      </c>
      <c r="C269" t="s">
        <v>14</v>
      </c>
      <c r="D269">
        <v>5.5944629847155302E-3</v>
      </c>
      <c r="E269" t="s">
        <v>6</v>
      </c>
      <c r="G269" t="s">
        <v>494</v>
      </c>
      <c r="H269" t="s">
        <v>14</v>
      </c>
      <c r="I269">
        <v>5.6968789135562095E-2</v>
      </c>
      <c r="J269" t="s">
        <v>6</v>
      </c>
    </row>
    <row r="270" spans="2:10" x14ac:dyDescent="0.45">
      <c r="B270" t="s">
        <v>493</v>
      </c>
      <c r="C270" t="s">
        <v>15</v>
      </c>
      <c r="D270">
        <v>0.35467309800702318</v>
      </c>
      <c r="E270" t="s">
        <v>6</v>
      </c>
      <c r="G270" t="s">
        <v>494</v>
      </c>
      <c r="H270" t="s">
        <v>15</v>
      </c>
      <c r="I270">
        <v>6.6880219416863715E-2</v>
      </c>
      <c r="J270" t="s">
        <v>6</v>
      </c>
    </row>
    <row r="271" spans="2:10" x14ac:dyDescent="0.45">
      <c r="B271" t="s">
        <v>493</v>
      </c>
      <c r="C271" t="s">
        <v>16</v>
      </c>
      <c r="D271">
        <v>2.0560513045834658E-2</v>
      </c>
      <c r="E271" t="s">
        <v>6</v>
      </c>
      <c r="G271" t="s">
        <v>494</v>
      </c>
      <c r="H271" t="s">
        <v>16</v>
      </c>
      <c r="I271">
        <v>4.4049174254820044E-2</v>
      </c>
      <c r="J271" t="s">
        <v>6</v>
      </c>
    </row>
    <row r="272" spans="2:10" x14ac:dyDescent="0.45">
      <c r="B272" t="s">
        <v>493</v>
      </c>
      <c r="C272" t="s">
        <v>17</v>
      </c>
      <c r="D272">
        <v>1.8755398916368835E-4</v>
      </c>
      <c r="E272" t="s">
        <v>6</v>
      </c>
      <c r="G272" t="s">
        <v>494</v>
      </c>
      <c r="H272" t="s">
        <v>17</v>
      </c>
      <c r="I272">
        <v>9.4489350688620966E-2</v>
      </c>
      <c r="J272" t="s">
        <v>6</v>
      </c>
    </row>
    <row r="273" spans="2:10" x14ac:dyDescent="0.45">
      <c r="B273" t="s">
        <v>493</v>
      </c>
      <c r="C273" t="s">
        <v>18</v>
      </c>
      <c r="D273">
        <v>0.18659712287324776</v>
      </c>
      <c r="E273" t="s">
        <v>6</v>
      </c>
      <c r="G273" t="s">
        <v>494</v>
      </c>
      <c r="H273" t="s">
        <v>18</v>
      </c>
      <c r="I273">
        <v>0.11453546108906153</v>
      </c>
      <c r="J273" t="s">
        <v>6</v>
      </c>
    </row>
    <row r="274" spans="2:10" x14ac:dyDescent="0.45">
      <c r="B274" t="s">
        <v>493</v>
      </c>
      <c r="C274" t="s">
        <v>19</v>
      </c>
      <c r="D274">
        <v>2.1712635336787311E-3</v>
      </c>
      <c r="E274" t="s">
        <v>6</v>
      </c>
      <c r="G274" t="s">
        <v>494</v>
      </c>
      <c r="H274" t="s">
        <v>19</v>
      </c>
      <c r="I274">
        <v>7.2128387051556442E-2</v>
      </c>
      <c r="J274" t="s">
        <v>6</v>
      </c>
    </row>
    <row r="275" spans="2:10" x14ac:dyDescent="0.45">
      <c r="B275" t="s">
        <v>495</v>
      </c>
      <c r="C275" t="s">
        <v>5</v>
      </c>
      <c r="D275">
        <v>0</v>
      </c>
      <c r="E275" t="s">
        <v>6</v>
      </c>
    </row>
    <row r="276" spans="2:10" x14ac:dyDescent="0.45">
      <c r="B276" t="s">
        <v>495</v>
      </c>
      <c r="C276" t="s">
        <v>9</v>
      </c>
      <c r="D276">
        <v>0.113156937509026</v>
      </c>
      <c r="E276" t="s">
        <v>6</v>
      </c>
    </row>
    <row r="277" spans="2:10" x14ac:dyDescent="0.45">
      <c r="B277" t="s">
        <v>495</v>
      </c>
      <c r="C277" t="s">
        <v>10</v>
      </c>
      <c r="D277">
        <v>3.9502006400379363E-4</v>
      </c>
      <c r="E277" t="s">
        <v>6</v>
      </c>
    </row>
    <row r="278" spans="2:10" x14ac:dyDescent="0.45">
      <c r="B278" t="s">
        <v>495</v>
      </c>
      <c r="C278" t="s">
        <v>11</v>
      </c>
      <c r="D278">
        <v>2.3876572320923467E-3</v>
      </c>
      <c r="E278" t="s">
        <v>6</v>
      </c>
    </row>
    <row r="279" spans="2:10" x14ac:dyDescent="0.45">
      <c r="B279" t="s">
        <v>495</v>
      </c>
      <c r="C279" t="s">
        <v>12</v>
      </c>
      <c r="D279">
        <v>0.29778652428550251</v>
      </c>
      <c r="E279" t="s">
        <v>6</v>
      </c>
    </row>
    <row r="280" spans="2:10" x14ac:dyDescent="0.45">
      <c r="B280" t="s">
        <v>495</v>
      </c>
      <c r="C280" t="s">
        <v>13</v>
      </c>
      <c r="D280">
        <v>1.1628995049017005E-2</v>
      </c>
      <c r="E280" t="s">
        <v>6</v>
      </c>
    </row>
    <row r="281" spans="2:10" x14ac:dyDescent="0.45">
      <c r="B281" t="s">
        <v>495</v>
      </c>
      <c r="C281" t="s">
        <v>14</v>
      </c>
      <c r="D281">
        <v>5.7969749434086679E-3</v>
      </c>
      <c r="E281" t="s">
        <v>6</v>
      </c>
    </row>
    <row r="282" spans="2:10" x14ac:dyDescent="0.45">
      <c r="B282" t="s">
        <v>495</v>
      </c>
      <c r="C282" t="s">
        <v>15</v>
      </c>
      <c r="D282">
        <v>0.36173921098852169</v>
      </c>
      <c r="E282" t="s">
        <v>6</v>
      </c>
    </row>
    <row r="283" spans="2:10" x14ac:dyDescent="0.45">
      <c r="B283" t="s">
        <v>495</v>
      </c>
      <c r="C283" t="s">
        <v>16</v>
      </c>
      <c r="D283">
        <v>2.1632490031173835E-2</v>
      </c>
      <c r="E283" t="s">
        <v>6</v>
      </c>
    </row>
    <row r="284" spans="2:10" x14ac:dyDescent="0.45">
      <c r="B284" t="s">
        <v>495</v>
      </c>
      <c r="C284" t="s">
        <v>17</v>
      </c>
      <c r="D284">
        <v>1.7003352308284206E-4</v>
      </c>
      <c r="E284" t="s">
        <v>6</v>
      </c>
    </row>
    <row r="285" spans="2:10" x14ac:dyDescent="0.45">
      <c r="B285" t="s">
        <v>495</v>
      </c>
      <c r="C285" t="s">
        <v>18</v>
      </c>
      <c r="D285">
        <v>0.18305697970668802</v>
      </c>
      <c r="E285" t="s">
        <v>6</v>
      </c>
    </row>
    <row r="286" spans="2:10" x14ac:dyDescent="0.45">
      <c r="B286" t="s">
        <v>495</v>
      </c>
      <c r="C286" t="s">
        <v>19</v>
      </c>
      <c r="D286">
        <v>2.2491766674818904E-3</v>
      </c>
      <c r="E286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F068-F189-48DE-9381-4B67D14A1F8F}">
  <dimension ref="B9:CI65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region=DEU")</f>
        <v>~TFM_DINS-TSL: attribute=FLO_EMIS; other_indexes=ACT; region=DEU</v>
      </c>
      <c r="Q9" t="str">
        <f>IF(A11="x","DeActivated","~TFM_DINS-TSL: attribute=FLO_SHAR; limtype=FX; region=DEU")</f>
        <v>~TFM_DINS-TSL: attribute=FLO_SHAR; limtype=FX; region=DEU</v>
      </c>
      <c r="AF9" t="str">
        <f>IF(A11="x","DeActivated","~TFM_DINS-TSL: attribute=FLO_SHAR; limtype=FX; region=DEU")</f>
        <v>~TFM_DINS-TSL: attribute=FLO_SHAR; limtype=FX; region=DEU</v>
      </c>
      <c r="AU9" t="str">
        <f>IF(A11="x","DeActivated","~TFM_DINS-TSL: attribute=FLO_SHAR; limtype=FX; region=DEU")</f>
        <v>~TFM_DINS-TSL: attribute=FLO_SHAR; limtype=FX; region=DEU</v>
      </c>
      <c r="BJ9" t="str">
        <f>IF(A11="x","DeActivated","~TFM_INS: region=DEU")</f>
        <v>~TFM_INS: region=DEU</v>
      </c>
      <c r="BR9" t="str">
        <f>IF(A11="x","DeActivated","~TFM_DINS-TSL: attribute=NCAP_PKCNT; region=DEU")</f>
        <v>~TFM_DINS-TSL: attribute=NCAP_PKCNT; region=DEU</v>
      </c>
      <c r="CF9" t="str">
        <f>IF(A11="x","DeActivated","~TFM_DINS-AT: region=DEU")</f>
        <v>~TFM_DINS-AT: region=DEU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496</v>
      </c>
      <c r="C11" t="s">
        <v>99</v>
      </c>
      <c r="D11">
        <v>0</v>
      </c>
      <c r="E11">
        <v>0.46685816315581402</v>
      </c>
      <c r="F11">
        <v>0.98135676516532389</v>
      </c>
      <c r="G11">
        <v>0.85186139615839696</v>
      </c>
      <c r="H11">
        <v>0.25317509595335819</v>
      </c>
      <c r="I11">
        <v>0.72655443064497016</v>
      </c>
      <c r="J11">
        <v>0.76329881204367278</v>
      </c>
      <c r="K11">
        <v>0.17715088943698082</v>
      </c>
      <c r="L11">
        <v>0.62612759335243073</v>
      </c>
      <c r="M11">
        <v>0.95938766714852786</v>
      </c>
      <c r="N11">
        <v>0.36997045062009731</v>
      </c>
      <c r="O11">
        <v>0.92189235575942874</v>
      </c>
      <c r="Q11" t="s">
        <v>496</v>
      </c>
      <c r="R11" t="s">
        <v>100</v>
      </c>
      <c r="S11">
        <v>0</v>
      </c>
      <c r="T11">
        <v>0.28340512245705324</v>
      </c>
      <c r="U11">
        <v>0.22803034993302074</v>
      </c>
      <c r="V11">
        <v>0.74263125625847393</v>
      </c>
      <c r="W11">
        <v>0.13963070752002493</v>
      </c>
      <c r="X11">
        <v>0.54704385432826419</v>
      </c>
      <c r="Y11">
        <v>0.61701995346648264</v>
      </c>
      <c r="Z11">
        <v>9.3434013703314778E-2</v>
      </c>
      <c r="AA11">
        <v>0.46251485012961691</v>
      </c>
      <c r="AB11">
        <v>0.92249972564908989</v>
      </c>
      <c r="AC11">
        <v>0.19632721719466095</v>
      </c>
      <c r="AD11">
        <v>0.51133085100293141</v>
      </c>
      <c r="AF11" t="s">
        <v>496</v>
      </c>
      <c r="AG11" t="s">
        <v>101</v>
      </c>
      <c r="AH11">
        <v>0</v>
      </c>
      <c r="AI11">
        <v>3.6343942401696992E-2</v>
      </c>
      <c r="AJ11">
        <v>0.73551958481087254</v>
      </c>
      <c r="AK11">
        <v>0</v>
      </c>
      <c r="AL11">
        <v>1.5553203996033403E-2</v>
      </c>
      <c r="AM11">
        <v>2.7729989934140976E-2</v>
      </c>
      <c r="AN11">
        <v>0</v>
      </c>
      <c r="AO11">
        <v>8.7779228120715529E-3</v>
      </c>
      <c r="AP11">
        <v>0</v>
      </c>
      <c r="AQ11">
        <v>0</v>
      </c>
      <c r="AR11">
        <v>4.0674705748713319E-2</v>
      </c>
      <c r="AS11">
        <v>0.27149198759416626</v>
      </c>
      <c r="AU11" t="s">
        <v>496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7.7604454527157432E-2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496</v>
      </c>
      <c r="BS11">
        <v>0</v>
      </c>
      <c r="BT11">
        <v>0.1048236009069652</v>
      </c>
      <c r="BU11">
        <v>1.9645019857801168E-4</v>
      </c>
      <c r="BV11">
        <v>5.5951449929833794E-3</v>
      </c>
      <c r="BW11">
        <v>0.31966236022089223</v>
      </c>
      <c r="BX11">
        <v>1.6247640539660196E-2</v>
      </c>
      <c r="BY11">
        <v>1.2057942095005755E-2</v>
      </c>
      <c r="BZ11">
        <v>0.39634791401284725</v>
      </c>
      <c r="CA11">
        <v>3.2118998117082569E-2</v>
      </c>
      <c r="CB11">
        <v>4.8637378487455328E-4</v>
      </c>
      <c r="CC11">
        <v>0.19478860686052274</v>
      </c>
      <c r="CD11">
        <v>2.468453710198007E-3</v>
      </c>
      <c r="CF11" t="s">
        <v>496</v>
      </c>
      <c r="CG11" t="s">
        <v>108</v>
      </c>
      <c r="CH11" t="s">
        <v>109</v>
      </c>
      <c r="CI11">
        <v>0.35144795477732488</v>
      </c>
    </row>
    <row r="12" spans="2:87" x14ac:dyDescent="0.45">
      <c r="B12" t="s">
        <v>497</v>
      </c>
      <c r="C12" t="s">
        <v>99</v>
      </c>
      <c r="D12">
        <v>0</v>
      </c>
      <c r="E12">
        <v>0.4594799364114609</v>
      </c>
      <c r="F12">
        <v>0.99173099527796604</v>
      </c>
      <c r="G12">
        <v>0.83800021740167208</v>
      </c>
      <c r="H12">
        <v>0.23923181237220326</v>
      </c>
      <c r="I12">
        <v>0.73636230851527662</v>
      </c>
      <c r="J12">
        <v>0.74839990480140772</v>
      </c>
      <c r="K12">
        <v>0.17835511495776896</v>
      </c>
      <c r="L12">
        <v>0.63496094996842212</v>
      </c>
      <c r="M12">
        <v>0.95227499763554568</v>
      </c>
      <c r="N12">
        <v>0.37561568863201306</v>
      </c>
      <c r="O12">
        <v>0.93011561445647895</v>
      </c>
      <c r="Q12" t="s">
        <v>497</v>
      </c>
      <c r="R12" t="s">
        <v>100</v>
      </c>
      <c r="S12">
        <v>0</v>
      </c>
      <c r="T12">
        <v>0.2915462164388507</v>
      </c>
      <c r="U12">
        <v>0.10733388215635954</v>
      </c>
      <c r="V12">
        <v>0.72274301315815381</v>
      </c>
      <c r="W12">
        <v>0.13047099185701286</v>
      </c>
      <c r="X12">
        <v>0.58652633668923737</v>
      </c>
      <c r="Y12">
        <v>0.60360905022202516</v>
      </c>
      <c r="Z12">
        <v>9.2008346990430478E-2</v>
      </c>
      <c r="AA12">
        <v>0.47237989171846234</v>
      </c>
      <c r="AB12">
        <v>0.91195334334676115</v>
      </c>
      <c r="AC12">
        <v>0.1988913394271575</v>
      </c>
      <c r="AD12">
        <v>0.63150140285382883</v>
      </c>
      <c r="AF12" t="s">
        <v>497</v>
      </c>
      <c r="AG12" t="s">
        <v>101</v>
      </c>
      <c r="AH12">
        <v>0</v>
      </c>
      <c r="AI12">
        <v>2.1591126085167864E-2</v>
      </c>
      <c r="AJ12">
        <v>0.87705095760102902</v>
      </c>
      <c r="AK12">
        <v>0</v>
      </c>
      <c r="AL12">
        <v>1.9978377564808095E-2</v>
      </c>
      <c r="AM12">
        <v>0</v>
      </c>
      <c r="AN12">
        <v>0</v>
      </c>
      <c r="AO12">
        <v>8.3659558852035264E-3</v>
      </c>
      <c r="AP12">
        <v>0</v>
      </c>
      <c r="AQ12">
        <v>0</v>
      </c>
      <c r="AR12">
        <v>4.6090686687015728E-2</v>
      </c>
      <c r="AS12">
        <v>0.15909712925408762</v>
      </c>
      <c r="AU12" t="s">
        <v>497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8.2870657999314548E-2</v>
      </c>
      <c r="BR12" t="s">
        <v>497</v>
      </c>
      <c r="BS12">
        <v>0</v>
      </c>
      <c r="BT12">
        <v>0.10234236700511477</v>
      </c>
      <c r="BU12">
        <v>7.427074754661282E-5</v>
      </c>
      <c r="BV12">
        <v>7.8180084069810682E-3</v>
      </c>
      <c r="BW12">
        <v>0.3301643416423336</v>
      </c>
      <c r="BX12">
        <v>1.4493969508640949E-2</v>
      </c>
      <c r="BY12">
        <v>1.4072561263868468E-2</v>
      </c>
      <c r="BZ12">
        <v>0.3980056684062227</v>
      </c>
      <c r="CA12">
        <v>2.8309188587830495E-2</v>
      </c>
      <c r="CB12">
        <v>8.8790863328257685E-4</v>
      </c>
      <c r="CC12">
        <v>0.18963256504005369</v>
      </c>
      <c r="CD12">
        <v>1.9637954110266497E-3</v>
      </c>
      <c r="CF12" t="s">
        <v>497</v>
      </c>
      <c r="CG12" t="s">
        <v>108</v>
      </c>
      <c r="CH12" t="s">
        <v>109</v>
      </c>
      <c r="CI12">
        <v>0.36466672619529172</v>
      </c>
    </row>
    <row r="13" spans="2:87" x14ac:dyDescent="0.45">
      <c r="B13" t="s">
        <v>498</v>
      </c>
      <c r="C13" t="s">
        <v>99</v>
      </c>
      <c r="D13">
        <v>0</v>
      </c>
      <c r="E13">
        <v>0.42533000791018744</v>
      </c>
      <c r="F13">
        <v>0.99444444444444435</v>
      </c>
      <c r="G13">
        <v>0.83004441033762366</v>
      </c>
      <c r="H13">
        <v>0.2497160159767772</v>
      </c>
      <c r="I13">
        <v>0.75221225547021675</v>
      </c>
      <c r="J13">
        <v>0.74934206598148678</v>
      </c>
      <c r="K13">
        <v>0.18421334171851103</v>
      </c>
      <c r="L13">
        <v>0.6529763588603783</v>
      </c>
      <c r="M13">
        <v>0.94590219160064259</v>
      </c>
      <c r="N13">
        <v>0.37770057306398186</v>
      </c>
      <c r="O13">
        <v>0.9408588754823991</v>
      </c>
      <c r="Q13" t="s">
        <v>498</v>
      </c>
      <c r="R13" t="s">
        <v>100</v>
      </c>
      <c r="S13">
        <v>0</v>
      </c>
      <c r="T13">
        <v>0.26534708604853913</v>
      </c>
      <c r="U13">
        <v>0.98891975308642011</v>
      </c>
      <c r="V13">
        <v>0.71663683038777304</v>
      </c>
      <c r="W13">
        <v>0.12633738653659174</v>
      </c>
      <c r="X13">
        <v>0.6053610222833411</v>
      </c>
      <c r="Y13">
        <v>0.60768196404533859</v>
      </c>
      <c r="Z13">
        <v>9.7797770612038037E-2</v>
      </c>
      <c r="AA13">
        <v>0.49113139768586234</v>
      </c>
      <c r="AB13">
        <v>0.90044841200742975</v>
      </c>
      <c r="AC13">
        <v>0.19663001622281601</v>
      </c>
      <c r="AD13">
        <v>0.60059283188673207</v>
      </c>
      <c r="AF13" t="s">
        <v>498</v>
      </c>
      <c r="AG13" t="s">
        <v>101</v>
      </c>
      <c r="AH13">
        <v>0</v>
      </c>
      <c r="AI13">
        <v>1.9247157873787751E-2</v>
      </c>
      <c r="AJ13">
        <v>0</v>
      </c>
      <c r="AK13">
        <v>0</v>
      </c>
      <c r="AL13">
        <v>2.7188218932699213E-2</v>
      </c>
      <c r="AM13">
        <v>0</v>
      </c>
      <c r="AN13">
        <v>0</v>
      </c>
      <c r="AO13">
        <v>6.8781124533197719E-3</v>
      </c>
      <c r="AP13">
        <v>0</v>
      </c>
      <c r="AQ13">
        <v>0</v>
      </c>
      <c r="AR13">
        <v>4.933805745675772E-2</v>
      </c>
      <c r="AS13">
        <v>0.28857050098674403</v>
      </c>
      <c r="AU13" t="s">
        <v>498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498</v>
      </c>
      <c r="BS13">
        <v>0</v>
      </c>
      <c r="BT13">
        <v>0.11077249258302632</v>
      </c>
      <c r="BU13">
        <v>7.9273392436783544E-6</v>
      </c>
      <c r="BV13">
        <v>8.5101662473179001E-3</v>
      </c>
      <c r="BW13">
        <v>0.31984695764715482</v>
      </c>
      <c r="BX13">
        <v>1.1616367848655728E-2</v>
      </c>
      <c r="BY13">
        <v>1.4940061980409725E-2</v>
      </c>
      <c r="BZ13">
        <v>0.38603182114306162</v>
      </c>
      <c r="CA13">
        <v>2.4162958297705702E-2</v>
      </c>
      <c r="CB13">
        <v>1.4249557203628133E-3</v>
      </c>
      <c r="CC13">
        <v>0.19493555500300327</v>
      </c>
      <c r="CD13">
        <v>1.3679917687090778E-3</v>
      </c>
      <c r="CF13" t="s">
        <v>498</v>
      </c>
      <c r="CG13" t="s">
        <v>108</v>
      </c>
      <c r="CH13" t="s">
        <v>109</v>
      </c>
      <c r="CI13">
        <v>0.3642758293425879</v>
      </c>
    </row>
    <row r="14" spans="2:87" x14ac:dyDescent="0.45">
      <c r="B14" t="s">
        <v>499</v>
      </c>
      <c r="C14" t="s">
        <v>99</v>
      </c>
      <c r="D14">
        <v>0</v>
      </c>
      <c r="E14">
        <v>0.43403412094950827</v>
      </c>
      <c r="F14">
        <v>0.98333333333333339</v>
      </c>
      <c r="G14">
        <v>0.84901401184527103</v>
      </c>
      <c r="H14">
        <v>0.24878209559658437</v>
      </c>
      <c r="I14">
        <v>0.73904664893017469</v>
      </c>
      <c r="J14">
        <v>0.76065332996471846</v>
      </c>
      <c r="K14">
        <v>0.17223844055473211</v>
      </c>
      <c r="L14">
        <v>0.6366587204870392</v>
      </c>
      <c r="M14">
        <v>0.95539600291968974</v>
      </c>
      <c r="N14">
        <v>0.36829387380651185</v>
      </c>
      <c r="O14">
        <v>0.9266011603707287</v>
      </c>
      <c r="Q14" t="s">
        <v>499</v>
      </c>
      <c r="R14" t="s">
        <v>100</v>
      </c>
      <c r="S14">
        <v>0</v>
      </c>
      <c r="T14">
        <v>0.26773972215231923</v>
      </c>
      <c r="U14">
        <v>0.96694444444444438</v>
      </c>
      <c r="V14">
        <v>0.74343020924526304</v>
      </c>
      <c r="W14">
        <v>0.13351289949608677</v>
      </c>
      <c r="X14">
        <v>0.59126951424188812</v>
      </c>
      <c r="Y14">
        <v>0.61093441424446093</v>
      </c>
      <c r="Z14">
        <v>9.0842114666403989E-2</v>
      </c>
      <c r="AA14">
        <v>0.47357593223195005</v>
      </c>
      <c r="AB14">
        <v>0.91602528851365916</v>
      </c>
      <c r="AC14">
        <v>0.1952497751863656</v>
      </c>
      <c r="AD14">
        <v>0.64009896150042156</v>
      </c>
      <c r="AF14" t="s">
        <v>499</v>
      </c>
      <c r="AG14" t="s">
        <v>101</v>
      </c>
      <c r="AH14">
        <v>0</v>
      </c>
      <c r="AI14">
        <v>2.4468456491255845E-2</v>
      </c>
      <c r="AJ14">
        <v>0</v>
      </c>
      <c r="AK14">
        <v>0</v>
      </c>
      <c r="AL14">
        <v>2.0245427603416209E-2</v>
      </c>
      <c r="AM14">
        <v>0</v>
      </c>
      <c r="AN14">
        <v>0</v>
      </c>
      <c r="AO14">
        <v>7.874439717800271E-3</v>
      </c>
      <c r="AP14">
        <v>0</v>
      </c>
      <c r="AQ14">
        <v>0</v>
      </c>
      <c r="AR14">
        <v>4.7140403803421681E-2</v>
      </c>
      <c r="AS14">
        <v>0.14754478013951056</v>
      </c>
      <c r="AU14" t="s">
        <v>499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7.7771503117067348E-2</v>
      </c>
      <c r="BR14" t="s">
        <v>499</v>
      </c>
      <c r="BS14">
        <v>0</v>
      </c>
      <c r="BT14">
        <v>0.11608748796370204</v>
      </c>
      <c r="BU14">
        <v>1.023421528335823E-4</v>
      </c>
      <c r="BV14">
        <v>6.0420383923398451E-3</v>
      </c>
      <c r="BW14">
        <v>0.31491736095686723</v>
      </c>
      <c r="BX14">
        <v>1.4484289699801775E-2</v>
      </c>
      <c r="BY14">
        <v>1.316521650786019E-2</v>
      </c>
      <c r="BZ14">
        <v>0.39763285857481456</v>
      </c>
      <c r="CA14">
        <v>2.9363377017997089E-2</v>
      </c>
      <c r="CB14">
        <v>8.0228097095387052E-4</v>
      </c>
      <c r="CC14">
        <v>0.19605833765041028</v>
      </c>
      <c r="CD14">
        <v>2.2482558389293147E-3</v>
      </c>
      <c r="CF14" t="s">
        <v>499</v>
      </c>
      <c r="CG14" t="s">
        <v>108</v>
      </c>
      <c r="CH14" t="s">
        <v>109</v>
      </c>
      <c r="CI14">
        <v>0.36500240328090322</v>
      </c>
    </row>
    <row r="15" spans="2:87" x14ac:dyDescent="0.45">
      <c r="B15" t="s">
        <v>500</v>
      </c>
      <c r="C15" t="s">
        <v>99</v>
      </c>
      <c r="D15">
        <v>0</v>
      </c>
      <c r="E15">
        <v>0.41102035407741805</v>
      </c>
      <c r="F15">
        <v>0.98703703703703716</v>
      </c>
      <c r="G15">
        <v>0.84233199803296355</v>
      </c>
      <c r="H15">
        <v>0.23865748818074098</v>
      </c>
      <c r="I15">
        <v>0.74529529292892172</v>
      </c>
      <c r="J15">
        <v>0.75812982992844813</v>
      </c>
      <c r="K15">
        <v>0.17808807737942595</v>
      </c>
      <c r="L15">
        <v>0.64992864713981124</v>
      </c>
      <c r="M15">
        <v>0.94779501207508132</v>
      </c>
      <c r="N15">
        <v>0.36064064311852817</v>
      </c>
      <c r="O15">
        <v>0.9300480953756578</v>
      </c>
      <c r="Q15" t="s">
        <v>500</v>
      </c>
      <c r="R15" t="s">
        <v>100</v>
      </c>
      <c r="S15">
        <v>0</v>
      </c>
      <c r="T15">
        <v>0.24488950255349376</v>
      </c>
      <c r="U15">
        <v>0.9742421124828532</v>
      </c>
      <c r="V15">
        <v>0.73236974014142664</v>
      </c>
      <c r="W15">
        <v>0.12875026208808427</v>
      </c>
      <c r="X15">
        <v>0.60014495103150267</v>
      </c>
      <c r="Y15">
        <v>0.6136086554026231</v>
      </c>
      <c r="Z15">
        <v>9.3131033409056943E-2</v>
      </c>
      <c r="AA15">
        <v>0.49123861722885409</v>
      </c>
      <c r="AB15">
        <v>0.90258232118799542</v>
      </c>
      <c r="AC15">
        <v>0.19236988258709969</v>
      </c>
      <c r="AD15">
        <v>0.62545997519302066</v>
      </c>
      <c r="AF15" t="s">
        <v>500</v>
      </c>
      <c r="AG15" t="s">
        <v>101</v>
      </c>
      <c r="AH15">
        <v>0</v>
      </c>
      <c r="AI15">
        <v>2.2222164664337234E-2</v>
      </c>
      <c r="AJ15">
        <v>0</v>
      </c>
      <c r="AK15">
        <v>0</v>
      </c>
      <c r="AL15">
        <v>2.2419111269833022E-2</v>
      </c>
      <c r="AM15">
        <v>0</v>
      </c>
      <c r="AN15">
        <v>0</v>
      </c>
      <c r="AO15">
        <v>6.1993159775861478E-3</v>
      </c>
      <c r="AP15">
        <v>0</v>
      </c>
      <c r="AQ15">
        <v>0</v>
      </c>
      <c r="AR15">
        <v>4.4652256934312032E-2</v>
      </c>
      <c r="AS15">
        <v>0.24582087337412947</v>
      </c>
      <c r="AU15" t="s">
        <v>500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500</v>
      </c>
      <c r="BS15">
        <v>0</v>
      </c>
      <c r="BT15">
        <v>0.12439595435106927</v>
      </c>
      <c r="BU15">
        <v>3.5939338259135948E-5</v>
      </c>
      <c r="BV15">
        <v>6.8184717813344255E-3</v>
      </c>
      <c r="BW15">
        <v>0.31574760370836269</v>
      </c>
      <c r="BX15">
        <v>1.3021375439803232E-2</v>
      </c>
      <c r="BY15">
        <v>1.3985192069167381E-2</v>
      </c>
      <c r="BZ15">
        <v>0.39591623641444307</v>
      </c>
      <c r="CA15">
        <v>2.6703173810146513E-2</v>
      </c>
      <c r="CB15">
        <v>1.1266542768879294E-3</v>
      </c>
      <c r="CC15">
        <v>0.2046418273438273</v>
      </c>
      <c r="CD15">
        <v>1.8791247060490068E-3</v>
      </c>
      <c r="CF15" t="s">
        <v>500</v>
      </c>
      <c r="CG15" t="s">
        <v>108</v>
      </c>
      <c r="CH15" t="s">
        <v>109</v>
      </c>
      <c r="CI15">
        <v>0.38218943691825152</v>
      </c>
    </row>
    <row r="16" spans="2:87" x14ac:dyDescent="0.45">
      <c r="B16" t="s">
        <v>501</v>
      </c>
      <c r="C16" t="s">
        <v>99</v>
      </c>
      <c r="D16">
        <v>0</v>
      </c>
      <c r="E16">
        <v>0.44239285250497473</v>
      </c>
      <c r="F16">
        <v>0.9981481481481479</v>
      </c>
      <c r="G16">
        <v>0.82463563801742612</v>
      </c>
      <c r="H16">
        <v>0.21715125586867737</v>
      </c>
      <c r="I16">
        <v>0.74412319114949033</v>
      </c>
      <c r="J16">
        <v>0.73754542307454563</v>
      </c>
      <c r="K16">
        <v>0.17930072979929079</v>
      </c>
      <c r="L16">
        <v>0.64290652412999694</v>
      </c>
      <c r="M16">
        <v>0.94656448519924163</v>
      </c>
      <c r="N16">
        <v>0.36892046912906212</v>
      </c>
      <c r="O16">
        <v>0.93916145333308887</v>
      </c>
      <c r="Q16" t="s">
        <v>501</v>
      </c>
      <c r="R16" t="s">
        <v>100</v>
      </c>
      <c r="S16">
        <v>0</v>
      </c>
      <c r="T16">
        <v>0.2805333867165149</v>
      </c>
      <c r="U16">
        <v>0</v>
      </c>
      <c r="V16">
        <v>0.70905665878434887</v>
      </c>
      <c r="W16">
        <v>0.11695206657801611</v>
      </c>
      <c r="X16">
        <v>0.59239993952691916</v>
      </c>
      <c r="Y16">
        <v>0.5951979401998061</v>
      </c>
      <c r="Z16">
        <v>9.2562852092853282E-2</v>
      </c>
      <c r="AA16">
        <v>0.48573276515379665</v>
      </c>
      <c r="AB16">
        <v>0.90042371568730817</v>
      </c>
      <c r="AC16">
        <v>0.18807299191650806</v>
      </c>
      <c r="AD16">
        <v>0.59041569406805594</v>
      </c>
      <c r="AF16" t="s">
        <v>501</v>
      </c>
      <c r="AG16" t="s">
        <v>101</v>
      </c>
      <c r="AH16">
        <v>0</v>
      </c>
      <c r="AI16">
        <v>1.7216789537924906E-2</v>
      </c>
      <c r="AJ16">
        <v>0.99629972565157754</v>
      </c>
      <c r="AK16">
        <v>0</v>
      </c>
      <c r="AL16">
        <v>1.2833760701934101E-2</v>
      </c>
      <c r="AM16">
        <v>0</v>
      </c>
      <c r="AN16">
        <v>0</v>
      </c>
      <c r="AO16">
        <v>7.6107036065946876E-3</v>
      </c>
      <c r="AP16">
        <v>0</v>
      </c>
      <c r="AQ16">
        <v>0</v>
      </c>
      <c r="AR16">
        <v>4.9150580001331608E-2</v>
      </c>
      <c r="AS16">
        <v>0.29831549842625082</v>
      </c>
      <c r="AU16" t="s">
        <v>501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501</v>
      </c>
      <c r="BS16">
        <v>0</v>
      </c>
      <c r="BT16">
        <v>9.9669720564491096E-2</v>
      </c>
      <c r="BU16">
        <v>1.0396480008392155E-5</v>
      </c>
      <c r="BV16">
        <v>9.7143879109211177E-3</v>
      </c>
      <c r="BW16">
        <v>0.36280677559903313</v>
      </c>
      <c r="BX16">
        <v>1.3332682360819555E-2</v>
      </c>
      <c r="BY16">
        <v>1.6147658751785844E-2</v>
      </c>
      <c r="BZ16">
        <v>0.39621729443185727</v>
      </c>
      <c r="CA16">
        <v>2.6117904798879092E-2</v>
      </c>
      <c r="CB16">
        <v>1.4062021451527484E-3</v>
      </c>
      <c r="CC16">
        <v>0.18854195553164549</v>
      </c>
      <c r="CD16">
        <v>1.3745071327272045E-3</v>
      </c>
      <c r="CF16" t="s">
        <v>501</v>
      </c>
      <c r="CG16" t="s">
        <v>108</v>
      </c>
      <c r="CH16" t="s">
        <v>109</v>
      </c>
      <c r="CI16">
        <v>0.36543699149630648</v>
      </c>
    </row>
    <row r="17" spans="2:87" x14ac:dyDescent="0.45">
      <c r="B17" t="s">
        <v>502</v>
      </c>
      <c r="C17" t="s">
        <v>99</v>
      </c>
      <c r="D17">
        <v>0</v>
      </c>
      <c r="E17">
        <v>0.47268732214028358</v>
      </c>
      <c r="F17">
        <v>0.99074074074074081</v>
      </c>
      <c r="G17">
        <v>0.8348910499583686</v>
      </c>
      <c r="H17">
        <v>0.22132551802839573</v>
      </c>
      <c r="I17">
        <v>0.72755126519966606</v>
      </c>
      <c r="J17">
        <v>0.74072991390014586</v>
      </c>
      <c r="K17">
        <v>0.1712052995332233</v>
      </c>
      <c r="L17">
        <v>0.62710307901364104</v>
      </c>
      <c r="M17">
        <v>0.95325601922238501</v>
      </c>
      <c r="N17">
        <v>0.35512867135824333</v>
      </c>
      <c r="O17">
        <v>0.92693345599718657</v>
      </c>
      <c r="Q17" t="s">
        <v>502</v>
      </c>
      <c r="R17" t="s">
        <v>100</v>
      </c>
      <c r="S17">
        <v>0</v>
      </c>
      <c r="T17">
        <v>0.29563121539634968</v>
      </c>
      <c r="U17">
        <v>0.33940249561245134</v>
      </c>
      <c r="V17">
        <v>0.72109631217741033</v>
      </c>
      <c r="W17">
        <v>0.1176842574918025</v>
      </c>
      <c r="X17">
        <v>0.57481295834322388</v>
      </c>
      <c r="Y17">
        <v>0.5959379678179253</v>
      </c>
      <c r="Z17">
        <v>8.855148696205753E-2</v>
      </c>
      <c r="AA17">
        <v>0.46307056677313996</v>
      </c>
      <c r="AB17">
        <v>0.91115910332530903</v>
      </c>
      <c r="AC17">
        <v>0.18667401731124772</v>
      </c>
      <c r="AD17">
        <v>0.63683054850884957</v>
      </c>
      <c r="AF17" t="s">
        <v>502</v>
      </c>
      <c r="AG17" t="s">
        <v>101</v>
      </c>
      <c r="AH17">
        <v>0</v>
      </c>
      <c r="AI17">
        <v>2.60504466484489E-2</v>
      </c>
      <c r="AJ17">
        <v>0.64323301098353891</v>
      </c>
      <c r="AK17">
        <v>0</v>
      </c>
      <c r="AL17">
        <v>1.1600608527078624E-2</v>
      </c>
      <c r="AM17">
        <v>0</v>
      </c>
      <c r="AN17">
        <v>0</v>
      </c>
      <c r="AO17">
        <v>8.7101958109859056E-3</v>
      </c>
      <c r="AP17">
        <v>0</v>
      </c>
      <c r="AQ17">
        <v>0</v>
      </c>
      <c r="AR17">
        <v>3.8161821015058259E-2</v>
      </c>
      <c r="AS17">
        <v>0.15428314460514495</v>
      </c>
      <c r="AU17" t="s">
        <v>502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7.9490989055811853E-2</v>
      </c>
      <c r="BR17" t="s">
        <v>502</v>
      </c>
      <c r="BS17">
        <v>0</v>
      </c>
      <c r="BT17">
        <v>0.10161725319505467</v>
      </c>
      <c r="BU17">
        <v>6.7659231744735419E-5</v>
      </c>
      <c r="BV17">
        <v>8.0634632823912561E-3</v>
      </c>
      <c r="BW17">
        <v>0.36174003318034842</v>
      </c>
      <c r="BX17">
        <v>1.6536466256482765E-2</v>
      </c>
      <c r="BY17">
        <v>1.4835946438339308E-2</v>
      </c>
      <c r="BZ17">
        <v>0.40379600388282838</v>
      </c>
      <c r="CA17">
        <v>3.0659461922069791E-2</v>
      </c>
      <c r="CB17">
        <v>9.240916668395051E-4</v>
      </c>
      <c r="CC17">
        <v>0.19566421879334028</v>
      </c>
      <c r="CD17">
        <v>2.1178986297976077E-3</v>
      </c>
      <c r="CF17" t="s">
        <v>502</v>
      </c>
      <c r="CG17" t="s">
        <v>108</v>
      </c>
      <c r="CH17" t="s">
        <v>109</v>
      </c>
      <c r="CI17">
        <v>0.35671675553211102</v>
      </c>
    </row>
    <row r="18" spans="2:87" x14ac:dyDescent="0.45">
      <c r="B18" t="s">
        <v>503</v>
      </c>
      <c r="C18" t="s">
        <v>99</v>
      </c>
      <c r="D18">
        <v>0</v>
      </c>
      <c r="E18">
        <v>0.47581414103815084</v>
      </c>
      <c r="F18">
        <v>0.9925925925925928</v>
      </c>
      <c r="G18">
        <v>0.82944237105268226</v>
      </c>
      <c r="H18">
        <v>0.21142584525497574</v>
      </c>
      <c r="I18">
        <v>0.72990871533134838</v>
      </c>
      <c r="J18">
        <v>0.73255880143088192</v>
      </c>
      <c r="K18">
        <v>0.16107839775353155</v>
      </c>
      <c r="L18">
        <v>0.62657905366461009</v>
      </c>
      <c r="M18">
        <v>0.95200926089230287</v>
      </c>
      <c r="N18">
        <v>0.34125311562962796</v>
      </c>
      <c r="O18">
        <v>0.92698655261785579</v>
      </c>
      <c r="Q18" t="s">
        <v>503</v>
      </c>
      <c r="R18" t="s">
        <v>100</v>
      </c>
      <c r="S18">
        <v>0</v>
      </c>
      <c r="T18">
        <v>0.29463783620302364</v>
      </c>
      <c r="U18">
        <v>0.17293233203568575</v>
      </c>
      <c r="V18">
        <v>0.71376715154656944</v>
      </c>
      <c r="W18">
        <v>0.10885688809274212</v>
      </c>
      <c r="X18">
        <v>0.58258748461676391</v>
      </c>
      <c r="Y18">
        <v>0.58730867451569568</v>
      </c>
      <c r="Z18">
        <v>8.3927845905882509E-2</v>
      </c>
      <c r="AA18">
        <v>0.46495845111191886</v>
      </c>
      <c r="AB18">
        <v>0.91016269997395982</v>
      </c>
      <c r="AC18">
        <v>0.17887523344845005</v>
      </c>
      <c r="AD18">
        <v>0.63369842664130271</v>
      </c>
      <c r="AF18" t="s">
        <v>503</v>
      </c>
      <c r="AG18" t="s">
        <v>101</v>
      </c>
      <c r="AH18">
        <v>0</v>
      </c>
      <c r="AI18">
        <v>2.9265675385604147E-2</v>
      </c>
      <c r="AJ18">
        <v>0.81230772283399877</v>
      </c>
      <c r="AK18">
        <v>0</v>
      </c>
      <c r="AL18">
        <v>1.036781816351396E-2</v>
      </c>
      <c r="AM18">
        <v>0</v>
      </c>
      <c r="AN18">
        <v>0</v>
      </c>
      <c r="AO18">
        <v>7.0608378173731131E-3</v>
      </c>
      <c r="AP18">
        <v>0</v>
      </c>
      <c r="AQ18">
        <v>0</v>
      </c>
      <c r="AR18">
        <v>3.2748924728145071E-2</v>
      </c>
      <c r="AS18">
        <v>0.23266301242108223</v>
      </c>
      <c r="AU18" t="s">
        <v>503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503</v>
      </c>
      <c r="BS18">
        <v>0</v>
      </c>
      <c r="BT18">
        <v>0.1060655262437922</v>
      </c>
      <c r="BU18">
        <v>5.370606589159851E-5</v>
      </c>
      <c r="BV18">
        <v>8.6526425170007446E-3</v>
      </c>
      <c r="BW18">
        <v>0.39717026999438276</v>
      </c>
      <c r="BX18">
        <v>1.8028030865297071E-2</v>
      </c>
      <c r="BY18">
        <v>1.5651232557042274E-2</v>
      </c>
      <c r="BZ18">
        <v>0.42933439217759489</v>
      </c>
      <c r="CA18">
        <v>3.3333104876193155E-2</v>
      </c>
      <c r="CB18">
        <v>1.0947750376921628E-3</v>
      </c>
      <c r="CC18">
        <v>0.21313090975729351</v>
      </c>
      <c r="CD18">
        <v>2.095133691372424E-3</v>
      </c>
      <c r="CF18" t="s">
        <v>503</v>
      </c>
      <c r="CG18" t="s">
        <v>108</v>
      </c>
      <c r="CH18" t="s">
        <v>109</v>
      </c>
      <c r="CI18">
        <v>0.3832065316167762</v>
      </c>
    </row>
    <row r="19" spans="2:87" x14ac:dyDescent="0.45">
      <c r="B19" t="s">
        <v>504</v>
      </c>
      <c r="C19" t="s">
        <v>99</v>
      </c>
      <c r="D19">
        <v>0</v>
      </c>
      <c r="E19">
        <v>0.48488241918765246</v>
      </c>
      <c r="F19">
        <v>0.98292452092498661</v>
      </c>
      <c r="G19">
        <v>0.84499380055490048</v>
      </c>
      <c r="H19">
        <v>0.24662528116553273</v>
      </c>
      <c r="I19">
        <v>0.72351431531668808</v>
      </c>
      <c r="J19">
        <v>0.75575581226899724</v>
      </c>
      <c r="K19">
        <v>0.17459595341160378</v>
      </c>
      <c r="L19">
        <v>0.62042286001466629</v>
      </c>
      <c r="M19">
        <v>0.96082203407172229</v>
      </c>
      <c r="N19">
        <v>0.35497709656439169</v>
      </c>
      <c r="O19">
        <v>0.91882212839709976</v>
      </c>
      <c r="Q19" t="s">
        <v>504</v>
      </c>
      <c r="R19" t="s">
        <v>100</v>
      </c>
      <c r="S19">
        <v>0</v>
      </c>
      <c r="T19">
        <v>0.30286515563805477</v>
      </c>
      <c r="U19">
        <v>0.85142604474146266</v>
      </c>
      <c r="V19">
        <v>0.73406591795005982</v>
      </c>
      <c r="W19">
        <v>0.13503618829183475</v>
      </c>
      <c r="X19">
        <v>0.51815167523789463</v>
      </c>
      <c r="Y19">
        <v>0.60685236637858109</v>
      </c>
      <c r="Z19">
        <v>9.0626531631529963E-2</v>
      </c>
      <c r="AA19">
        <v>0.43941559253967283</v>
      </c>
      <c r="AB19">
        <v>0.92528091859876815</v>
      </c>
      <c r="AC19">
        <v>0.18811397706875671</v>
      </c>
      <c r="AD19">
        <v>0.58573101627546365</v>
      </c>
      <c r="AF19" t="s">
        <v>504</v>
      </c>
      <c r="AG19" t="s">
        <v>101</v>
      </c>
      <c r="AH19">
        <v>0</v>
      </c>
      <c r="AI19">
        <v>3.3640277152867708E-2</v>
      </c>
      <c r="AJ19">
        <v>0.1151164008347739</v>
      </c>
      <c r="AK19">
        <v>0</v>
      </c>
      <c r="AL19">
        <v>1.1148256649725722E-2</v>
      </c>
      <c r="AM19">
        <v>5.6009949406267821E-2</v>
      </c>
      <c r="AN19">
        <v>0</v>
      </c>
      <c r="AO19">
        <v>1.0083803755823672E-2</v>
      </c>
      <c r="AP19">
        <v>1.9765951032086219E-2</v>
      </c>
      <c r="AQ19">
        <v>0</v>
      </c>
      <c r="AR19">
        <v>3.7465895787318203E-2</v>
      </c>
      <c r="AS19">
        <v>0.26699043331417394</v>
      </c>
      <c r="AU19" t="s">
        <v>504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4.1738554964808225E-4</v>
      </c>
      <c r="BR19" t="s">
        <v>504</v>
      </c>
      <c r="BS19">
        <v>0</v>
      </c>
      <c r="BT19">
        <v>0.10038279217923451</v>
      </c>
      <c r="BU19">
        <v>1.5243798265612439E-4</v>
      </c>
      <c r="BV19">
        <v>6.0091732254833816E-3</v>
      </c>
      <c r="BW19">
        <v>0.33978638386329985</v>
      </c>
      <c r="BX19">
        <v>1.9247228431655692E-2</v>
      </c>
      <c r="BY19">
        <v>1.2034126345373358E-2</v>
      </c>
      <c r="BZ19">
        <v>0.39627270483642119</v>
      </c>
      <c r="CA19">
        <v>3.5971725653278219E-2</v>
      </c>
      <c r="CB19">
        <v>4.4067351390821919E-4</v>
      </c>
      <c r="CC19">
        <v>0.19742375479718255</v>
      </c>
      <c r="CD19">
        <v>2.6817882763308406E-3</v>
      </c>
      <c r="CF19" t="s">
        <v>504</v>
      </c>
      <c r="CG19" t="s">
        <v>108</v>
      </c>
      <c r="CH19" t="s">
        <v>109</v>
      </c>
      <c r="CI19">
        <v>0.3781152402080239</v>
      </c>
    </row>
    <row r="20" spans="2:87" x14ac:dyDescent="0.45">
      <c r="B20" t="s">
        <v>505</v>
      </c>
      <c r="C20" t="s">
        <v>99</v>
      </c>
      <c r="D20">
        <v>0</v>
      </c>
      <c r="E20">
        <v>0.4830657085754485</v>
      </c>
      <c r="F20">
        <v>0.98305852928352788</v>
      </c>
      <c r="G20">
        <v>0.85070677298978892</v>
      </c>
      <c r="H20">
        <v>0.24898844965248274</v>
      </c>
      <c r="I20">
        <v>0.71999149268584028</v>
      </c>
      <c r="J20">
        <v>0.7636243990832533</v>
      </c>
      <c r="K20">
        <v>0.18319922000004923</v>
      </c>
      <c r="L20">
        <v>0.62214479774580833</v>
      </c>
      <c r="M20">
        <v>0.96062383752197977</v>
      </c>
      <c r="N20">
        <v>0.36165728980413481</v>
      </c>
      <c r="O20">
        <v>0.91534437121897727</v>
      </c>
      <c r="Q20" t="s">
        <v>505</v>
      </c>
      <c r="R20" t="s">
        <v>100</v>
      </c>
      <c r="S20">
        <v>0</v>
      </c>
      <c r="T20">
        <v>0.29897142164308321</v>
      </c>
      <c r="U20">
        <v>0.38327038413522052</v>
      </c>
      <c r="V20">
        <v>0.74250652415280871</v>
      </c>
      <c r="W20">
        <v>0.13638334922015383</v>
      </c>
      <c r="X20">
        <v>0.50936865206288728</v>
      </c>
      <c r="Y20">
        <v>0.61540105895314368</v>
      </c>
      <c r="Z20">
        <v>9.6281139556143244E-2</v>
      </c>
      <c r="AA20">
        <v>0.41110200181186252</v>
      </c>
      <c r="AB20">
        <v>0.92633234400333764</v>
      </c>
      <c r="AC20">
        <v>0.19363517710103248</v>
      </c>
      <c r="AD20">
        <v>0.52013579719264114</v>
      </c>
      <c r="AF20" t="s">
        <v>505</v>
      </c>
      <c r="AG20" t="s">
        <v>101</v>
      </c>
      <c r="AH20">
        <v>0</v>
      </c>
      <c r="AI20">
        <v>4.0668446747501023E-2</v>
      </c>
      <c r="AJ20">
        <v>0.58340383632691462</v>
      </c>
      <c r="AK20">
        <v>0</v>
      </c>
      <c r="AL20">
        <v>1.4419152095205973E-2</v>
      </c>
      <c r="AM20">
        <v>5.8012307192882785E-2</v>
      </c>
      <c r="AN20">
        <v>0</v>
      </c>
      <c r="AO20">
        <v>9.5545575364126174E-3</v>
      </c>
      <c r="AP20">
        <v>4.9220783662556694E-2</v>
      </c>
      <c r="AQ20">
        <v>0</v>
      </c>
      <c r="AR20">
        <v>3.8334343651825413E-2</v>
      </c>
      <c r="AS20">
        <v>0.33008493506319653</v>
      </c>
      <c r="AU20" t="s">
        <v>505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505</v>
      </c>
      <c r="BS20">
        <v>0</v>
      </c>
      <c r="BT20">
        <v>9.9055776886008251E-2</v>
      </c>
      <c r="BU20">
        <v>2.4566943015833333E-4</v>
      </c>
      <c r="BV20">
        <v>5.4635657456287932E-3</v>
      </c>
      <c r="BW20">
        <v>0.32287722789003015</v>
      </c>
      <c r="BX20">
        <v>1.8240797890758543E-2</v>
      </c>
      <c r="BY20">
        <v>1.116631122357606E-2</v>
      </c>
      <c r="BZ20">
        <v>0.38704891046072332</v>
      </c>
      <c r="CA20">
        <v>3.5217011334533109E-2</v>
      </c>
      <c r="CB20">
        <v>3.5176954782644272E-4</v>
      </c>
      <c r="CC20">
        <v>0.1953436100729587</v>
      </c>
      <c r="CD20">
        <v>2.665174008944721E-3</v>
      </c>
      <c r="CF20" t="s">
        <v>505</v>
      </c>
      <c r="CG20" t="s">
        <v>108</v>
      </c>
      <c r="CH20" t="s">
        <v>109</v>
      </c>
      <c r="CI20">
        <v>0.35553361761931163</v>
      </c>
    </row>
    <row r="21" spans="2:87" x14ac:dyDescent="0.45">
      <c r="B21" t="s">
        <v>506</v>
      </c>
      <c r="C21" t="s">
        <v>99</v>
      </c>
      <c r="D21">
        <v>0</v>
      </c>
      <c r="E21">
        <v>0.47297016987278973</v>
      </c>
      <c r="F21">
        <v>0.98316831667359972</v>
      </c>
      <c r="G21">
        <v>0.84637811321587531</v>
      </c>
      <c r="H21">
        <v>0.23479240701678336</v>
      </c>
      <c r="I21">
        <v>0.71633037975551095</v>
      </c>
      <c r="J21">
        <v>0.75448535622303914</v>
      </c>
      <c r="K21">
        <v>0.1724140326068592</v>
      </c>
      <c r="L21">
        <v>0.61558311233407448</v>
      </c>
      <c r="M21">
        <v>0.96026388959547782</v>
      </c>
      <c r="N21">
        <v>0.35514018526423602</v>
      </c>
      <c r="O21">
        <v>0.91793757993928737</v>
      </c>
      <c r="Q21" t="s">
        <v>506</v>
      </c>
      <c r="R21" t="s">
        <v>100</v>
      </c>
      <c r="S21">
        <v>0</v>
      </c>
      <c r="T21">
        <v>0.29303468510915404</v>
      </c>
      <c r="U21">
        <v>0.39729609367813934</v>
      </c>
      <c r="V21">
        <v>0.7357886792363092</v>
      </c>
      <c r="W21">
        <v>0.12368888496757677</v>
      </c>
      <c r="X21">
        <v>0.48297357672521335</v>
      </c>
      <c r="Y21">
        <v>0.60860298923553935</v>
      </c>
      <c r="Z21">
        <v>8.7598393200086166E-2</v>
      </c>
      <c r="AA21">
        <v>0.40938538341002484</v>
      </c>
      <c r="AB21">
        <v>0.92341223561542196</v>
      </c>
      <c r="AC21">
        <v>0.18649099584245055</v>
      </c>
      <c r="AD21">
        <v>0.58073994699786913</v>
      </c>
      <c r="AF21" t="s">
        <v>506</v>
      </c>
      <c r="AG21" t="s">
        <v>101</v>
      </c>
      <c r="AH21">
        <v>0</v>
      </c>
      <c r="AI21">
        <v>2.3825421707352135E-2</v>
      </c>
      <c r="AJ21">
        <v>0.56948608438423376</v>
      </c>
      <c r="AK21">
        <v>0</v>
      </c>
      <c r="AL21">
        <v>1.2174206289529003E-2</v>
      </c>
      <c r="AM21">
        <v>8.5737075753148456E-2</v>
      </c>
      <c r="AN21">
        <v>0</v>
      </c>
      <c r="AO21">
        <v>1.0146503495121856E-2</v>
      </c>
      <c r="AP21">
        <v>4.4230866120715161E-2</v>
      </c>
      <c r="AQ21">
        <v>0</v>
      </c>
      <c r="AR21">
        <v>3.6198468999252706E-2</v>
      </c>
      <c r="AS21">
        <v>0.27028382037810678</v>
      </c>
      <c r="AU21" t="s">
        <v>506</v>
      </c>
      <c r="AV21" t="s">
        <v>102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8.7710207154424106E-4</v>
      </c>
      <c r="BR21" t="s">
        <v>506</v>
      </c>
      <c r="BS21">
        <v>0</v>
      </c>
      <c r="BT21">
        <v>0.1047938657967407</v>
      </c>
      <c r="BU21">
        <v>1.8089964934596043E-4</v>
      </c>
      <c r="BV21">
        <v>5.982062351092921E-3</v>
      </c>
      <c r="BW21">
        <v>0.36370709111535376</v>
      </c>
      <c r="BX21">
        <v>2.2296330704833195E-2</v>
      </c>
      <c r="BY21">
        <v>1.1990124636436653E-2</v>
      </c>
      <c r="BZ21">
        <v>0.40384572322696427</v>
      </c>
      <c r="CA21">
        <v>4.0060664170770678E-2</v>
      </c>
      <c r="CB21">
        <v>4.4779827437511454E-4</v>
      </c>
      <c r="CC21">
        <v>0.19850512838015619</v>
      </c>
      <c r="CD21">
        <v>2.7752696844180703E-3</v>
      </c>
      <c r="CF21" t="s">
        <v>506</v>
      </c>
      <c r="CG21" t="s">
        <v>108</v>
      </c>
      <c r="CH21" t="s">
        <v>109</v>
      </c>
      <c r="CI21">
        <v>0.38524240952323496</v>
      </c>
    </row>
    <row r="22" spans="2:87" x14ac:dyDescent="0.45">
      <c r="B22" t="s">
        <v>507</v>
      </c>
      <c r="C22" t="s">
        <v>99</v>
      </c>
      <c r="D22">
        <v>0</v>
      </c>
      <c r="E22">
        <v>0.47240794785794055</v>
      </c>
      <c r="F22">
        <v>0.97404411921333289</v>
      </c>
      <c r="G22">
        <v>0.85932405887878094</v>
      </c>
      <c r="H22">
        <v>0.23597674192095835</v>
      </c>
      <c r="I22">
        <v>0.70229605629446568</v>
      </c>
      <c r="J22">
        <v>0.77372031952993736</v>
      </c>
      <c r="K22">
        <v>0.18089492277385258</v>
      </c>
      <c r="L22">
        <v>0.60815335532012671</v>
      </c>
      <c r="M22">
        <v>0.96696558603608029</v>
      </c>
      <c r="N22">
        <v>0.35090647003058845</v>
      </c>
      <c r="O22">
        <v>0.90270258657615954</v>
      </c>
      <c r="Q22" t="s">
        <v>507</v>
      </c>
      <c r="R22" t="s">
        <v>100</v>
      </c>
      <c r="S22">
        <v>0</v>
      </c>
      <c r="T22">
        <v>0.29856570531914828</v>
      </c>
      <c r="U22">
        <v>0.61535409778431416</v>
      </c>
      <c r="V22">
        <v>0.75770977983950538</v>
      </c>
      <c r="W22">
        <v>0.12998614330466496</v>
      </c>
      <c r="X22">
        <v>0.48592889725113408</v>
      </c>
      <c r="Y22">
        <v>0.62456056829139284</v>
      </c>
      <c r="Z22">
        <v>9.0273978884916048E-2</v>
      </c>
      <c r="AA22">
        <v>0.35412689475729919</v>
      </c>
      <c r="AB22">
        <v>0.93665572200549641</v>
      </c>
      <c r="AC22">
        <v>0.18308788728106171</v>
      </c>
      <c r="AD22">
        <v>0.50338212673504845</v>
      </c>
      <c r="AF22" t="s">
        <v>507</v>
      </c>
      <c r="AG22" t="s">
        <v>101</v>
      </c>
      <c r="AH22">
        <v>0</v>
      </c>
      <c r="AI22">
        <v>2.8727205278311511E-2</v>
      </c>
      <c r="AJ22">
        <v>0.33351453702506406</v>
      </c>
      <c r="AK22">
        <v>0</v>
      </c>
      <c r="AL22">
        <v>1.2485852114039613E-2</v>
      </c>
      <c r="AM22">
        <v>6.638615844773918E-2</v>
      </c>
      <c r="AN22">
        <v>0</v>
      </c>
      <c r="AO22">
        <v>1.1759076862722482E-2</v>
      </c>
      <c r="AP22">
        <v>9.261656956765453E-2</v>
      </c>
      <c r="AQ22">
        <v>0</v>
      </c>
      <c r="AR22">
        <v>3.7104354649490238E-2</v>
      </c>
      <c r="AS22">
        <v>0.32271679899916295</v>
      </c>
      <c r="AU22" t="s">
        <v>507</v>
      </c>
      <c r="AV22" t="s">
        <v>102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507</v>
      </c>
      <c r="BS22">
        <v>0</v>
      </c>
      <c r="BT22">
        <v>0.11311480718093596</v>
      </c>
      <c r="BU22">
        <v>3.6272733976963921E-4</v>
      </c>
      <c r="BV22">
        <v>4.4850547838210745E-3</v>
      </c>
      <c r="BW22">
        <v>0.34457861819214991</v>
      </c>
      <c r="BX22">
        <v>2.2987890864239507E-2</v>
      </c>
      <c r="BY22">
        <v>9.3564046979000785E-3</v>
      </c>
      <c r="BZ22">
        <v>0.38904728437794384</v>
      </c>
      <c r="CA22">
        <v>4.175492917584922E-2</v>
      </c>
      <c r="CB22">
        <v>2.3328811992528821E-4</v>
      </c>
      <c r="CC22">
        <v>0.20415458558594471</v>
      </c>
      <c r="CD22">
        <v>3.5104270170328495E-3</v>
      </c>
      <c r="CF22" t="s">
        <v>507</v>
      </c>
      <c r="CG22" t="s">
        <v>108</v>
      </c>
      <c r="CH22" t="s">
        <v>109</v>
      </c>
      <c r="CI22">
        <v>0.37396945861337078</v>
      </c>
    </row>
    <row r="23" spans="2:87" x14ac:dyDescent="0.45">
      <c r="B23" t="s">
        <v>508</v>
      </c>
      <c r="C23" t="s">
        <v>99</v>
      </c>
      <c r="D23">
        <v>0</v>
      </c>
      <c r="E23">
        <v>0.36982440693512031</v>
      </c>
      <c r="F23">
        <v>0.96111111111111092</v>
      </c>
      <c r="G23">
        <v>0.86556569400412486</v>
      </c>
      <c r="H23">
        <v>0.24239365631592794</v>
      </c>
      <c r="I23">
        <v>0.72928715301843638</v>
      </c>
      <c r="J23">
        <v>0.78948535038779577</v>
      </c>
      <c r="K23">
        <v>0.18999908013426361</v>
      </c>
      <c r="L23">
        <v>0.64297248955430086</v>
      </c>
      <c r="M23">
        <v>0.95721889976774266</v>
      </c>
      <c r="N23">
        <v>0.32619663032953911</v>
      </c>
      <c r="O23">
        <v>0.90521087372314502</v>
      </c>
      <c r="Q23" t="s">
        <v>508</v>
      </c>
      <c r="R23" t="s">
        <v>100</v>
      </c>
      <c r="S23">
        <v>0</v>
      </c>
      <c r="T23">
        <v>0.21520965283364257</v>
      </c>
      <c r="U23">
        <v>0.59819191157254137</v>
      </c>
      <c r="V23">
        <v>0.76794053989466959</v>
      </c>
      <c r="W23">
        <v>0.12800493969427168</v>
      </c>
      <c r="X23">
        <v>0.52220582845248387</v>
      </c>
      <c r="Y23">
        <v>0.64847392978614038</v>
      </c>
      <c r="Z23">
        <v>9.6487686544492093E-2</v>
      </c>
      <c r="AA23">
        <v>0.47422820054611398</v>
      </c>
      <c r="AB23">
        <v>0.91837386822334932</v>
      </c>
      <c r="AC23">
        <v>0.17496439583967172</v>
      </c>
      <c r="AD23">
        <v>0.45052027195998218</v>
      </c>
      <c r="AF23" t="s">
        <v>508</v>
      </c>
      <c r="AG23" t="s">
        <v>101</v>
      </c>
      <c r="AH23">
        <v>0</v>
      </c>
      <c r="AI23">
        <v>1.4001494393424772E-2</v>
      </c>
      <c r="AJ23">
        <v>0.32825009678575362</v>
      </c>
      <c r="AK23">
        <v>0</v>
      </c>
      <c r="AL23">
        <v>1.7772064211458313E-2</v>
      </c>
      <c r="AM23">
        <v>6.0052825524553134E-2</v>
      </c>
      <c r="AN23">
        <v>0</v>
      </c>
      <c r="AO23">
        <v>9.6322833684519289E-3</v>
      </c>
      <c r="AP23">
        <v>0</v>
      </c>
      <c r="AQ23">
        <v>0</v>
      </c>
      <c r="AR23">
        <v>2.6779187810932123E-2</v>
      </c>
      <c r="AS23">
        <v>0.38173188976016936</v>
      </c>
      <c r="AU23" t="s">
        <v>508</v>
      </c>
      <c r="AV23" t="s">
        <v>102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3.6987079859597327E-4</v>
      </c>
      <c r="BR23" t="s">
        <v>508</v>
      </c>
      <c r="BS23">
        <v>0</v>
      </c>
      <c r="BT23">
        <v>0.20927683438113345</v>
      </c>
      <c r="BU23">
        <v>1.1326534633024335E-3</v>
      </c>
      <c r="BV23">
        <v>4.1702114822524524E-3</v>
      </c>
      <c r="BW23">
        <v>0.34788614180976257</v>
      </c>
      <c r="BX23">
        <v>1.8382643612266287E-2</v>
      </c>
      <c r="BY23">
        <v>8.8472564815436847E-3</v>
      </c>
      <c r="BZ23">
        <v>0.41070122405776249</v>
      </c>
      <c r="CA23">
        <v>3.4758454395977814E-2</v>
      </c>
      <c r="CB23">
        <v>4.8181890794049797E-4</v>
      </c>
      <c r="CC23">
        <v>0.24124870511720173</v>
      </c>
      <c r="CD23">
        <v>3.9222004611840717E-3</v>
      </c>
      <c r="CF23" t="s">
        <v>508</v>
      </c>
      <c r="CG23" t="s">
        <v>108</v>
      </c>
      <c r="CH23" t="s">
        <v>109</v>
      </c>
      <c r="CI23">
        <v>0.38307109791162164</v>
      </c>
    </row>
    <row r="24" spans="2:87" x14ac:dyDescent="0.45">
      <c r="B24" t="s">
        <v>509</v>
      </c>
      <c r="C24" t="s">
        <v>99</v>
      </c>
      <c r="D24">
        <v>0</v>
      </c>
      <c r="E24">
        <v>0.39371198878299585</v>
      </c>
      <c r="F24">
        <v>0.97120155727405677</v>
      </c>
      <c r="G24">
        <v>0.86091014725966852</v>
      </c>
      <c r="H24">
        <v>0.24028204066717043</v>
      </c>
      <c r="I24">
        <v>0.73508123447267659</v>
      </c>
      <c r="J24">
        <v>0.78108569645503134</v>
      </c>
      <c r="K24">
        <v>0.18401388457159101</v>
      </c>
      <c r="L24">
        <v>0.63968684091838002</v>
      </c>
      <c r="M24">
        <v>0.95560056703667762</v>
      </c>
      <c r="N24">
        <v>0.35712573914521289</v>
      </c>
      <c r="O24">
        <v>0.91159000195650741</v>
      </c>
      <c r="Q24" t="s">
        <v>509</v>
      </c>
      <c r="R24" t="s">
        <v>100</v>
      </c>
      <c r="S24">
        <v>0</v>
      </c>
      <c r="T24">
        <v>0.23016235873831944</v>
      </c>
      <c r="U24">
        <v>0.93111177943702639</v>
      </c>
      <c r="V24">
        <v>0.75698814946669835</v>
      </c>
      <c r="W24">
        <v>0.12169159663119831</v>
      </c>
      <c r="X24">
        <v>0.55553924481284989</v>
      </c>
      <c r="Y24">
        <v>0.63314962194298918</v>
      </c>
      <c r="Z24">
        <v>9.2463929085637109E-2</v>
      </c>
      <c r="AA24">
        <v>0.47344461107175939</v>
      </c>
      <c r="AB24">
        <v>0.9150211981152746</v>
      </c>
      <c r="AC24">
        <v>0.19466189490478794</v>
      </c>
      <c r="AD24">
        <v>0.4412238010977988</v>
      </c>
      <c r="AF24" t="s">
        <v>509</v>
      </c>
      <c r="AG24" t="s">
        <v>101</v>
      </c>
      <c r="AH24">
        <v>0</v>
      </c>
      <c r="AI24">
        <v>2.0548241074760731E-2</v>
      </c>
      <c r="AJ24">
        <v>1.3111956801640083E-2</v>
      </c>
      <c r="AK24">
        <v>0</v>
      </c>
      <c r="AL24">
        <v>1.9554735680800378E-2</v>
      </c>
      <c r="AM24">
        <v>3.254243036745684E-2</v>
      </c>
      <c r="AN24">
        <v>0</v>
      </c>
      <c r="AO24">
        <v>9.7752979145987635E-3</v>
      </c>
      <c r="AP24">
        <v>0</v>
      </c>
      <c r="AQ24">
        <v>0</v>
      </c>
      <c r="AR24">
        <v>3.4856507177425507E-2</v>
      </c>
      <c r="AS24">
        <v>0.40478959536444409</v>
      </c>
      <c r="AU24" t="s">
        <v>509</v>
      </c>
      <c r="AV24" t="s">
        <v>102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509</v>
      </c>
      <c r="BS24">
        <v>0</v>
      </c>
      <c r="BT24">
        <v>0.15314001035892674</v>
      </c>
      <c r="BU24">
        <v>3.7818900887823004E-4</v>
      </c>
      <c r="BV24">
        <v>5.0571995739947494E-3</v>
      </c>
      <c r="BW24">
        <v>0.33467309181960586</v>
      </c>
      <c r="BX24">
        <v>1.6898117100868866E-2</v>
      </c>
      <c r="BY24">
        <v>1.0703822875477775E-2</v>
      </c>
      <c r="BZ24">
        <v>0.40150497961474535</v>
      </c>
      <c r="CA24">
        <v>3.323047194656973E-2</v>
      </c>
      <c r="CB24">
        <v>5.4607718182571807E-4</v>
      </c>
      <c r="CC24">
        <v>0.21122865462553592</v>
      </c>
      <c r="CD24">
        <v>3.2370922303488385E-3</v>
      </c>
      <c r="CF24" t="s">
        <v>509</v>
      </c>
      <c r="CG24" t="s">
        <v>108</v>
      </c>
      <c r="CH24" t="s">
        <v>109</v>
      </c>
      <c r="CI24">
        <v>0.38430205521243849</v>
      </c>
    </row>
    <row r="25" spans="2:87" x14ac:dyDescent="0.45">
      <c r="B25" t="s">
        <v>510</v>
      </c>
      <c r="C25" t="s">
        <v>99</v>
      </c>
      <c r="D25">
        <v>0</v>
      </c>
      <c r="E25">
        <v>0.39124378257425813</v>
      </c>
      <c r="F25">
        <v>0.98333306124031095</v>
      </c>
      <c r="G25">
        <v>0.84647731365731271</v>
      </c>
      <c r="H25">
        <v>0.22693728721441664</v>
      </c>
      <c r="I25">
        <v>0.74596896523027201</v>
      </c>
      <c r="J25">
        <v>0.77133099778183867</v>
      </c>
      <c r="K25">
        <v>0.17982822473622836</v>
      </c>
      <c r="L25">
        <v>0.66471329754869057</v>
      </c>
      <c r="M25">
        <v>0.94969121689129454</v>
      </c>
      <c r="N25">
        <v>0.33049658653226804</v>
      </c>
      <c r="O25">
        <v>0.92894440313913584</v>
      </c>
      <c r="Q25" t="s">
        <v>510</v>
      </c>
      <c r="R25" t="s">
        <v>100</v>
      </c>
      <c r="S25">
        <v>0</v>
      </c>
      <c r="T25">
        <v>0.23083927629917433</v>
      </c>
      <c r="U25">
        <v>0.68739687683024109</v>
      </c>
      <c r="V25">
        <v>0.73728066757321664</v>
      </c>
      <c r="W25">
        <v>0.11920393828567334</v>
      </c>
      <c r="X25">
        <v>0.60058326518057781</v>
      </c>
      <c r="Y25">
        <v>0.62814466433157401</v>
      </c>
      <c r="Z25">
        <v>9.1968861522369869E-2</v>
      </c>
      <c r="AA25">
        <v>0.50508614292241172</v>
      </c>
      <c r="AB25">
        <v>0.9039027705506163</v>
      </c>
      <c r="AC25">
        <v>0.17580639776541618</v>
      </c>
      <c r="AD25">
        <v>0.57473936062558539</v>
      </c>
      <c r="AF25" t="s">
        <v>510</v>
      </c>
      <c r="AG25" t="s">
        <v>101</v>
      </c>
      <c r="AH25">
        <v>0</v>
      </c>
      <c r="AI25">
        <v>2.2388568990968034E-2</v>
      </c>
      <c r="AJ25">
        <v>0.2795473000560651</v>
      </c>
      <c r="AK25">
        <v>0</v>
      </c>
      <c r="AL25">
        <v>1.5026974434903691E-2</v>
      </c>
      <c r="AM25">
        <v>0</v>
      </c>
      <c r="AN25">
        <v>0</v>
      </c>
      <c r="AO25">
        <v>6.5089496727015811E-3</v>
      </c>
      <c r="AP25">
        <v>0</v>
      </c>
      <c r="AQ25">
        <v>0</v>
      </c>
      <c r="AR25">
        <v>3.2854403940806708E-2</v>
      </c>
      <c r="AS25">
        <v>0.29708294094415733</v>
      </c>
      <c r="AU25" t="s">
        <v>510</v>
      </c>
      <c r="AV25" t="s">
        <v>102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510</v>
      </c>
      <c r="BS25">
        <v>0</v>
      </c>
      <c r="BT25">
        <v>0.15221431140796696</v>
      </c>
      <c r="BU25">
        <v>2.0223718174063182E-4</v>
      </c>
      <c r="BV25">
        <v>7.0037091762603062E-3</v>
      </c>
      <c r="BW25">
        <v>0.34720637857983722</v>
      </c>
      <c r="BX25">
        <v>1.372213673462205E-2</v>
      </c>
      <c r="BY25">
        <v>1.3304158296876372E-2</v>
      </c>
      <c r="BZ25">
        <v>0.40894556904113055</v>
      </c>
      <c r="CA25">
        <v>2.6293818837305128E-2</v>
      </c>
      <c r="CB25">
        <v>1.1363133133646861E-3</v>
      </c>
      <c r="CC25">
        <v>0.22989008392030597</v>
      </c>
      <c r="CD25">
        <v>2.1273108847265783E-3</v>
      </c>
      <c r="CF25" t="s">
        <v>510</v>
      </c>
      <c r="CG25" t="s">
        <v>108</v>
      </c>
      <c r="CH25" t="s">
        <v>109</v>
      </c>
      <c r="CI25">
        <v>0.39040305892080651</v>
      </c>
    </row>
    <row r="26" spans="2:87" x14ac:dyDescent="0.45">
      <c r="B26" t="s">
        <v>511</v>
      </c>
      <c r="C26" t="s">
        <v>99</v>
      </c>
      <c r="D26">
        <v>0</v>
      </c>
      <c r="E26">
        <v>0.37554779295437352</v>
      </c>
      <c r="F26">
        <v>0.97484255826511601</v>
      </c>
      <c r="G26">
        <v>0.85166263078254667</v>
      </c>
      <c r="H26">
        <v>0.22286200281015284</v>
      </c>
      <c r="I26">
        <v>0.74624527953452913</v>
      </c>
      <c r="J26">
        <v>0.77902672663990979</v>
      </c>
      <c r="K26">
        <v>0.19023462004104949</v>
      </c>
      <c r="L26">
        <v>0.665274953019378</v>
      </c>
      <c r="M26">
        <v>0.94987814199066722</v>
      </c>
      <c r="N26">
        <v>0.32342423758824129</v>
      </c>
      <c r="O26">
        <v>0.92447303095178712</v>
      </c>
      <c r="Q26" t="s">
        <v>511</v>
      </c>
      <c r="R26" t="s">
        <v>100</v>
      </c>
      <c r="S26">
        <v>0</v>
      </c>
      <c r="T26">
        <v>0.22354703150879565</v>
      </c>
      <c r="U26">
        <v>0.71335874030824642</v>
      </c>
      <c r="V26">
        <v>0.74680418417496319</v>
      </c>
      <c r="W26">
        <v>0.1189710281104821</v>
      </c>
      <c r="X26">
        <v>0.58694556761611316</v>
      </c>
      <c r="Y26">
        <v>0.63896063764103617</v>
      </c>
      <c r="Z26">
        <v>9.6717476959825813E-2</v>
      </c>
      <c r="AA26">
        <v>0.50541097465017071</v>
      </c>
      <c r="AB26">
        <v>0.9029310871680617</v>
      </c>
      <c r="AC26">
        <v>0.17572625080793272</v>
      </c>
      <c r="AD26">
        <v>0.64651747999494069</v>
      </c>
      <c r="AF26" t="s">
        <v>511</v>
      </c>
      <c r="AG26" t="s">
        <v>101</v>
      </c>
      <c r="AH26">
        <v>0</v>
      </c>
      <c r="AI26">
        <v>1.5630921381911356E-2</v>
      </c>
      <c r="AJ26">
        <v>0.23982064999542255</v>
      </c>
      <c r="AK26">
        <v>0</v>
      </c>
      <c r="AL26">
        <v>1.4963044060309938E-2</v>
      </c>
      <c r="AM26">
        <v>1.4041414341442338E-2</v>
      </c>
      <c r="AN26">
        <v>0</v>
      </c>
      <c r="AO26">
        <v>8.2362548511489605E-3</v>
      </c>
      <c r="AP26">
        <v>0</v>
      </c>
      <c r="AQ26">
        <v>0</v>
      </c>
      <c r="AR26">
        <v>3.1817019630259714E-2</v>
      </c>
      <c r="AS26">
        <v>0.21984469521070441</v>
      </c>
      <c r="AU26" t="s">
        <v>511</v>
      </c>
      <c r="AV26" t="s">
        <v>102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511</v>
      </c>
      <c r="BS26">
        <v>0</v>
      </c>
      <c r="BT26">
        <v>0.19253814691481491</v>
      </c>
      <c r="BU26">
        <v>4.2719896604888428E-4</v>
      </c>
      <c r="BV26">
        <v>6.1461971942272384E-3</v>
      </c>
      <c r="BW26">
        <v>0.35827280536961137</v>
      </c>
      <c r="BX26">
        <v>1.5151885466344328E-2</v>
      </c>
      <c r="BY26">
        <v>1.1581384281617937E-2</v>
      </c>
      <c r="BZ26">
        <v>0.40473076269212943</v>
      </c>
      <c r="CA26">
        <v>2.7790545247904128E-2</v>
      </c>
      <c r="CB26">
        <v>8.4835219934672112E-4</v>
      </c>
      <c r="CC26">
        <v>0.23287721732565136</v>
      </c>
      <c r="CD26">
        <v>2.5248372982451129E-3</v>
      </c>
      <c r="CF26" t="s">
        <v>511</v>
      </c>
      <c r="CG26" t="s">
        <v>108</v>
      </c>
      <c r="CH26" t="s">
        <v>109</v>
      </c>
      <c r="CI26">
        <v>0.39179656356746267</v>
      </c>
    </row>
    <row r="27" spans="2:87" x14ac:dyDescent="0.45">
      <c r="B27" t="s">
        <v>512</v>
      </c>
      <c r="C27" t="s">
        <v>99</v>
      </c>
      <c r="D27">
        <v>0</v>
      </c>
      <c r="E27">
        <v>0.44375090778217191</v>
      </c>
      <c r="F27">
        <v>0.96217104976440637</v>
      </c>
      <c r="G27">
        <v>0.86938833237817825</v>
      </c>
      <c r="H27">
        <v>0.2474974147303089</v>
      </c>
      <c r="I27">
        <v>0.69925391858029795</v>
      </c>
      <c r="J27">
        <v>0.78670068702494889</v>
      </c>
      <c r="K27">
        <v>0.18556625627384127</v>
      </c>
      <c r="L27">
        <v>0.61251473068173745</v>
      </c>
      <c r="M27">
        <v>0.96726569586026367</v>
      </c>
      <c r="N27">
        <v>0.34897485098215253</v>
      </c>
      <c r="O27">
        <v>0.9004461438721636</v>
      </c>
      <c r="Q27" t="s">
        <v>512</v>
      </c>
      <c r="R27" t="s">
        <v>100</v>
      </c>
      <c r="S27">
        <v>0</v>
      </c>
      <c r="T27">
        <v>0.27002163032196935</v>
      </c>
      <c r="U27">
        <v>0.54430452876225888</v>
      </c>
      <c r="V27">
        <v>0.77620997123211555</v>
      </c>
      <c r="W27">
        <v>0.13139625678099964</v>
      </c>
      <c r="X27">
        <v>0.43201039524717161</v>
      </c>
      <c r="Y27">
        <v>0.63735782746251279</v>
      </c>
      <c r="Z27">
        <v>9.6141503255028807E-2</v>
      </c>
      <c r="AA27">
        <v>0.33714612578587771</v>
      </c>
      <c r="AB27">
        <v>0.94011600571891996</v>
      </c>
      <c r="AC27">
        <v>0.17760390089278599</v>
      </c>
      <c r="AD27">
        <v>0.45446892724158555</v>
      </c>
      <c r="AF27" t="s">
        <v>512</v>
      </c>
      <c r="AG27" t="s">
        <v>101</v>
      </c>
      <c r="AH27">
        <v>0</v>
      </c>
      <c r="AI27">
        <v>2.3761258780474248E-2</v>
      </c>
      <c r="AJ27">
        <v>0.38604195460113705</v>
      </c>
      <c r="AK27">
        <v>0</v>
      </c>
      <c r="AL27">
        <v>1.9752533367488473E-2</v>
      </c>
      <c r="AM27">
        <v>0.11288198204768371</v>
      </c>
      <c r="AN27">
        <v>0</v>
      </c>
      <c r="AO27">
        <v>1.1937589778255212E-2</v>
      </c>
      <c r="AP27">
        <v>0.10732601154771673</v>
      </c>
      <c r="AQ27">
        <v>0</v>
      </c>
      <c r="AR27">
        <v>4.2217709688906008E-2</v>
      </c>
      <c r="AS27">
        <v>0.36074258718399288</v>
      </c>
      <c r="AU27" t="s">
        <v>512</v>
      </c>
      <c r="AV27" t="s">
        <v>102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8.1981910669707888E-3</v>
      </c>
      <c r="BR27" t="s">
        <v>512</v>
      </c>
      <c r="BS27">
        <v>0</v>
      </c>
      <c r="BT27">
        <v>0.12552530271148418</v>
      </c>
      <c r="BU27">
        <v>5.6920783672108127E-4</v>
      </c>
      <c r="BV27">
        <v>3.3081495852278642E-3</v>
      </c>
      <c r="BW27">
        <v>0.32715876001811484</v>
      </c>
      <c r="BX27">
        <v>2.2058715108798845E-2</v>
      </c>
      <c r="BY27">
        <v>7.5495346935075466E-3</v>
      </c>
      <c r="BZ27">
        <v>0.37244580182595283</v>
      </c>
      <c r="CA27">
        <v>3.9310784856702155E-2</v>
      </c>
      <c r="CB27">
        <v>1.8165628455345741E-4</v>
      </c>
      <c r="CC27">
        <v>0.19902578554055361</v>
      </c>
      <c r="CD27">
        <v>3.6190974290211341E-3</v>
      </c>
      <c r="CF27" t="s">
        <v>512</v>
      </c>
      <c r="CG27" t="s">
        <v>108</v>
      </c>
      <c r="CH27" t="s">
        <v>109</v>
      </c>
      <c r="CI27">
        <v>0.35522228704938708</v>
      </c>
    </row>
    <row r="28" spans="2:87" x14ac:dyDescent="0.45">
      <c r="B28" t="s">
        <v>513</v>
      </c>
      <c r="C28" t="s">
        <v>99</v>
      </c>
      <c r="D28">
        <v>0</v>
      </c>
      <c r="E28">
        <v>0.46882902048495684</v>
      </c>
      <c r="F28">
        <v>0.97037037037037044</v>
      </c>
      <c r="G28">
        <v>0.8677702896563696</v>
      </c>
      <c r="H28">
        <v>0.24642650616909001</v>
      </c>
      <c r="I28">
        <v>0.69783699381020092</v>
      </c>
      <c r="J28">
        <v>0.78407008153624169</v>
      </c>
      <c r="K28">
        <v>0.18918390599055215</v>
      </c>
      <c r="L28">
        <v>0.60902935242420286</v>
      </c>
      <c r="M28">
        <v>0.96985738222095952</v>
      </c>
      <c r="N28">
        <v>0.35976123080740474</v>
      </c>
      <c r="O28">
        <v>0.90260335521134327</v>
      </c>
      <c r="Q28" t="s">
        <v>513</v>
      </c>
      <c r="R28" t="s">
        <v>100</v>
      </c>
      <c r="S28">
        <v>0</v>
      </c>
      <c r="T28">
        <v>0.28960066957377545</v>
      </c>
      <c r="U28">
        <v>0.63256206309564267</v>
      </c>
      <c r="V28">
        <v>0.77047588683090995</v>
      </c>
      <c r="W28">
        <v>0.13166291576007536</v>
      </c>
      <c r="X28">
        <v>0.40594681072777511</v>
      </c>
      <c r="Y28">
        <v>0.63501124477129134</v>
      </c>
      <c r="Z28">
        <v>9.5998785034975193E-2</v>
      </c>
      <c r="AA28">
        <v>0.30454524267193428</v>
      </c>
      <c r="AB28">
        <v>0.94400197671002861</v>
      </c>
      <c r="AC28">
        <v>0.18497454205093355</v>
      </c>
      <c r="AD28">
        <v>0.36430811474490105</v>
      </c>
      <c r="AF28" t="s">
        <v>513</v>
      </c>
      <c r="AG28" t="s">
        <v>101</v>
      </c>
      <c r="AH28">
        <v>0</v>
      </c>
      <c r="AI28">
        <v>2.9523855478684035E-2</v>
      </c>
      <c r="AJ28">
        <v>0.30905659259708712</v>
      </c>
      <c r="AK28">
        <v>0</v>
      </c>
      <c r="AL28">
        <v>2.0995323776093318E-2</v>
      </c>
      <c r="AM28">
        <v>0.14115642310695667</v>
      </c>
      <c r="AN28">
        <v>0</v>
      </c>
      <c r="AO28">
        <v>1.3357374757927906E-2</v>
      </c>
      <c r="AP28">
        <v>0.13920092805067566</v>
      </c>
      <c r="AQ28">
        <v>0</v>
      </c>
      <c r="AR28">
        <v>4.6012565850866043E-2</v>
      </c>
      <c r="AS28">
        <v>0.45416066229865804</v>
      </c>
      <c r="AU28" t="s">
        <v>513</v>
      </c>
      <c r="AV28" t="s">
        <v>102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4.9980117158843745E-3</v>
      </c>
      <c r="BR28" t="s">
        <v>513</v>
      </c>
      <c r="BS28">
        <v>0</v>
      </c>
      <c r="BT28">
        <v>0.11994985877279937</v>
      </c>
      <c r="BU28">
        <v>4.68796155791967E-4</v>
      </c>
      <c r="BV28">
        <v>3.7364171146604054E-3</v>
      </c>
      <c r="BW28">
        <v>0.32651100419888707</v>
      </c>
      <c r="BX28">
        <v>2.2616272813518228E-2</v>
      </c>
      <c r="BY28">
        <v>7.9531463649494781E-3</v>
      </c>
      <c r="BZ28">
        <v>0.36611054197921211</v>
      </c>
      <c r="CA28">
        <v>4.1583575667580377E-2</v>
      </c>
      <c r="CB28">
        <v>1.8899810046308895E-4</v>
      </c>
      <c r="CC28">
        <v>0.20026492147208796</v>
      </c>
      <c r="CD28">
        <v>3.5371048144226969E-3</v>
      </c>
      <c r="CF28" t="s">
        <v>513</v>
      </c>
      <c r="CG28" t="s">
        <v>108</v>
      </c>
      <c r="CH28" t="s">
        <v>109</v>
      </c>
      <c r="CI28">
        <v>0.35001510872363961</v>
      </c>
    </row>
    <row r="29" spans="2:87" x14ac:dyDescent="0.45">
      <c r="B29" t="s">
        <v>514</v>
      </c>
      <c r="C29" t="s">
        <v>99</v>
      </c>
      <c r="D29">
        <v>0</v>
      </c>
      <c r="E29">
        <v>0.46486103293618841</v>
      </c>
      <c r="F29">
        <v>0.9740740740740742</v>
      </c>
      <c r="G29">
        <v>0.86089172920741341</v>
      </c>
      <c r="H29">
        <v>0.24793257412730976</v>
      </c>
      <c r="I29">
        <v>0.71127159426066411</v>
      </c>
      <c r="J29">
        <v>0.77679280376361148</v>
      </c>
      <c r="K29">
        <v>0.18340008284515638</v>
      </c>
      <c r="L29">
        <v>0.61736244139140617</v>
      </c>
      <c r="M29">
        <v>0.96338207889809035</v>
      </c>
      <c r="N29">
        <v>0.36127453091528577</v>
      </c>
      <c r="O29">
        <v>0.90774476513863989</v>
      </c>
      <c r="Q29" t="s">
        <v>514</v>
      </c>
      <c r="R29" t="s">
        <v>100</v>
      </c>
      <c r="S29">
        <v>0</v>
      </c>
      <c r="T29">
        <v>0.28596385633000099</v>
      </c>
      <c r="U29">
        <v>0.45235422137073444</v>
      </c>
      <c r="V29">
        <v>0.76118554372042646</v>
      </c>
      <c r="W29">
        <v>0.13080379818212581</v>
      </c>
      <c r="X29">
        <v>0.432180166192207</v>
      </c>
      <c r="Y29">
        <v>0.62966301483395937</v>
      </c>
      <c r="Z29">
        <v>9.4310227891269929E-2</v>
      </c>
      <c r="AA29">
        <v>0.35603506143415736</v>
      </c>
      <c r="AB29">
        <v>0.93019377099819611</v>
      </c>
      <c r="AC29">
        <v>0.18830728890523216</v>
      </c>
      <c r="AD29">
        <v>0.39716801760604314</v>
      </c>
      <c r="AF29" t="s">
        <v>514</v>
      </c>
      <c r="AG29" t="s">
        <v>101</v>
      </c>
      <c r="AH29">
        <v>0</v>
      </c>
      <c r="AI29">
        <v>3.016362020089116E-2</v>
      </c>
      <c r="AJ29">
        <v>0.49646608041253032</v>
      </c>
      <c r="AK29">
        <v>0</v>
      </c>
      <c r="AL29">
        <v>1.9362028994299486E-2</v>
      </c>
      <c r="AM29">
        <v>0.12545597139922407</v>
      </c>
      <c r="AN29">
        <v>0</v>
      </c>
      <c r="AO29">
        <v>1.2506133260740052E-2</v>
      </c>
      <c r="AP29">
        <v>9.6604081630912969E-2</v>
      </c>
      <c r="AQ29">
        <v>0</v>
      </c>
      <c r="AR29">
        <v>4.6291033062626975E-2</v>
      </c>
      <c r="AS29">
        <v>0.43463359884077607</v>
      </c>
      <c r="AU29" t="s">
        <v>514</v>
      </c>
      <c r="AV29" t="s">
        <v>102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1.6717422395799097E-3</v>
      </c>
      <c r="BR29" t="s">
        <v>514</v>
      </c>
      <c r="BS29">
        <v>0</v>
      </c>
      <c r="BT29">
        <v>0.11124814711902499</v>
      </c>
      <c r="BU29">
        <v>3.6487621275848307E-4</v>
      </c>
      <c r="BV29">
        <v>4.3387618007457145E-3</v>
      </c>
      <c r="BW29">
        <v>0.3254523644081766</v>
      </c>
      <c r="BX29">
        <v>1.9646858353824355E-2</v>
      </c>
      <c r="BY29">
        <v>9.3091216370963323E-3</v>
      </c>
      <c r="BZ29">
        <v>0.37011163175372852</v>
      </c>
      <c r="CA29">
        <v>3.6246134172513558E-2</v>
      </c>
      <c r="CB29">
        <v>2.5672704394231755E-4</v>
      </c>
      <c r="CC29">
        <v>0.19783338924938609</v>
      </c>
      <c r="CD29">
        <v>3.0586582646927583E-3</v>
      </c>
      <c r="CF29" t="s">
        <v>514</v>
      </c>
      <c r="CG29" t="s">
        <v>108</v>
      </c>
      <c r="CH29" t="s">
        <v>109</v>
      </c>
      <c r="CI29">
        <v>0.35746656768151441</v>
      </c>
    </row>
    <row r="30" spans="2:87" x14ac:dyDescent="0.45">
      <c r="B30" t="s">
        <v>515</v>
      </c>
      <c r="C30" t="s">
        <v>99</v>
      </c>
      <c r="D30">
        <v>0</v>
      </c>
      <c r="E30">
        <v>0.45318336678838955</v>
      </c>
      <c r="F30">
        <v>0.97592592592592586</v>
      </c>
      <c r="G30">
        <v>0.85757094694566383</v>
      </c>
      <c r="H30">
        <v>0.24412146082039662</v>
      </c>
      <c r="I30">
        <v>0.72267647855876627</v>
      </c>
      <c r="J30">
        <v>0.77286530907311524</v>
      </c>
      <c r="K30">
        <v>0.17377573170764665</v>
      </c>
      <c r="L30">
        <v>0.62485226655955606</v>
      </c>
      <c r="M30">
        <v>0.96053950347709005</v>
      </c>
      <c r="N30">
        <v>0.37152820766143829</v>
      </c>
      <c r="O30">
        <v>0.91739584792456474</v>
      </c>
      <c r="Q30" t="s">
        <v>515</v>
      </c>
      <c r="R30" t="s">
        <v>100</v>
      </c>
      <c r="S30">
        <v>0</v>
      </c>
      <c r="T30">
        <v>0.27443313323183155</v>
      </c>
      <c r="U30">
        <v>0.57277997640351896</v>
      </c>
      <c r="V30">
        <v>0.75387100952751662</v>
      </c>
      <c r="W30">
        <v>0.13331106502300216</v>
      </c>
      <c r="X30">
        <v>0.52024086263253766</v>
      </c>
      <c r="Y30">
        <v>0.62145311437248307</v>
      </c>
      <c r="Z30">
        <v>9.0207412802938258E-2</v>
      </c>
      <c r="AA30">
        <v>0.45799625697696439</v>
      </c>
      <c r="AB30">
        <v>0.92546666218875062</v>
      </c>
      <c r="AC30">
        <v>0.19574081055275108</v>
      </c>
      <c r="AD30">
        <v>0.43430316034827071</v>
      </c>
      <c r="AF30" t="s">
        <v>515</v>
      </c>
      <c r="AG30" t="s">
        <v>101</v>
      </c>
      <c r="AH30">
        <v>0</v>
      </c>
      <c r="AI30">
        <v>3.002543067555985E-2</v>
      </c>
      <c r="AJ30">
        <v>0.38041430490570644</v>
      </c>
      <c r="AK30">
        <v>0</v>
      </c>
      <c r="AL30">
        <v>1.7293321387209525E-2</v>
      </c>
      <c r="AM30">
        <v>5.2017778209090489E-2</v>
      </c>
      <c r="AN30">
        <v>0</v>
      </c>
      <c r="AO30">
        <v>8.4670978259740615E-3</v>
      </c>
      <c r="AP30">
        <v>0</v>
      </c>
      <c r="AQ30">
        <v>0</v>
      </c>
      <c r="AR30">
        <v>4.7219551087784556E-2</v>
      </c>
      <c r="AS30">
        <v>0.41669827879823312</v>
      </c>
      <c r="AU30" t="s">
        <v>515</v>
      </c>
      <c r="AV30" t="s">
        <v>102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515</v>
      </c>
      <c r="BS30">
        <v>0</v>
      </c>
      <c r="BT30">
        <v>0.11632513918068305</v>
      </c>
      <c r="BU30">
        <v>3.1651608105847274E-4</v>
      </c>
      <c r="BV30">
        <v>4.489116611796292E-3</v>
      </c>
      <c r="BW30">
        <v>0.31701737947224135</v>
      </c>
      <c r="BX30">
        <v>1.7099971467372917E-2</v>
      </c>
      <c r="BY30">
        <v>1.0811029333606816E-2</v>
      </c>
      <c r="BZ30">
        <v>0.39229929151386611</v>
      </c>
      <c r="CA30">
        <v>3.3087699102907944E-2</v>
      </c>
      <c r="CB30">
        <v>4.2723236404979892E-4</v>
      </c>
      <c r="CC30">
        <v>0.19209302197975384</v>
      </c>
      <c r="CD30">
        <v>3.0072431867281266E-3</v>
      </c>
      <c r="CF30" t="s">
        <v>515</v>
      </c>
      <c r="CG30" t="s">
        <v>108</v>
      </c>
      <c r="CH30" t="s">
        <v>109</v>
      </c>
      <c r="CI30">
        <v>0.36752694516073248</v>
      </c>
    </row>
    <row r="31" spans="2:87" x14ac:dyDescent="0.45">
      <c r="B31" t="s">
        <v>516</v>
      </c>
      <c r="C31" t="s">
        <v>99</v>
      </c>
      <c r="D31">
        <v>0</v>
      </c>
      <c r="E31">
        <v>0.43129465233115666</v>
      </c>
      <c r="F31">
        <v>0.97407407407407409</v>
      </c>
      <c r="G31">
        <v>0.85459885517077006</v>
      </c>
      <c r="H31">
        <v>0.22601488346060458</v>
      </c>
      <c r="I31">
        <v>0.73179735572764026</v>
      </c>
      <c r="J31">
        <v>0.77315922118605984</v>
      </c>
      <c r="K31">
        <v>0.17672397088667113</v>
      </c>
      <c r="L31">
        <v>0.63534375389914988</v>
      </c>
      <c r="M31">
        <v>0.95418882636383895</v>
      </c>
      <c r="N31">
        <v>0.36001983989665542</v>
      </c>
      <c r="O31">
        <v>0.91525436382923875</v>
      </c>
      <c r="Q31" t="s">
        <v>516</v>
      </c>
      <c r="R31" t="s">
        <v>100</v>
      </c>
      <c r="S31">
        <v>0</v>
      </c>
      <c r="T31">
        <v>0.26641896261596826</v>
      </c>
      <c r="U31">
        <v>0.66315568244991596</v>
      </c>
      <c r="V31">
        <v>0.75070379793132092</v>
      </c>
      <c r="W31">
        <v>0.1199010796739967</v>
      </c>
      <c r="X31">
        <v>0.58309402213381978</v>
      </c>
      <c r="Y31">
        <v>0.62564793534175656</v>
      </c>
      <c r="Z31">
        <v>9.0976980696491419E-2</v>
      </c>
      <c r="AA31">
        <v>0.46775061811038426</v>
      </c>
      <c r="AB31">
        <v>0.91153031298229237</v>
      </c>
      <c r="AC31">
        <v>0.19033514120223527</v>
      </c>
      <c r="AD31">
        <v>0.40278382153602138</v>
      </c>
      <c r="AF31" t="s">
        <v>516</v>
      </c>
      <c r="AG31" t="s">
        <v>101</v>
      </c>
      <c r="AH31">
        <v>0</v>
      </c>
      <c r="AI31">
        <v>2.602907742487811E-2</v>
      </c>
      <c r="AJ31">
        <v>0.2882406320146258</v>
      </c>
      <c r="AK31">
        <v>0</v>
      </c>
      <c r="AL31">
        <v>1.6950812882498875E-2</v>
      </c>
      <c r="AM31">
        <v>0</v>
      </c>
      <c r="AN31">
        <v>0</v>
      </c>
      <c r="AO31">
        <v>8.5372541909700568E-3</v>
      </c>
      <c r="AP31">
        <v>0</v>
      </c>
      <c r="AQ31">
        <v>0</v>
      </c>
      <c r="AR31">
        <v>4.1450077488009787E-2</v>
      </c>
      <c r="AS31">
        <v>0.44728794737598637</v>
      </c>
      <c r="AU31" t="s">
        <v>516</v>
      </c>
      <c r="AV31" t="s">
        <v>102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516</v>
      </c>
      <c r="BS31">
        <v>0</v>
      </c>
      <c r="BT31">
        <v>0.12872669854914146</v>
      </c>
      <c r="BU31">
        <v>3.2530084049334982E-4</v>
      </c>
      <c r="BV31">
        <v>5.0314366393534879E-3</v>
      </c>
      <c r="BW31">
        <v>0.32493842003379564</v>
      </c>
      <c r="BX31">
        <v>1.6154701113796036E-2</v>
      </c>
      <c r="BY31">
        <v>1.1529623758728451E-2</v>
      </c>
      <c r="BZ31">
        <v>0.40058110216091136</v>
      </c>
      <c r="CA31">
        <v>3.1828264071512985E-2</v>
      </c>
      <c r="CB31">
        <v>6.2257285095399157E-4</v>
      </c>
      <c r="CC31">
        <v>0.20379193722347688</v>
      </c>
      <c r="CD31">
        <v>2.8705004557733806E-3</v>
      </c>
      <c r="CF31" t="s">
        <v>516</v>
      </c>
      <c r="CG31" t="s">
        <v>108</v>
      </c>
      <c r="CH31" t="s">
        <v>109</v>
      </c>
      <c r="CI31">
        <v>0.36845617286484228</v>
      </c>
    </row>
    <row r="32" spans="2:87" x14ac:dyDescent="0.45">
      <c r="B32" t="s">
        <v>517</v>
      </c>
      <c r="C32" t="s">
        <v>99</v>
      </c>
      <c r="D32">
        <v>0</v>
      </c>
      <c r="E32">
        <v>0.42357232095064418</v>
      </c>
      <c r="F32">
        <v>0.96164601433555208</v>
      </c>
      <c r="G32">
        <v>0.87073056617255851</v>
      </c>
      <c r="H32">
        <v>0.25202887912691085</v>
      </c>
      <c r="I32">
        <v>0.71944443993720208</v>
      </c>
      <c r="J32">
        <v>0.7924572562439901</v>
      </c>
      <c r="K32">
        <v>0.17777176952691867</v>
      </c>
      <c r="L32">
        <v>0.62690953165380869</v>
      </c>
      <c r="M32">
        <v>0.96909587921700924</v>
      </c>
      <c r="N32">
        <v>0.35484531390020851</v>
      </c>
      <c r="O32">
        <v>0.89980139391205249</v>
      </c>
      <c r="Q32" t="s">
        <v>517</v>
      </c>
      <c r="R32" t="s">
        <v>100</v>
      </c>
      <c r="S32">
        <v>0</v>
      </c>
      <c r="T32">
        <v>0.25685758037766554</v>
      </c>
      <c r="U32">
        <v>0.75041247645643716</v>
      </c>
      <c r="V32">
        <v>0.7761402282725598</v>
      </c>
      <c r="W32">
        <v>0.13612706456009488</v>
      </c>
      <c r="X32">
        <v>0.46841848388796342</v>
      </c>
      <c r="Y32">
        <v>0.64922485524018503</v>
      </c>
      <c r="Z32">
        <v>8.7899920614559438E-2</v>
      </c>
      <c r="AA32">
        <v>0.45635168418304084</v>
      </c>
      <c r="AB32">
        <v>0.93981001473517667</v>
      </c>
      <c r="AC32">
        <v>0.18877096452860881</v>
      </c>
      <c r="AD32">
        <v>0.33430040789224352</v>
      </c>
      <c r="AF32" t="s">
        <v>517</v>
      </c>
      <c r="AG32" t="s">
        <v>101</v>
      </c>
      <c r="AH32">
        <v>0</v>
      </c>
      <c r="AI32">
        <v>1.9746756835464601E-2</v>
      </c>
      <c r="AJ32">
        <v>0.17561701882964986</v>
      </c>
      <c r="AK32">
        <v>0</v>
      </c>
      <c r="AL32">
        <v>1.9623783332136359E-2</v>
      </c>
      <c r="AM32">
        <v>9.9159726325185882E-2</v>
      </c>
      <c r="AN32">
        <v>0</v>
      </c>
      <c r="AO32">
        <v>1.0419818968780501E-2</v>
      </c>
      <c r="AP32">
        <v>0</v>
      </c>
      <c r="AQ32">
        <v>0</v>
      </c>
      <c r="AR32">
        <v>3.2084663218940095E-2</v>
      </c>
      <c r="AS32">
        <v>0.48519472577191236</v>
      </c>
      <c r="AU32" t="s">
        <v>517</v>
      </c>
      <c r="AV32" t="s">
        <v>102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3.2689378396776932E-3</v>
      </c>
      <c r="BR32" t="s">
        <v>517</v>
      </c>
      <c r="BS32">
        <v>0</v>
      </c>
      <c r="BT32">
        <v>0.15186500553473564</v>
      </c>
      <c r="BU32">
        <v>8.7368956791259984E-4</v>
      </c>
      <c r="BV32">
        <v>3.4734252850361406E-3</v>
      </c>
      <c r="BW32">
        <v>0.33378712893175111</v>
      </c>
      <c r="BX32">
        <v>1.988507808520118E-2</v>
      </c>
      <c r="BY32">
        <v>8.0879594460703426E-3</v>
      </c>
      <c r="BZ32">
        <v>0.41020296548642532</v>
      </c>
      <c r="CA32">
        <v>3.9632662070678122E-2</v>
      </c>
      <c r="CB32">
        <v>2.7412793910439439E-4</v>
      </c>
      <c r="CC32">
        <v>0.21818351063238753</v>
      </c>
      <c r="CD32">
        <v>4.2313433793573557E-3</v>
      </c>
      <c r="CF32" t="s">
        <v>517</v>
      </c>
      <c r="CG32" t="s">
        <v>108</v>
      </c>
      <c r="CH32" t="s">
        <v>109</v>
      </c>
      <c r="CI32">
        <v>0.3975333996614579</v>
      </c>
    </row>
    <row r="33" spans="2:87" x14ac:dyDescent="0.45">
      <c r="B33" t="s">
        <v>518</v>
      </c>
      <c r="C33" t="s">
        <v>99</v>
      </c>
      <c r="D33">
        <v>0</v>
      </c>
      <c r="E33">
        <v>0.43195442950173463</v>
      </c>
      <c r="F33">
        <v>0.96100583745573731</v>
      </c>
      <c r="G33">
        <v>0.86965860705738396</v>
      </c>
      <c r="H33">
        <v>0.23945718066233962</v>
      </c>
      <c r="I33">
        <v>0.70759341479428572</v>
      </c>
      <c r="J33">
        <v>0.79025828002900322</v>
      </c>
      <c r="K33">
        <v>0.18196276581946727</v>
      </c>
      <c r="L33">
        <v>0.61853320901632314</v>
      </c>
      <c r="M33">
        <v>0.96840122382079041</v>
      </c>
      <c r="N33">
        <v>0.34890332462548074</v>
      </c>
      <c r="O33">
        <v>0.9004981507261931</v>
      </c>
      <c r="Q33" t="s">
        <v>518</v>
      </c>
      <c r="R33" t="s">
        <v>100</v>
      </c>
      <c r="S33">
        <v>0</v>
      </c>
      <c r="T33">
        <v>0.26290355557493195</v>
      </c>
      <c r="U33">
        <v>0.71724008652107341</v>
      </c>
      <c r="V33">
        <v>0.77738930754860125</v>
      </c>
      <c r="W33">
        <v>0.13063596299278082</v>
      </c>
      <c r="X33">
        <v>0.45650060618700761</v>
      </c>
      <c r="Y33">
        <v>0.64498333250160422</v>
      </c>
      <c r="Z33">
        <v>9.2136930970362699E-2</v>
      </c>
      <c r="AA33">
        <v>0.40261814844817312</v>
      </c>
      <c r="AB33">
        <v>0.93913635167235965</v>
      </c>
      <c r="AC33">
        <v>0.18089032940091268</v>
      </c>
      <c r="AD33">
        <v>0.37448411506746299</v>
      </c>
      <c r="AF33" t="s">
        <v>518</v>
      </c>
      <c r="AG33" t="s">
        <v>101</v>
      </c>
      <c r="AH33">
        <v>0</v>
      </c>
      <c r="AI33">
        <v>2.3913817610823344E-2</v>
      </c>
      <c r="AJ33">
        <v>0.20866975971204912</v>
      </c>
      <c r="AK33">
        <v>0</v>
      </c>
      <c r="AL33">
        <v>1.6115243981371527E-2</v>
      </c>
      <c r="AM33">
        <v>9.6669331874496167E-2</v>
      </c>
      <c r="AN33">
        <v>0</v>
      </c>
      <c r="AO33">
        <v>1.1572900725428518E-2</v>
      </c>
      <c r="AP33">
        <v>4.5811687509860963E-2</v>
      </c>
      <c r="AQ33">
        <v>0</v>
      </c>
      <c r="AR33">
        <v>3.6798026356889106E-2</v>
      </c>
      <c r="AS33">
        <v>0.4412508425523563</v>
      </c>
      <c r="AU33" t="s">
        <v>518</v>
      </c>
      <c r="AV33" t="s">
        <v>102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7.7714197857361019E-3</v>
      </c>
      <c r="BR33" t="s">
        <v>518</v>
      </c>
      <c r="BS33">
        <v>0</v>
      </c>
      <c r="BT33">
        <v>0.12691824609241734</v>
      </c>
      <c r="BU33">
        <v>7.3843246377296244E-4</v>
      </c>
      <c r="BV33">
        <v>3.2747605669792307E-3</v>
      </c>
      <c r="BW33">
        <v>0.32674022183775492</v>
      </c>
      <c r="BX33">
        <v>2.1266131452068054E-2</v>
      </c>
      <c r="BY33">
        <v>7.9507664237909066E-3</v>
      </c>
      <c r="BZ33">
        <v>0.39691100975571658</v>
      </c>
      <c r="CA33">
        <v>3.9559684624457844E-2</v>
      </c>
      <c r="CB33">
        <v>2.3577000912857168E-4</v>
      </c>
      <c r="CC33">
        <v>0.20306276077320076</v>
      </c>
      <c r="CD33">
        <v>4.158304737477081E-3</v>
      </c>
      <c r="CF33" t="s">
        <v>518</v>
      </c>
      <c r="CG33" t="s">
        <v>108</v>
      </c>
      <c r="CH33" t="s">
        <v>109</v>
      </c>
      <c r="CI33">
        <v>0.38699824734164012</v>
      </c>
    </row>
    <row r="34" spans="2:87" x14ac:dyDescent="0.45">
      <c r="B34" t="s">
        <v>519</v>
      </c>
      <c r="C34" t="s">
        <v>99</v>
      </c>
      <c r="D34">
        <v>0.24531411640859677</v>
      </c>
      <c r="E34">
        <v>0.25618518312797728</v>
      </c>
      <c r="F34">
        <v>0.24263702200567394</v>
      </c>
      <c r="G34">
        <v>0.29549563707461723</v>
      </c>
      <c r="H34">
        <v>0.28746470080834474</v>
      </c>
      <c r="I34">
        <v>0.25601627326515231</v>
      </c>
      <c r="J34">
        <v>0.33097908964890815</v>
      </c>
      <c r="K34">
        <v>0.31961476713982684</v>
      </c>
      <c r="L34">
        <v>0.31031314225823692</v>
      </c>
      <c r="M34">
        <v>0.25337521715060796</v>
      </c>
      <c r="N34">
        <v>0.25702091059923204</v>
      </c>
      <c r="O34">
        <v>0.24277883709628625</v>
      </c>
      <c r="Q34" t="s">
        <v>519</v>
      </c>
      <c r="R34" t="s">
        <v>100</v>
      </c>
      <c r="S34">
        <v>1.0660844984129912E-2</v>
      </c>
      <c r="T34">
        <v>8.3254810118414992E-3</v>
      </c>
      <c r="U34">
        <v>4.5456066219450621E-3</v>
      </c>
      <c r="V34">
        <v>1.7520324025449976E-2</v>
      </c>
      <c r="W34">
        <v>1.1562188249058289E-2</v>
      </c>
      <c r="X34">
        <v>7.0740720577765282E-3</v>
      </c>
      <c r="Y34">
        <v>2.6678856802395557E-2</v>
      </c>
      <c r="Z34">
        <v>1.6245401847976938E-2</v>
      </c>
      <c r="AA34">
        <v>1.393616376499811E-2</v>
      </c>
      <c r="AB34">
        <v>1.2839524333467838E-2</v>
      </c>
      <c r="AC34">
        <v>1.5576805673333225E-2</v>
      </c>
      <c r="AD34">
        <v>1.218153613466353E-2</v>
      </c>
      <c r="AF34" t="s">
        <v>519</v>
      </c>
      <c r="AG34" t="s">
        <v>101</v>
      </c>
      <c r="AH34">
        <v>9.5342283871966329E-3</v>
      </c>
      <c r="AI34">
        <v>1.2279459247608147E-2</v>
      </c>
      <c r="AJ34">
        <v>1.4993528679982404E-2</v>
      </c>
      <c r="AK34">
        <v>1.579092605889135E-2</v>
      </c>
      <c r="AL34">
        <v>1.4407432140433116E-2</v>
      </c>
      <c r="AM34">
        <v>1.2057228158936024E-2</v>
      </c>
      <c r="AN34">
        <v>2.44830040034371E-2</v>
      </c>
      <c r="AO34">
        <v>2.8354717515782779E-2</v>
      </c>
      <c r="AP34">
        <v>2.7720459127264764E-2</v>
      </c>
      <c r="AQ34">
        <v>1.6984276281059776E-2</v>
      </c>
      <c r="AR34">
        <v>1.6729558529937478E-2</v>
      </c>
      <c r="AS34">
        <v>1.2923744331657973E-2</v>
      </c>
      <c r="AU34" t="s">
        <v>519</v>
      </c>
      <c r="AV34" t="s">
        <v>102</v>
      </c>
      <c r="AW34">
        <v>9.6300949859431551E-2</v>
      </c>
      <c r="AX34">
        <v>9.5251355106011529E-2</v>
      </c>
      <c r="AY34">
        <v>9.1864560102135895E-2</v>
      </c>
      <c r="AZ34">
        <v>0.11802046644106944</v>
      </c>
      <c r="BA34">
        <v>0.12365418911691667</v>
      </c>
      <c r="BB34">
        <v>0.11536760516834366</v>
      </c>
      <c r="BC34">
        <v>0.14841798693128466</v>
      </c>
      <c r="BD34">
        <v>0.14752691145757851</v>
      </c>
      <c r="BE34">
        <v>0.14371232399348013</v>
      </c>
      <c r="BF34">
        <v>9.0479043306394238E-2</v>
      </c>
      <c r="BG34">
        <v>9.4461084086888872E-2</v>
      </c>
      <c r="BH34">
        <v>8.9903597034041438E-2</v>
      </c>
      <c r="BR34" t="s">
        <v>519</v>
      </c>
      <c r="BS34">
        <v>0.65393326166524124</v>
      </c>
      <c r="BT34">
        <v>0.65197252441721198</v>
      </c>
      <c r="BU34">
        <v>0.65895955896528213</v>
      </c>
      <c r="BV34">
        <v>0.57295411604303459</v>
      </c>
      <c r="BW34">
        <v>0.57721018368761479</v>
      </c>
      <c r="BX34">
        <v>0.61191971762549324</v>
      </c>
      <c r="BY34">
        <v>0.43204857675483238</v>
      </c>
      <c r="BZ34">
        <v>0.44714896464386766</v>
      </c>
      <c r="CA34">
        <v>0.42946110696242729</v>
      </c>
      <c r="CB34">
        <v>0.63143193573304923</v>
      </c>
      <c r="CC34">
        <v>0.62599915169629827</v>
      </c>
      <c r="CD34">
        <v>0.64641080062303213</v>
      </c>
      <c r="CF34" t="s">
        <v>520</v>
      </c>
      <c r="CG34" t="s">
        <v>108</v>
      </c>
      <c r="CH34" t="s">
        <v>109</v>
      </c>
      <c r="CI34">
        <v>0.1709649807983491</v>
      </c>
    </row>
    <row r="35" spans="2:87" x14ac:dyDescent="0.45">
      <c r="B35" t="s">
        <v>521</v>
      </c>
      <c r="C35" t="s">
        <v>99</v>
      </c>
      <c r="D35">
        <v>0.24153540043608809</v>
      </c>
      <c r="E35">
        <v>0.25243780924771753</v>
      </c>
      <c r="F35">
        <v>0.2456745153605836</v>
      </c>
      <c r="G35">
        <v>0.29585253273522266</v>
      </c>
      <c r="H35">
        <v>0.29143397484317363</v>
      </c>
      <c r="I35">
        <v>0.26864757104111986</v>
      </c>
      <c r="J35">
        <v>0.32825663400366778</v>
      </c>
      <c r="K35">
        <v>0.32211045630767532</v>
      </c>
      <c r="L35">
        <v>0.30302650739085374</v>
      </c>
      <c r="M35">
        <v>0.24976357048460732</v>
      </c>
      <c r="N35">
        <v>0.25641559179085821</v>
      </c>
      <c r="O35">
        <v>0.23676032658317708</v>
      </c>
      <c r="Q35" t="s">
        <v>521</v>
      </c>
      <c r="R35" t="s">
        <v>100</v>
      </c>
      <c r="S35">
        <v>1.0530947570669698E-2</v>
      </c>
      <c r="T35">
        <v>6.5535262031636296E-3</v>
      </c>
      <c r="U35">
        <v>7.1349326024998981E-3</v>
      </c>
      <c r="V35">
        <v>2.1747097105693811E-2</v>
      </c>
      <c r="W35">
        <v>1.3981599494429906E-2</v>
      </c>
      <c r="X35">
        <v>8.8490852378218434E-3</v>
      </c>
      <c r="Y35">
        <v>2.9595146886371746E-2</v>
      </c>
      <c r="Z35">
        <v>1.599666524124805E-2</v>
      </c>
      <c r="AA35">
        <v>2.4223531517819679E-2</v>
      </c>
      <c r="AB35">
        <v>1.2712710299086235E-2</v>
      </c>
      <c r="AC35">
        <v>1.8736701682691578E-2</v>
      </c>
      <c r="AD35">
        <v>1.4425012924695706E-2</v>
      </c>
      <c r="AF35" t="s">
        <v>521</v>
      </c>
      <c r="AG35" t="s">
        <v>101</v>
      </c>
      <c r="AH35">
        <v>1.1772112882031508E-2</v>
      </c>
      <c r="AI35">
        <v>1.2891128528207254E-2</v>
      </c>
      <c r="AJ35">
        <v>9.8348324617504364E-3</v>
      </c>
      <c r="AK35">
        <v>1.5591208971311421E-2</v>
      </c>
      <c r="AL35">
        <v>1.5633605319250364E-2</v>
      </c>
      <c r="AM35">
        <v>2.4311837592803073E-2</v>
      </c>
      <c r="AN35">
        <v>2.7193785943399291E-2</v>
      </c>
      <c r="AO35">
        <v>2.9231787780062485E-2</v>
      </c>
      <c r="AP35">
        <v>1.6162429028468404E-2</v>
      </c>
      <c r="AQ35">
        <v>1.7353323061405322E-2</v>
      </c>
      <c r="AR35">
        <v>1.4241451962500644E-2</v>
      </c>
      <c r="AS35">
        <v>1.8671135531063861E-2</v>
      </c>
      <c r="AU35" t="s">
        <v>521</v>
      </c>
      <c r="AV35" t="s">
        <v>102</v>
      </c>
      <c r="AW35">
        <v>9.3004583545152231E-2</v>
      </c>
      <c r="AX35">
        <v>9.627583275094917E-2</v>
      </c>
      <c r="AY35">
        <v>9.3325432985891368E-2</v>
      </c>
      <c r="AZ35">
        <v>0.11992818971592345</v>
      </c>
      <c r="BA35">
        <v>0.13344481424608309</v>
      </c>
      <c r="BB35">
        <v>0.11602642373577715</v>
      </c>
      <c r="BC35">
        <v>0.14374526116251723</v>
      </c>
      <c r="BD35">
        <v>0.15261501043779213</v>
      </c>
      <c r="BE35">
        <v>0.14251587653734371</v>
      </c>
      <c r="BF35">
        <v>8.6139584843150402E-2</v>
      </c>
      <c r="BG35">
        <v>9.2249170428024288E-2</v>
      </c>
      <c r="BH35">
        <v>8.3180986889441713E-2</v>
      </c>
      <c r="BR35" t="s">
        <v>521</v>
      </c>
      <c r="BS35">
        <v>0.65275754919948159</v>
      </c>
      <c r="BT35">
        <v>0.65024719140129295</v>
      </c>
      <c r="BU35">
        <v>0.65853862783914963</v>
      </c>
      <c r="BV35">
        <v>0.56430971674364494</v>
      </c>
      <c r="BW35">
        <v>0.55204366821429174</v>
      </c>
      <c r="BX35">
        <v>0.58399042608809859</v>
      </c>
      <c r="BY35">
        <v>0.42742137671625591</v>
      </c>
      <c r="BZ35">
        <v>0.45509779928659227</v>
      </c>
      <c r="CA35">
        <v>0.45315307274896544</v>
      </c>
      <c r="CB35">
        <v>0.63428727970489596</v>
      </c>
      <c r="CC35">
        <v>0.61721579574505203</v>
      </c>
      <c r="CD35">
        <v>0.64180578467921334</v>
      </c>
      <c r="CF35" t="s">
        <v>522</v>
      </c>
      <c r="CG35" t="s">
        <v>108</v>
      </c>
      <c r="CH35" t="s">
        <v>109</v>
      </c>
      <c r="CI35">
        <v>0.18321076815983517</v>
      </c>
    </row>
    <row r="36" spans="2:87" x14ac:dyDescent="0.45">
      <c r="B36" t="s">
        <v>523</v>
      </c>
      <c r="C36" t="s">
        <v>99</v>
      </c>
      <c r="D36">
        <v>0.24061557641599113</v>
      </c>
      <c r="E36">
        <v>0.24393519860746452</v>
      </c>
      <c r="F36">
        <v>0.24671004681973258</v>
      </c>
      <c r="G36">
        <v>0.29696321237517043</v>
      </c>
      <c r="H36">
        <v>0.30487983657329409</v>
      </c>
      <c r="I36">
        <v>0.28936098866706889</v>
      </c>
      <c r="J36">
        <v>0.34244897940517266</v>
      </c>
      <c r="K36">
        <v>0.33177432434523735</v>
      </c>
      <c r="L36">
        <v>0.30022656691845351</v>
      </c>
      <c r="M36">
        <v>0.25536513185468579</v>
      </c>
      <c r="N36">
        <v>0.28080431544567191</v>
      </c>
      <c r="O36">
        <v>0.24909720392484033</v>
      </c>
      <c r="Q36" t="s">
        <v>523</v>
      </c>
      <c r="R36" t="s">
        <v>100</v>
      </c>
      <c r="S36">
        <v>9.9579902455500212E-3</v>
      </c>
      <c r="T36">
        <v>1.1755719664593527E-2</v>
      </c>
      <c r="U36">
        <v>6.3225048851487187E-3</v>
      </c>
      <c r="V36">
        <v>2.1076300619336512E-2</v>
      </c>
      <c r="W36">
        <v>8.4613659288129955E-3</v>
      </c>
      <c r="X36">
        <v>1.7435299126377535E-2</v>
      </c>
      <c r="Y36">
        <v>2.6220830065020628E-2</v>
      </c>
      <c r="Z36">
        <v>2.4187292326259224E-2</v>
      </c>
      <c r="AA36">
        <v>2.776972176837748E-2</v>
      </c>
      <c r="AB36">
        <v>1.9157482113630879E-2</v>
      </c>
      <c r="AC36">
        <v>1.8906161638152421E-2</v>
      </c>
      <c r="AD36">
        <v>1.6249626882776952E-2</v>
      </c>
      <c r="AF36" t="s">
        <v>523</v>
      </c>
      <c r="AG36" t="s">
        <v>101</v>
      </c>
      <c r="AH36">
        <v>9.4967430820868098E-3</v>
      </c>
      <c r="AI36">
        <v>1.5297423675133636E-2</v>
      </c>
      <c r="AJ36">
        <v>1.3000720611459463E-2</v>
      </c>
      <c r="AK36">
        <v>2.4954717569343355E-2</v>
      </c>
      <c r="AL36">
        <v>1.8229912934027676E-2</v>
      </c>
      <c r="AM36">
        <v>1.3166638527784371E-2</v>
      </c>
      <c r="AN36">
        <v>4.0000798779059085E-2</v>
      </c>
      <c r="AO36">
        <v>2.8502484624522172E-2</v>
      </c>
      <c r="AP36">
        <v>1.2033799646860967E-2</v>
      </c>
      <c r="AQ36">
        <v>1.7401077822452284E-2</v>
      </c>
      <c r="AR36">
        <v>2.0525600908024841E-2</v>
      </c>
      <c r="AS36">
        <v>1.6040844635088324E-2</v>
      </c>
      <c r="AU36" t="s">
        <v>523</v>
      </c>
      <c r="AV36" t="s">
        <v>102</v>
      </c>
      <c r="AW36">
        <v>9.8704211210630707E-2</v>
      </c>
      <c r="AX36">
        <v>9.1138784907087267E-2</v>
      </c>
      <c r="AY36">
        <v>9.451449693127302E-2</v>
      </c>
      <c r="AZ36">
        <v>0.11934590073334617</v>
      </c>
      <c r="BA36">
        <v>0.15132285212625199</v>
      </c>
      <c r="BB36">
        <v>0.13470820415997842</v>
      </c>
      <c r="BC36">
        <v>0.14771617109011764</v>
      </c>
      <c r="BD36">
        <v>0.1461869494985461</v>
      </c>
      <c r="BE36">
        <v>0.14514259598986229</v>
      </c>
      <c r="BF36">
        <v>9.02545737068874E-2</v>
      </c>
      <c r="BG36">
        <v>0.1039439417737711</v>
      </c>
      <c r="BH36">
        <v>0.10019295273582554</v>
      </c>
      <c r="BR36" t="s">
        <v>523</v>
      </c>
      <c r="BS36">
        <v>0.63532648323555951</v>
      </c>
      <c r="BT36">
        <v>0.6389855750842427</v>
      </c>
      <c r="BU36">
        <v>0.64471691956890265</v>
      </c>
      <c r="BV36">
        <v>0.53540361623052024</v>
      </c>
      <c r="BW36">
        <v>0.50551778070296438</v>
      </c>
      <c r="BX36">
        <v>0.53763174041578876</v>
      </c>
      <c r="BY36">
        <v>0.41926637438953962</v>
      </c>
      <c r="BZ36">
        <v>0.43564149552412335</v>
      </c>
      <c r="CA36">
        <v>0.44088084973990077</v>
      </c>
      <c r="CB36">
        <v>0.60360153838045705</v>
      </c>
      <c r="CC36">
        <v>0.57431435838786415</v>
      </c>
      <c r="CD36">
        <v>0.600228086758816</v>
      </c>
      <c r="CF36" t="s">
        <v>524</v>
      </c>
      <c r="CG36" t="s">
        <v>108</v>
      </c>
      <c r="CH36" t="s">
        <v>109</v>
      </c>
      <c r="CI36">
        <v>0.23497171580477824</v>
      </c>
    </row>
    <row r="37" spans="2:87" x14ac:dyDescent="0.45">
      <c r="B37" t="s">
        <v>525</v>
      </c>
      <c r="C37" t="s">
        <v>99</v>
      </c>
      <c r="D37">
        <v>0.2444300061765777</v>
      </c>
      <c r="E37">
        <v>0.26328351421132884</v>
      </c>
      <c r="F37">
        <v>0.25108531267238293</v>
      </c>
      <c r="G37">
        <v>0.29474498866474697</v>
      </c>
      <c r="H37">
        <v>0.29379851109885347</v>
      </c>
      <c r="I37">
        <v>0.29898721014235635</v>
      </c>
      <c r="J37">
        <v>0.32526927491586127</v>
      </c>
      <c r="K37">
        <v>0.32691068805431023</v>
      </c>
      <c r="L37">
        <v>0.31292365893855895</v>
      </c>
      <c r="M37">
        <v>0.24987068085495973</v>
      </c>
      <c r="N37">
        <v>0.27533743312031189</v>
      </c>
      <c r="O37">
        <v>0.24652217088925008</v>
      </c>
      <c r="Q37" t="s">
        <v>525</v>
      </c>
      <c r="R37" t="s">
        <v>100</v>
      </c>
      <c r="S37">
        <v>1.0356079746603854E-2</v>
      </c>
      <c r="T37">
        <v>5.8756204847791411E-3</v>
      </c>
      <c r="U37">
        <v>5.5704504549500336E-3</v>
      </c>
      <c r="V37">
        <v>1.7949028199979841E-2</v>
      </c>
      <c r="W37">
        <v>1.0845962701465294E-2</v>
      </c>
      <c r="X37">
        <v>1.9155322041251581E-2</v>
      </c>
      <c r="Y37">
        <v>2.6499056104706115E-2</v>
      </c>
      <c r="Z37">
        <v>2.0911766000322626E-2</v>
      </c>
      <c r="AA37">
        <v>2.4982773839558121E-2</v>
      </c>
      <c r="AB37">
        <v>1.3548494243370223E-2</v>
      </c>
      <c r="AC37">
        <v>1.979340922212567E-2</v>
      </c>
      <c r="AD37">
        <v>1.1735447606470236E-2</v>
      </c>
      <c r="AF37" t="s">
        <v>525</v>
      </c>
      <c r="AG37" t="s">
        <v>101</v>
      </c>
      <c r="AH37">
        <v>9.4231040130909934E-3</v>
      </c>
      <c r="AI37">
        <v>1.3406572481782409E-2</v>
      </c>
      <c r="AJ37">
        <v>9.5942310692429342E-3</v>
      </c>
      <c r="AK37">
        <v>2.1320968667920021E-2</v>
      </c>
      <c r="AL37">
        <v>1.9765003512285551E-2</v>
      </c>
      <c r="AM37">
        <v>1.9309556220450882E-2</v>
      </c>
      <c r="AN37">
        <v>1.9587216777377001E-2</v>
      </c>
      <c r="AO37">
        <v>2.6596233331400869E-2</v>
      </c>
      <c r="AP37">
        <v>2.1230580159709158E-2</v>
      </c>
      <c r="AQ37">
        <v>1.8345002384549433E-2</v>
      </c>
      <c r="AR37">
        <v>2.0404796114423248E-2</v>
      </c>
      <c r="AS37">
        <v>1.8475881340336481E-2</v>
      </c>
      <c r="AU37" t="s">
        <v>525</v>
      </c>
      <c r="AV37" t="s">
        <v>102</v>
      </c>
      <c r="AW37">
        <v>9.7035445856995722E-2</v>
      </c>
      <c r="AX37">
        <v>0.1048887897666166</v>
      </c>
      <c r="AY37">
        <v>0.10858649017961138</v>
      </c>
      <c r="AZ37">
        <v>0.12160085250391212</v>
      </c>
      <c r="BA37">
        <v>0.13993287210480337</v>
      </c>
      <c r="BB37">
        <v>0.12254083479983492</v>
      </c>
      <c r="BC37">
        <v>0.152157365054228</v>
      </c>
      <c r="BD37">
        <v>0.15378230385635841</v>
      </c>
      <c r="BE37">
        <v>0.14349194212059624</v>
      </c>
      <c r="BF37">
        <v>9.1982656289698053E-2</v>
      </c>
      <c r="BG37">
        <v>9.6867573075703706E-2</v>
      </c>
      <c r="BH37">
        <v>9.6572018663209275E-2</v>
      </c>
      <c r="BR37" t="s">
        <v>525</v>
      </c>
      <c r="BS37">
        <v>0.63356243122798794</v>
      </c>
      <c r="BT37">
        <v>0.62853570291418626</v>
      </c>
      <c r="BU37">
        <v>0.63284741848629511</v>
      </c>
      <c r="BV37">
        <v>0.5379208575035157</v>
      </c>
      <c r="BW37">
        <v>0.51109223138469784</v>
      </c>
      <c r="BX37">
        <v>0.55067199209965567</v>
      </c>
      <c r="BY37">
        <v>0.40395264441433754</v>
      </c>
      <c r="BZ37">
        <v>0.41243023807319912</v>
      </c>
      <c r="CA37">
        <v>0.41578783838382283</v>
      </c>
      <c r="CB37">
        <v>0.60263210637045284</v>
      </c>
      <c r="CC37">
        <v>0.58331751410952004</v>
      </c>
      <c r="CD37">
        <v>0.60370944723848419</v>
      </c>
      <c r="CF37" t="s">
        <v>526</v>
      </c>
      <c r="CG37" t="s">
        <v>108</v>
      </c>
      <c r="CH37" t="s">
        <v>109</v>
      </c>
      <c r="CI37">
        <v>0.24761437799622515</v>
      </c>
    </row>
    <row r="38" spans="2:87" x14ac:dyDescent="0.45">
      <c r="B38" t="s">
        <v>527</v>
      </c>
      <c r="C38" t="s">
        <v>99</v>
      </c>
      <c r="D38">
        <v>0.25529227952082034</v>
      </c>
      <c r="E38">
        <v>0.27375877741776949</v>
      </c>
      <c r="F38">
        <v>0.26748652705293419</v>
      </c>
      <c r="G38">
        <v>0.31054026026155079</v>
      </c>
      <c r="H38">
        <v>0.3231716759042943</v>
      </c>
      <c r="I38">
        <v>0.32619146144352817</v>
      </c>
      <c r="J38">
        <v>0.35595043209852745</v>
      </c>
      <c r="K38">
        <v>0.36263432897714509</v>
      </c>
      <c r="L38">
        <v>0.3250869411925551</v>
      </c>
      <c r="M38">
        <v>0.26416118893896001</v>
      </c>
      <c r="N38">
        <v>0.30357472849833711</v>
      </c>
      <c r="O38">
        <v>0.28534724295944375</v>
      </c>
      <c r="Q38" t="s">
        <v>527</v>
      </c>
      <c r="R38" t="s">
        <v>100</v>
      </c>
      <c r="S38">
        <v>1.2278520614888008E-2</v>
      </c>
      <c r="T38">
        <v>1.0842186251471854E-2</v>
      </c>
      <c r="U38">
        <v>6.557676673809327E-3</v>
      </c>
      <c r="V38">
        <v>2.4022317406889183E-2</v>
      </c>
      <c r="W38">
        <v>8.4771453887455897E-3</v>
      </c>
      <c r="X38">
        <v>2.8038374132845167E-2</v>
      </c>
      <c r="Y38">
        <v>3.5689241014321436E-2</v>
      </c>
      <c r="Z38">
        <v>2.9960606894838166E-2</v>
      </c>
      <c r="AA38">
        <v>3.0583614161679679E-2</v>
      </c>
      <c r="AB38">
        <v>2.366401357107039E-2</v>
      </c>
      <c r="AC38">
        <v>2.3933249560486192E-2</v>
      </c>
      <c r="AD38">
        <v>1.8245747924170996E-2</v>
      </c>
      <c r="AF38" t="s">
        <v>527</v>
      </c>
      <c r="AG38" t="s">
        <v>101</v>
      </c>
      <c r="AH38">
        <v>1.108147109392108E-2</v>
      </c>
      <c r="AI38">
        <v>2.0697962916527257E-2</v>
      </c>
      <c r="AJ38">
        <v>1.9150774011397996E-3</v>
      </c>
      <c r="AK38">
        <v>3.0176314523377882E-2</v>
      </c>
      <c r="AL38">
        <v>2.2405198192682781E-2</v>
      </c>
      <c r="AM38">
        <v>1.2649175392571941E-2</v>
      </c>
      <c r="AN38">
        <v>4.0802583013977378E-2</v>
      </c>
      <c r="AO38">
        <v>4.1460271494432786E-2</v>
      </c>
      <c r="AP38">
        <v>1.8384780142805673E-2</v>
      </c>
      <c r="AQ38">
        <v>1.9646083730150025E-2</v>
      </c>
      <c r="AR38">
        <v>2.9721081508917103E-2</v>
      </c>
      <c r="AS38">
        <v>2.0704771912021365E-2</v>
      </c>
      <c r="AU38" t="s">
        <v>527</v>
      </c>
      <c r="AV38" t="s">
        <v>102</v>
      </c>
      <c r="AW38">
        <v>0.11283273749065394</v>
      </c>
      <c r="AX38">
        <v>0.10925528034726219</v>
      </c>
      <c r="AY38">
        <v>0.1296384793773141</v>
      </c>
      <c r="AZ38">
        <v>0.12601314022096199</v>
      </c>
      <c r="BA38">
        <v>0.17116353434474657</v>
      </c>
      <c r="BB38">
        <v>0.15002497246908245</v>
      </c>
      <c r="BC38">
        <v>0.14486209823742405</v>
      </c>
      <c r="BD38">
        <v>0.16058267757532976</v>
      </c>
      <c r="BE38">
        <v>0.1538121020023637</v>
      </c>
      <c r="BF38">
        <v>0.10222034863147118</v>
      </c>
      <c r="BG38">
        <v>0.11458984556255999</v>
      </c>
      <c r="BH38">
        <v>0.12460697876990139</v>
      </c>
      <c r="BR38" t="s">
        <v>527</v>
      </c>
      <c r="BS38">
        <v>0.55914598378778224</v>
      </c>
      <c r="BT38">
        <v>0.55917806079604659</v>
      </c>
      <c r="BU38">
        <v>0.56254848028763693</v>
      </c>
      <c r="BV38">
        <v>0.44774890970804504</v>
      </c>
      <c r="BW38">
        <v>0.41289140023144444</v>
      </c>
      <c r="BX38">
        <v>0.4433746824855076</v>
      </c>
      <c r="BY38">
        <v>0.33252181594337071</v>
      </c>
      <c r="BZ38">
        <v>0.32918243738894348</v>
      </c>
      <c r="CA38">
        <v>0.34237774108420205</v>
      </c>
      <c r="CB38">
        <v>0.50188678555481925</v>
      </c>
      <c r="CC38">
        <v>0.48480889018342116</v>
      </c>
      <c r="CD38">
        <v>0.49086073586630086</v>
      </c>
      <c r="CF38" t="s">
        <v>528</v>
      </c>
      <c r="CG38" t="s">
        <v>108</v>
      </c>
      <c r="CH38" t="s">
        <v>109</v>
      </c>
      <c r="CI38">
        <v>0.20677099903177965</v>
      </c>
    </row>
    <row r="39" spans="2:87" x14ac:dyDescent="0.45">
      <c r="B39" t="s">
        <v>529</v>
      </c>
      <c r="C39" t="s">
        <v>99</v>
      </c>
      <c r="D39">
        <v>0.28094419180885893</v>
      </c>
      <c r="E39">
        <v>0.2568937679421251</v>
      </c>
      <c r="F39">
        <v>0.2536902664309163</v>
      </c>
      <c r="G39">
        <v>0.28736982801924166</v>
      </c>
      <c r="H39">
        <v>0.31385480108765068</v>
      </c>
      <c r="I39">
        <v>0.28008146305309906</v>
      </c>
      <c r="J39">
        <v>0.35628435412959963</v>
      </c>
      <c r="K39">
        <v>0.39522973283023771</v>
      </c>
      <c r="L39">
        <v>0.32896174638239362</v>
      </c>
      <c r="M39">
        <v>0.2842970188989748</v>
      </c>
      <c r="N39">
        <v>0.31440767335328001</v>
      </c>
      <c r="O39">
        <v>0.26880101850971799</v>
      </c>
      <c r="Q39" t="s">
        <v>529</v>
      </c>
      <c r="R39" t="s">
        <v>100</v>
      </c>
      <c r="S39">
        <v>1.326380240402238E-2</v>
      </c>
      <c r="T39">
        <v>1.3230461812986045E-2</v>
      </c>
      <c r="U39">
        <v>1.0236656105780921E-2</v>
      </c>
      <c r="V39">
        <v>1.6903655877794785E-2</v>
      </c>
      <c r="W39">
        <v>1.6287320884300276E-2</v>
      </c>
      <c r="X39">
        <v>1.6805634139103409E-2</v>
      </c>
      <c r="Y39">
        <v>3.1163364297407722E-2</v>
      </c>
      <c r="Z39">
        <v>2.8008331650739585E-2</v>
      </c>
      <c r="AA39">
        <v>3.3356220918641169E-2</v>
      </c>
      <c r="AB39">
        <v>1.8628082377585106E-2</v>
      </c>
      <c r="AC39">
        <v>1.066145248931117E-2</v>
      </c>
      <c r="AD39">
        <v>1.0175415552000099E-2</v>
      </c>
      <c r="AF39" t="s">
        <v>529</v>
      </c>
      <c r="AG39" t="s">
        <v>101</v>
      </c>
      <c r="AH39">
        <v>1.4783392164221407E-2</v>
      </c>
      <c r="AI39">
        <v>1.7046517458628684E-2</v>
      </c>
      <c r="AJ39">
        <v>1.9492206239529766E-2</v>
      </c>
      <c r="AK39">
        <v>2.2846605871675547E-2</v>
      </c>
      <c r="AL39">
        <v>2.0055898768164226E-2</v>
      </c>
      <c r="AM39">
        <v>2.018394732576774E-2</v>
      </c>
      <c r="AN39">
        <v>3.8076920675668383E-2</v>
      </c>
      <c r="AO39">
        <v>3.9451832152521855E-2</v>
      </c>
      <c r="AP39">
        <v>3.4267547998486365E-2</v>
      </c>
      <c r="AQ39">
        <v>1.2006681064160005E-2</v>
      </c>
      <c r="AR39">
        <v>2.646719420595374E-2</v>
      </c>
      <c r="AS39">
        <v>8.1666167095396577E-3</v>
      </c>
      <c r="AU39" t="s">
        <v>529</v>
      </c>
      <c r="AV39" t="s">
        <v>102</v>
      </c>
      <c r="AW39">
        <v>0.12048767196612888</v>
      </c>
      <c r="AX39">
        <v>0.10493198759030495</v>
      </c>
      <c r="AY39">
        <v>9.6240152545697413E-2</v>
      </c>
      <c r="AZ39">
        <v>0.12529358162691362</v>
      </c>
      <c r="BA39">
        <v>0.13984159766837831</v>
      </c>
      <c r="BB39">
        <v>0.11379573985895709</v>
      </c>
      <c r="BC39">
        <v>0.16292980300184548</v>
      </c>
      <c r="BD39">
        <v>0.18773237977259297</v>
      </c>
      <c r="BE39">
        <v>0.1397395739371432</v>
      </c>
      <c r="BF39">
        <v>0.13192419016611037</v>
      </c>
      <c r="BG39">
        <v>0.14287830899077789</v>
      </c>
      <c r="BH39">
        <v>0.13184040480386866</v>
      </c>
      <c r="BR39" t="s">
        <v>529</v>
      </c>
      <c r="BS39">
        <v>0.55713105762739024</v>
      </c>
      <c r="BT39">
        <v>0.58198482037447252</v>
      </c>
      <c r="BU39">
        <v>0.59961997580644089</v>
      </c>
      <c r="BV39">
        <v>0.49334688614755889</v>
      </c>
      <c r="BW39">
        <v>0.47396354402182217</v>
      </c>
      <c r="BX39">
        <v>0.53029889830015908</v>
      </c>
      <c r="BY39">
        <v>0.34632492660342268</v>
      </c>
      <c r="BZ39">
        <v>0.32088412870081079</v>
      </c>
      <c r="CA39">
        <v>0.38275129115269135</v>
      </c>
      <c r="CB39">
        <v>0.49770318656009671</v>
      </c>
      <c r="CC39">
        <v>0.50350385881176196</v>
      </c>
      <c r="CD39">
        <v>0.5383203818722746</v>
      </c>
      <c r="CF39" t="s">
        <v>530</v>
      </c>
      <c r="CG39" t="s">
        <v>108</v>
      </c>
      <c r="CH39" t="s">
        <v>109</v>
      </c>
      <c r="CI39">
        <v>0.12225824287704229</v>
      </c>
    </row>
    <row r="40" spans="2:87" x14ac:dyDescent="0.45">
      <c r="B40" t="s">
        <v>531</v>
      </c>
      <c r="C40" t="s">
        <v>99</v>
      </c>
      <c r="D40">
        <v>0.37294582376577973</v>
      </c>
      <c r="E40">
        <v>0.36644330667404085</v>
      </c>
      <c r="F40">
        <v>0.35310226512458581</v>
      </c>
      <c r="G40">
        <v>0.31025083921703395</v>
      </c>
      <c r="H40">
        <v>0.36106744406866842</v>
      </c>
      <c r="I40">
        <v>0.30740508743844386</v>
      </c>
      <c r="J40">
        <v>0.35407262114424304</v>
      </c>
      <c r="K40">
        <v>0.42782712212904483</v>
      </c>
      <c r="L40">
        <v>0.34484016879180152</v>
      </c>
      <c r="M40">
        <v>0.30625762802192685</v>
      </c>
      <c r="N40">
        <v>0.35661985484125863</v>
      </c>
      <c r="O40">
        <v>0.33483523219908934</v>
      </c>
      <c r="Q40" t="s">
        <v>531</v>
      </c>
      <c r="R40" t="s">
        <v>100</v>
      </c>
      <c r="S40">
        <v>2.6244135304442726E-2</v>
      </c>
      <c r="T40">
        <v>2.5509257025809005E-2</v>
      </c>
      <c r="U40">
        <v>1.9690697700803159E-2</v>
      </c>
      <c r="V40">
        <v>3.1726018494663576E-2</v>
      </c>
      <c r="W40">
        <v>4.6368131106563473E-2</v>
      </c>
      <c r="X40">
        <v>3.7423799892885287E-2</v>
      </c>
      <c r="Y40">
        <v>4.3122040579807216E-2</v>
      </c>
      <c r="Z40">
        <v>4.0979938364033942E-2</v>
      </c>
      <c r="AA40">
        <v>5.5432693174712423E-2</v>
      </c>
      <c r="AB40">
        <v>1.6445868073967716E-2</v>
      </c>
      <c r="AC40">
        <v>4.1355696894609738E-2</v>
      </c>
      <c r="AD40">
        <v>1.4337924047659446E-2</v>
      </c>
      <c r="AF40" t="s">
        <v>531</v>
      </c>
      <c r="AG40" t="s">
        <v>101</v>
      </c>
      <c r="AH40">
        <v>3.1332064886196075E-2</v>
      </c>
      <c r="AI40">
        <v>3.3403475694740531E-2</v>
      </c>
      <c r="AJ40">
        <v>2.8377632049970493E-2</v>
      </c>
      <c r="AK40">
        <v>4.9100623296227823E-2</v>
      </c>
      <c r="AL40">
        <v>3.2772491965805672E-2</v>
      </c>
      <c r="AM40">
        <v>5.0218793958116931E-2</v>
      </c>
      <c r="AN40">
        <v>3.327767775819495E-2</v>
      </c>
      <c r="AO40">
        <v>6.4590560511157288E-2</v>
      </c>
      <c r="AP40">
        <v>3.0850743257714683E-2</v>
      </c>
      <c r="AQ40">
        <v>1.5617732847149669E-2</v>
      </c>
      <c r="AR40">
        <v>2.6955964926512366E-2</v>
      </c>
      <c r="AS40">
        <v>4.6334176830053794E-2</v>
      </c>
      <c r="AU40" t="s">
        <v>531</v>
      </c>
      <c r="AV40" t="s">
        <v>102</v>
      </c>
      <c r="AW40">
        <v>0.19066189363175087</v>
      </c>
      <c r="AX40">
        <v>0.17982260827307694</v>
      </c>
      <c r="AY40">
        <v>0.17517512224038856</v>
      </c>
      <c r="AZ40">
        <v>0.124169964463047</v>
      </c>
      <c r="BA40">
        <v>0.15611104906873602</v>
      </c>
      <c r="BB40">
        <v>0.11785982538990876</v>
      </c>
      <c r="BC40">
        <v>0.15521990132758476</v>
      </c>
      <c r="BD40">
        <v>0.20035918825989599</v>
      </c>
      <c r="BE40">
        <v>0.14603384339210662</v>
      </c>
      <c r="BF40">
        <v>0.1691916431970775</v>
      </c>
      <c r="BG40">
        <v>0.1635305333622831</v>
      </c>
      <c r="BH40">
        <v>0.15854414671016401</v>
      </c>
      <c r="BR40" t="s">
        <v>531</v>
      </c>
      <c r="BS40">
        <v>0.34999620289794015</v>
      </c>
      <c r="BT40">
        <v>0.35437350195987771</v>
      </c>
      <c r="BU40">
        <v>0.36305597416487417</v>
      </c>
      <c r="BV40">
        <v>0.26585422542041709</v>
      </c>
      <c r="BW40">
        <v>0.22122302560841806</v>
      </c>
      <c r="BX40">
        <v>0.28013090176028671</v>
      </c>
      <c r="BY40">
        <v>0.18662566982880968</v>
      </c>
      <c r="BZ40">
        <v>0.17800404952305024</v>
      </c>
      <c r="CA40">
        <v>0.18107555908922013</v>
      </c>
      <c r="CB40">
        <v>0.30685350277885198</v>
      </c>
      <c r="CC40">
        <v>0.30601943725845421</v>
      </c>
      <c r="CD40">
        <v>0.33878580043936701</v>
      </c>
      <c r="CF40" t="s">
        <v>532</v>
      </c>
      <c r="CG40" t="s">
        <v>108</v>
      </c>
      <c r="CH40" t="s">
        <v>109</v>
      </c>
      <c r="CI40">
        <v>0.23097818460688693</v>
      </c>
    </row>
    <row r="41" spans="2:87" x14ac:dyDescent="0.45">
      <c r="B41" t="s">
        <v>533</v>
      </c>
      <c r="C41" t="s">
        <v>99</v>
      </c>
      <c r="D41">
        <v>0.31989473340165792</v>
      </c>
      <c r="E41">
        <v>0.32721148025375946</v>
      </c>
      <c r="F41">
        <v>0.32685114922352282</v>
      </c>
      <c r="G41">
        <v>0.34332898968771275</v>
      </c>
      <c r="H41">
        <v>0.37934098657462456</v>
      </c>
      <c r="I41">
        <v>0.34887266221430357</v>
      </c>
      <c r="J41">
        <v>0.36201658870842029</v>
      </c>
      <c r="K41">
        <v>0.41155720648831035</v>
      </c>
      <c r="L41">
        <v>0.3255735469753262</v>
      </c>
      <c r="M41">
        <v>0.30099212155728122</v>
      </c>
      <c r="N41">
        <v>0.35571112821896866</v>
      </c>
      <c r="O41">
        <v>0.31905309233953272</v>
      </c>
      <c r="Q41" t="s">
        <v>533</v>
      </c>
      <c r="R41" t="s">
        <v>100</v>
      </c>
      <c r="S41">
        <v>2.1449051282370089E-2</v>
      </c>
      <c r="T41">
        <v>3.0859810662444722E-2</v>
      </c>
      <c r="U41">
        <v>1.3004174454734571E-2</v>
      </c>
      <c r="V41">
        <v>2.7026286373136914E-2</v>
      </c>
      <c r="W41">
        <v>2.3954972137453873E-2</v>
      </c>
      <c r="X41">
        <v>1.8147280120913663E-2</v>
      </c>
      <c r="Y41">
        <v>2.8445109387841925E-2</v>
      </c>
      <c r="Z41">
        <v>4.1071514526560229E-2</v>
      </c>
      <c r="AA41">
        <v>3.533825268866702E-2</v>
      </c>
      <c r="AB41">
        <v>3.2916612965160984E-2</v>
      </c>
      <c r="AC41">
        <v>2.5884019480139082E-2</v>
      </c>
      <c r="AD41">
        <v>1.7101484360826012E-2</v>
      </c>
      <c r="AF41" t="s">
        <v>533</v>
      </c>
      <c r="AG41" t="s">
        <v>101</v>
      </c>
      <c r="AH41">
        <v>2.7625073812485156E-2</v>
      </c>
      <c r="AI41">
        <v>3.1182741632000282E-2</v>
      </c>
      <c r="AJ41">
        <v>2.8600064525468021E-2</v>
      </c>
      <c r="AK41">
        <v>4.0169893576608433E-2</v>
      </c>
      <c r="AL41">
        <v>2.6969495389009907E-2</v>
      </c>
      <c r="AM41">
        <v>1.9696681924798148E-2</v>
      </c>
      <c r="AN41">
        <v>5.012538200871728E-2</v>
      </c>
      <c r="AO41">
        <v>5.951266912635067E-2</v>
      </c>
      <c r="AP41">
        <v>2.0096819919563497E-2</v>
      </c>
      <c r="AQ41">
        <v>2.8663465773421229E-2</v>
      </c>
      <c r="AR41">
        <v>4.569054408809891E-2</v>
      </c>
      <c r="AS41">
        <v>1.9679651624087198E-2</v>
      </c>
      <c r="AU41" t="s">
        <v>533</v>
      </c>
      <c r="AV41" t="s">
        <v>102</v>
      </c>
      <c r="AW41">
        <v>0.15422245261405426</v>
      </c>
      <c r="AX41">
        <v>0.14368554921631183</v>
      </c>
      <c r="AY41">
        <v>0.15933932366995618</v>
      </c>
      <c r="AZ41">
        <v>0.15997616838815049</v>
      </c>
      <c r="BA41">
        <v>0.20747953545072373</v>
      </c>
      <c r="BB41">
        <v>0.19918841954956154</v>
      </c>
      <c r="BC41">
        <v>0.15716576207225993</v>
      </c>
      <c r="BD41">
        <v>0.17016805157937029</v>
      </c>
      <c r="BE41">
        <v>0.16833268389980732</v>
      </c>
      <c r="BF41">
        <v>0.13186466960867518</v>
      </c>
      <c r="BG41">
        <v>0.15593893829021138</v>
      </c>
      <c r="BH41">
        <v>0.1687149249349065</v>
      </c>
      <c r="BR41" t="s">
        <v>533</v>
      </c>
      <c r="BS41">
        <v>0.40494857715111576</v>
      </c>
      <c r="BT41">
        <v>0.39652215225148818</v>
      </c>
      <c r="BU41">
        <v>0.40947229124038925</v>
      </c>
      <c r="BV41">
        <v>0.2907568664334646</v>
      </c>
      <c r="BW41">
        <v>0.27668566656645993</v>
      </c>
      <c r="BX41">
        <v>0.28651954319453488</v>
      </c>
      <c r="BY41">
        <v>0.20262711550522283</v>
      </c>
      <c r="BZ41">
        <v>0.20153308535712125</v>
      </c>
      <c r="CA41">
        <v>0.20686084028316726</v>
      </c>
      <c r="CB41">
        <v>0.33045120430016234</v>
      </c>
      <c r="CC41">
        <v>0.32929939432535105</v>
      </c>
      <c r="CD41">
        <v>0.33804020111591743</v>
      </c>
      <c r="CF41" t="s">
        <v>534</v>
      </c>
      <c r="CG41" t="s">
        <v>108</v>
      </c>
      <c r="CH41" t="s">
        <v>109</v>
      </c>
      <c r="CI41">
        <v>0.29829552233091883</v>
      </c>
    </row>
    <row r="42" spans="2:87" x14ac:dyDescent="0.45">
      <c r="B42" t="s">
        <v>535</v>
      </c>
      <c r="C42" t="s">
        <v>99</v>
      </c>
      <c r="D42">
        <v>0.28657934960221532</v>
      </c>
      <c r="E42">
        <v>0.26940803460529711</v>
      </c>
      <c r="F42">
        <v>0.28811481819704943</v>
      </c>
      <c r="G42">
        <v>0.30476276213791392</v>
      </c>
      <c r="H42">
        <v>0.3552661124747219</v>
      </c>
      <c r="I42">
        <v>0.31576965760338915</v>
      </c>
      <c r="J42">
        <v>0.35084760314013907</v>
      </c>
      <c r="K42">
        <v>0.40618750754442212</v>
      </c>
      <c r="L42">
        <v>0.33993509131416544</v>
      </c>
      <c r="M42">
        <v>0.27925559742821754</v>
      </c>
      <c r="N42">
        <v>0.33059070788341316</v>
      </c>
      <c r="O42">
        <v>0.29018620888811059</v>
      </c>
      <c r="Q42" t="s">
        <v>535</v>
      </c>
      <c r="R42" t="s">
        <v>100</v>
      </c>
      <c r="S42">
        <v>1.5576864837063702E-2</v>
      </c>
      <c r="T42">
        <v>1.9334558493198872E-2</v>
      </c>
      <c r="U42">
        <v>9.3130027638701433E-3</v>
      </c>
      <c r="V42">
        <v>2.4701006262607676E-2</v>
      </c>
      <c r="W42">
        <v>1.5143943479760013E-2</v>
      </c>
      <c r="X42">
        <v>1.6087291712701238E-2</v>
      </c>
      <c r="Y42">
        <v>3.1509241506134759E-2</v>
      </c>
      <c r="Z42">
        <v>2.5979767258978107E-2</v>
      </c>
      <c r="AA42">
        <v>4.261120512449669E-2</v>
      </c>
      <c r="AB42">
        <v>2.8752873021988916E-2</v>
      </c>
      <c r="AC42">
        <v>1.921255158134734E-2</v>
      </c>
      <c r="AD42">
        <v>8.9061431732528253E-3</v>
      </c>
      <c r="AF42" t="s">
        <v>535</v>
      </c>
      <c r="AG42" t="s">
        <v>101</v>
      </c>
      <c r="AH42">
        <v>1.6399952096861667E-2</v>
      </c>
      <c r="AI42">
        <v>2.1137912827655106E-2</v>
      </c>
      <c r="AJ42">
        <v>2.0119842109327182E-2</v>
      </c>
      <c r="AK42">
        <v>3.3297794311441267E-2</v>
      </c>
      <c r="AL42">
        <v>2.988687663923046E-2</v>
      </c>
      <c r="AM42">
        <v>2.2353706380763873E-2</v>
      </c>
      <c r="AN42">
        <v>5.7699229688944011E-2</v>
      </c>
      <c r="AO42">
        <v>4.6525466969791152E-2</v>
      </c>
      <c r="AP42">
        <v>4.2543347203986115E-2</v>
      </c>
      <c r="AQ42">
        <v>1.9898403953174163E-2</v>
      </c>
      <c r="AR42">
        <v>3.3431085967818366E-2</v>
      </c>
      <c r="AS42">
        <v>1.4094745248420703E-2</v>
      </c>
      <c r="AU42" t="s">
        <v>535</v>
      </c>
      <c r="AV42" t="s">
        <v>102</v>
      </c>
      <c r="AW42">
        <v>0.13066604721495886</v>
      </c>
      <c r="AX42">
        <v>0.11574549656149252</v>
      </c>
      <c r="AY42">
        <v>0.12974129686094754</v>
      </c>
      <c r="AZ42">
        <v>0.13072872525906426</v>
      </c>
      <c r="BA42">
        <v>0.17885100230796222</v>
      </c>
      <c r="BB42">
        <v>0.15954944071167607</v>
      </c>
      <c r="BC42">
        <v>0.13891698611702852</v>
      </c>
      <c r="BD42">
        <v>0.1855017952226177</v>
      </c>
      <c r="BE42">
        <v>0.13677547891685768</v>
      </c>
      <c r="BF42">
        <v>0.12072427795685484</v>
      </c>
      <c r="BG42">
        <v>0.14130502925860045</v>
      </c>
      <c r="BH42">
        <v>0.15732118203213571</v>
      </c>
      <c r="BR42" t="s">
        <v>535</v>
      </c>
      <c r="BS42">
        <v>0.50550316196016065</v>
      </c>
      <c r="BT42">
        <v>0.50297115922723035</v>
      </c>
      <c r="BU42">
        <v>0.50477942275686105</v>
      </c>
      <c r="BV42">
        <v>0.39044920827406887</v>
      </c>
      <c r="BW42">
        <v>0.37038624884623023</v>
      </c>
      <c r="BX42">
        <v>0.39974439820237606</v>
      </c>
      <c r="BY42">
        <v>0.2811440409815445</v>
      </c>
      <c r="BZ42">
        <v>0.25167130251462488</v>
      </c>
      <c r="CA42">
        <v>0.28867894702874147</v>
      </c>
      <c r="CB42">
        <v>0.43103292837193624</v>
      </c>
      <c r="CC42">
        <v>0.42674966691887012</v>
      </c>
      <c r="CD42">
        <v>0.43700774471148701</v>
      </c>
      <c r="CF42" t="s">
        <v>536</v>
      </c>
      <c r="CG42" t="s">
        <v>108</v>
      </c>
      <c r="CH42" t="s">
        <v>109</v>
      </c>
      <c r="CI42">
        <v>0.27380960823438644</v>
      </c>
    </row>
    <row r="43" spans="2:87" x14ac:dyDescent="0.45">
      <c r="B43" t="s">
        <v>537</v>
      </c>
      <c r="C43" t="s">
        <v>99</v>
      </c>
      <c r="D43">
        <v>0.298021284922664</v>
      </c>
      <c r="E43">
        <v>0.27862127274540543</v>
      </c>
      <c r="F43">
        <v>0.29603640183648644</v>
      </c>
      <c r="G43">
        <v>0.30455036870592533</v>
      </c>
      <c r="H43">
        <v>0.35075273028678039</v>
      </c>
      <c r="I43">
        <v>0.30938943070227226</v>
      </c>
      <c r="J43">
        <v>0.35605464609719983</v>
      </c>
      <c r="K43">
        <v>0.40414850673977137</v>
      </c>
      <c r="L43">
        <v>0.33800927698029293</v>
      </c>
      <c r="M43">
        <v>0.2832653287280798</v>
      </c>
      <c r="N43">
        <v>0.336419378957242</v>
      </c>
      <c r="O43">
        <v>0.29994270346190705</v>
      </c>
      <c r="Q43" t="s">
        <v>537</v>
      </c>
      <c r="R43" t="s">
        <v>100</v>
      </c>
      <c r="S43">
        <v>1.3765046403420338E-2</v>
      </c>
      <c r="T43">
        <v>1.1180621769067235E-2</v>
      </c>
      <c r="U43">
        <v>1.2042901551774243E-2</v>
      </c>
      <c r="V43">
        <v>2.4786622982697015E-2</v>
      </c>
      <c r="W43">
        <v>2.480741799289729E-2</v>
      </c>
      <c r="X43">
        <v>1.8691003482837736E-2</v>
      </c>
      <c r="Y43">
        <v>2.7580720238793949E-2</v>
      </c>
      <c r="Z43">
        <v>2.2956556519756855E-2</v>
      </c>
      <c r="AA43">
        <v>3.9524759893037574E-2</v>
      </c>
      <c r="AB43">
        <v>2.227411356257292E-2</v>
      </c>
      <c r="AC43">
        <v>1.2890176627356888E-2</v>
      </c>
      <c r="AD43">
        <v>5.7903923057861812E-3</v>
      </c>
      <c r="AF43" t="s">
        <v>537</v>
      </c>
      <c r="AG43" t="s">
        <v>101</v>
      </c>
      <c r="AH43">
        <v>2.0024742731135973E-2</v>
      </c>
      <c r="AI43">
        <v>1.954160293253784E-2</v>
      </c>
      <c r="AJ43">
        <v>1.5259315786091002E-2</v>
      </c>
      <c r="AK43">
        <v>4.0507618489684448E-2</v>
      </c>
      <c r="AL43">
        <v>3.2438887323359589E-2</v>
      </c>
      <c r="AM43">
        <v>2.3984055204481249E-2</v>
      </c>
      <c r="AN43">
        <v>5.2546122957399286E-2</v>
      </c>
      <c r="AO43">
        <v>4.8920467317576051E-2</v>
      </c>
      <c r="AP43">
        <v>1.8220418737701537E-2</v>
      </c>
      <c r="AQ43">
        <v>1.3888348521423769E-2</v>
      </c>
      <c r="AR43">
        <v>3.2527380552262827E-2</v>
      </c>
      <c r="AS43">
        <v>3.3409670453681413E-3</v>
      </c>
      <c r="AU43" t="s">
        <v>537</v>
      </c>
      <c r="AV43" t="s">
        <v>102</v>
      </c>
      <c r="AW43">
        <v>0.13408258717456981</v>
      </c>
      <c r="AX43">
        <v>0.12795314110164527</v>
      </c>
      <c r="AY43">
        <v>0.13673128064619508</v>
      </c>
      <c r="AZ43">
        <v>0.1252136718230939</v>
      </c>
      <c r="BA43">
        <v>0.1628487818011996</v>
      </c>
      <c r="BB43">
        <v>0.14545781604417329</v>
      </c>
      <c r="BC43">
        <v>0.15173466706647237</v>
      </c>
      <c r="BD43">
        <v>0.1920424325221945</v>
      </c>
      <c r="BE43">
        <v>0.16162203985720883</v>
      </c>
      <c r="BF43">
        <v>0.13255612455907459</v>
      </c>
      <c r="BG43">
        <v>0.14674327920291119</v>
      </c>
      <c r="BH43">
        <v>0.17384845822215306</v>
      </c>
      <c r="BR43" t="s">
        <v>537</v>
      </c>
      <c r="BS43">
        <v>0.5065250553015368</v>
      </c>
      <c r="BT43">
        <v>0.50826908404445559</v>
      </c>
      <c r="BU43">
        <v>0.50816642923015365</v>
      </c>
      <c r="BV43">
        <v>0.39069956137143125</v>
      </c>
      <c r="BW43">
        <v>0.36737649543174716</v>
      </c>
      <c r="BX43">
        <v>0.40608803420403999</v>
      </c>
      <c r="BY43">
        <v>0.28770778256680246</v>
      </c>
      <c r="BZ43">
        <v>0.2601210785004815</v>
      </c>
      <c r="CA43">
        <v>0.28826562205987577</v>
      </c>
      <c r="CB43">
        <v>0.44208295648168605</v>
      </c>
      <c r="CC43">
        <v>0.44137109227673699</v>
      </c>
      <c r="CD43">
        <v>0.44971325295641806</v>
      </c>
      <c r="CF43" t="s">
        <v>538</v>
      </c>
      <c r="CG43" t="s">
        <v>108</v>
      </c>
      <c r="CH43" t="s">
        <v>109</v>
      </c>
      <c r="CI43">
        <v>0.26319815995829371</v>
      </c>
    </row>
    <row r="44" spans="2:87" x14ac:dyDescent="0.45">
      <c r="B44" t="s">
        <v>520</v>
      </c>
      <c r="C44" t="s">
        <v>99</v>
      </c>
      <c r="D44">
        <v>0.48891253501295134</v>
      </c>
      <c r="E44">
        <v>0.5049462074559522</v>
      </c>
      <c r="F44">
        <v>0.49199242766535195</v>
      </c>
      <c r="G44">
        <v>0.38348454305040541</v>
      </c>
      <c r="H44">
        <v>0.50503000887287219</v>
      </c>
      <c r="I44">
        <v>0.36790029861921208</v>
      </c>
      <c r="J44">
        <v>0.45289481212501359</v>
      </c>
      <c r="K44">
        <v>0.44043058670311064</v>
      </c>
      <c r="L44">
        <v>0.42630523430700423</v>
      </c>
      <c r="M44">
        <v>0.39636678299166578</v>
      </c>
      <c r="N44">
        <v>0.46640713378048182</v>
      </c>
      <c r="O44">
        <v>0.41428605932100981</v>
      </c>
      <c r="Q44" t="s">
        <v>520</v>
      </c>
      <c r="R44" t="s">
        <v>100</v>
      </c>
      <c r="S44">
        <v>2.557664442013707E-2</v>
      </c>
      <c r="T44">
        <v>4.2027076957251761E-2</v>
      </c>
      <c r="U44">
        <v>2.2934792178991876E-2</v>
      </c>
      <c r="V44">
        <v>5.9903697145500458E-2</v>
      </c>
      <c r="W44">
        <v>7.1231645982213071E-2</v>
      </c>
      <c r="X44">
        <v>8.827705206427168E-2</v>
      </c>
      <c r="Y44">
        <v>8.5551033557795114E-2</v>
      </c>
      <c r="Z44">
        <v>8.61689039842264E-2</v>
      </c>
      <c r="AA44">
        <v>8.1005101309671548E-2</v>
      </c>
      <c r="AB44">
        <v>7.9475998067233211E-2</v>
      </c>
      <c r="AC44">
        <v>8.1509559608157534E-2</v>
      </c>
      <c r="AD44">
        <v>7.4616619218044439E-2</v>
      </c>
      <c r="AF44" t="s">
        <v>520</v>
      </c>
      <c r="AG44" t="s">
        <v>101</v>
      </c>
      <c r="AH44">
        <v>2.6408897836590159E-2</v>
      </c>
      <c r="AI44">
        <v>2.935723424635692E-2</v>
      </c>
      <c r="AJ44">
        <v>4.1389134905736466E-2</v>
      </c>
      <c r="AK44">
        <v>6.9520741474153103E-2</v>
      </c>
      <c r="AL44">
        <v>7.5650096238465844E-2</v>
      </c>
      <c r="AM44">
        <v>3.7970382740287002E-2</v>
      </c>
      <c r="AN44">
        <v>4.5779933749935234E-2</v>
      </c>
      <c r="AO44">
        <v>7.9510890221132599E-2</v>
      </c>
      <c r="AP44">
        <v>0.14704563454596212</v>
      </c>
      <c r="AQ44">
        <v>8.1044054163397966E-2</v>
      </c>
      <c r="AR44">
        <v>8.4284337809052978E-2</v>
      </c>
      <c r="AS44">
        <v>6.9521165619492495E-2</v>
      </c>
      <c r="AU44" t="s">
        <v>520</v>
      </c>
      <c r="AV44" t="s">
        <v>102</v>
      </c>
      <c r="AW44">
        <v>0.31937440999512851</v>
      </c>
      <c r="AX44">
        <v>0.30823527439916365</v>
      </c>
      <c r="AY44">
        <v>0.30755855116476633</v>
      </c>
      <c r="AZ44">
        <v>0.17653593304252138</v>
      </c>
      <c r="BA44">
        <v>0.2413268119884848</v>
      </c>
      <c r="BB44">
        <v>0.13352659122379382</v>
      </c>
      <c r="BC44">
        <v>0.21896725924693472</v>
      </c>
      <c r="BD44">
        <v>0.16186724333775951</v>
      </c>
      <c r="BE44">
        <v>0.10046710685736458</v>
      </c>
      <c r="BF44">
        <v>0.12900006357101207</v>
      </c>
      <c r="BG44">
        <v>0.17979950718703402</v>
      </c>
      <c r="BH44">
        <v>0.15999413344959487</v>
      </c>
      <c r="BR44" t="s">
        <v>520</v>
      </c>
      <c r="BS44">
        <v>0.16960526210251162</v>
      </c>
      <c r="BT44">
        <v>0.14259776941619837</v>
      </c>
      <c r="BU44">
        <v>0.17224294601360196</v>
      </c>
      <c r="BV44">
        <v>0.11228528006157627</v>
      </c>
      <c r="BW44">
        <v>0.10715291974427114</v>
      </c>
      <c r="BX44">
        <v>0.1203689073410579</v>
      </c>
      <c r="BY44">
        <v>7.2601260673346033E-2</v>
      </c>
      <c r="BZ44">
        <v>6.4120995507046252E-2</v>
      </c>
      <c r="CA44">
        <v>8.8728006574059104E-2</v>
      </c>
      <c r="CB44">
        <v>0.12707944092377002</v>
      </c>
      <c r="CC44">
        <v>0.10126694845033844</v>
      </c>
      <c r="CD44">
        <v>0.11517970769569381</v>
      </c>
      <c r="CF44" t="s">
        <v>539</v>
      </c>
      <c r="CG44" t="s">
        <v>108</v>
      </c>
      <c r="CH44" t="s">
        <v>109</v>
      </c>
      <c r="CI44">
        <v>0.34809320545059724</v>
      </c>
    </row>
    <row r="45" spans="2:87" x14ac:dyDescent="0.45">
      <c r="B45" t="s">
        <v>522</v>
      </c>
      <c r="C45" t="s">
        <v>99</v>
      </c>
      <c r="D45">
        <v>0.44793741575588575</v>
      </c>
      <c r="E45">
        <v>0.50757444439066646</v>
      </c>
      <c r="F45">
        <v>0.4424382942926175</v>
      </c>
      <c r="G45">
        <v>0.40176149790008409</v>
      </c>
      <c r="H45">
        <v>0.47004429392098585</v>
      </c>
      <c r="I45">
        <v>0.37952401914388212</v>
      </c>
      <c r="J45">
        <v>0.44123407977306855</v>
      </c>
      <c r="K45">
        <v>0.43022422976068803</v>
      </c>
      <c r="L45">
        <v>0.34038307602335216</v>
      </c>
      <c r="M45">
        <v>0.35433497383358126</v>
      </c>
      <c r="N45">
        <v>0.39315886625138691</v>
      </c>
      <c r="O45">
        <v>0.36490555846034661</v>
      </c>
      <c r="Q45" t="s">
        <v>522</v>
      </c>
      <c r="R45" t="s">
        <v>100</v>
      </c>
      <c r="S45">
        <v>1.5142170288901078E-2</v>
      </c>
      <c r="T45">
        <v>5.3035381313413836E-2</v>
      </c>
      <c r="U45">
        <v>1.7700822401369404E-2</v>
      </c>
      <c r="V45">
        <v>5.0698961673093283E-2</v>
      </c>
      <c r="W45">
        <v>5.3038356242067028E-2</v>
      </c>
      <c r="X45">
        <v>5.8046657997684978E-2</v>
      </c>
      <c r="Y45">
        <v>7.1991352736739997E-2</v>
      </c>
      <c r="Z45">
        <v>5.4628622738422297E-2</v>
      </c>
      <c r="AA45">
        <v>9.4170436487608394E-2</v>
      </c>
      <c r="AB45">
        <v>7.6252308463213084E-2</v>
      </c>
      <c r="AC45">
        <v>6.3722868593716966E-2</v>
      </c>
      <c r="AD45">
        <v>6.9613284180127064E-2</v>
      </c>
      <c r="AF45" t="s">
        <v>522</v>
      </c>
      <c r="AG45" t="s">
        <v>101</v>
      </c>
      <c r="AH45">
        <v>1.0977916796418907E-2</v>
      </c>
      <c r="AI45">
        <v>3.3899035570475577E-2</v>
      </c>
      <c r="AJ45">
        <v>3.584460158971365E-2</v>
      </c>
      <c r="AK45">
        <v>6.4494468489144502E-2</v>
      </c>
      <c r="AL45">
        <v>5.9758309944226311E-2</v>
      </c>
      <c r="AM45">
        <v>4.0936749075326732E-2</v>
      </c>
      <c r="AN45">
        <v>6.0850416068511458E-2</v>
      </c>
      <c r="AO45">
        <v>3.9551560314696824E-2</v>
      </c>
      <c r="AP45">
        <v>7.0039259040464499E-2</v>
      </c>
      <c r="AQ45">
        <v>7.3662957387708783E-2</v>
      </c>
      <c r="AR45">
        <v>7.0036766713441306E-2</v>
      </c>
      <c r="AS45">
        <v>4.7452133129059819E-2</v>
      </c>
      <c r="AU45" t="s">
        <v>522</v>
      </c>
      <c r="AV45" t="s">
        <v>102</v>
      </c>
      <c r="AW45">
        <v>0.30405118745003379</v>
      </c>
      <c r="AX45">
        <v>0.28954441402234882</v>
      </c>
      <c r="AY45">
        <v>0.27490917976344159</v>
      </c>
      <c r="AZ45">
        <v>0.16955721952008346</v>
      </c>
      <c r="BA45">
        <v>0.23192713496151099</v>
      </c>
      <c r="BB45">
        <v>0.17547901290700677</v>
      </c>
      <c r="BC45">
        <v>0.20748077176203572</v>
      </c>
      <c r="BD45">
        <v>0.21983178840211742</v>
      </c>
      <c r="BE45">
        <v>7.1344616464322996E-2</v>
      </c>
      <c r="BF45">
        <v>0.10128570310442567</v>
      </c>
      <c r="BG45">
        <v>0.14005355045939136</v>
      </c>
      <c r="BH45">
        <v>0.13739436549682424</v>
      </c>
      <c r="BR45" t="s">
        <v>522</v>
      </c>
      <c r="BS45">
        <v>0.18667937592436382</v>
      </c>
      <c r="BT45">
        <v>0.16351488731925953</v>
      </c>
      <c r="BU45">
        <v>0.1850078533844515</v>
      </c>
      <c r="BV45">
        <v>0.13484749259988155</v>
      </c>
      <c r="BW45">
        <v>0.13348469639932226</v>
      </c>
      <c r="BX45">
        <v>0.14762952133329782</v>
      </c>
      <c r="BY45">
        <v>8.101412480917454E-2</v>
      </c>
      <c r="BZ45">
        <v>6.5729633143999253E-2</v>
      </c>
      <c r="CA45">
        <v>9.5277455514448037E-2</v>
      </c>
      <c r="CB45">
        <v>0.1615461423983236</v>
      </c>
      <c r="CC45">
        <v>0.14753910369243084</v>
      </c>
      <c r="CD45">
        <v>0.15309071157317103</v>
      </c>
      <c r="CF45" t="s">
        <v>540</v>
      </c>
      <c r="CG45" t="s">
        <v>108</v>
      </c>
      <c r="CH45" t="s">
        <v>109</v>
      </c>
      <c r="CI45">
        <v>0.30100363610105935</v>
      </c>
    </row>
    <row r="46" spans="2:87" x14ac:dyDescent="0.45">
      <c r="B46" t="s">
        <v>524</v>
      </c>
      <c r="C46" t="s">
        <v>99</v>
      </c>
      <c r="D46">
        <v>0.40678887618188553</v>
      </c>
      <c r="E46">
        <v>0.45258616960444237</v>
      </c>
      <c r="F46">
        <v>0.39511217269704069</v>
      </c>
      <c r="G46">
        <v>0.3437073398860363</v>
      </c>
      <c r="H46">
        <v>0.46640153909036736</v>
      </c>
      <c r="I46">
        <v>0.34385666860028513</v>
      </c>
      <c r="J46">
        <v>0.3385110274964136</v>
      </c>
      <c r="K46">
        <v>0.41950128780245211</v>
      </c>
      <c r="L46">
        <v>0.34043694530203217</v>
      </c>
      <c r="M46">
        <v>0.30547629809622528</v>
      </c>
      <c r="N46">
        <v>0.42626050195935122</v>
      </c>
      <c r="O46">
        <v>0.35635164861703306</v>
      </c>
      <c r="Q46" t="s">
        <v>524</v>
      </c>
      <c r="R46" t="s">
        <v>100</v>
      </c>
      <c r="S46">
        <v>1.210611490608484E-2</v>
      </c>
      <c r="T46">
        <v>1.9714201102359281E-2</v>
      </c>
      <c r="U46">
        <v>3.1518419519604837E-2</v>
      </c>
      <c r="V46">
        <v>4.993291070062119E-2</v>
      </c>
      <c r="W46">
        <v>5.493584665995236E-2</v>
      </c>
      <c r="X46">
        <v>6.9095645847810236E-2</v>
      </c>
      <c r="Y46">
        <v>7.4413952293049146E-2</v>
      </c>
      <c r="Z46">
        <v>8.311625541954254E-2</v>
      </c>
      <c r="AA46">
        <v>0.11957318816592184</v>
      </c>
      <c r="AB46">
        <v>4.3768593133651827E-2</v>
      </c>
      <c r="AC46">
        <v>5.4655925995073927E-2</v>
      </c>
      <c r="AD46">
        <v>4.6341028020199675E-2</v>
      </c>
      <c r="AF46" t="s">
        <v>524</v>
      </c>
      <c r="AG46" t="s">
        <v>101</v>
      </c>
      <c r="AH46">
        <v>3.7089656546898157E-2</v>
      </c>
      <c r="AI46">
        <v>1.0155950073265531E-2</v>
      </c>
      <c r="AJ46">
        <v>2.8382247162078229E-2</v>
      </c>
      <c r="AK46">
        <v>6.5793845387316571E-2</v>
      </c>
      <c r="AL46">
        <v>6.2748680725819378E-2</v>
      </c>
      <c r="AM46">
        <v>5.1044716366539213E-2</v>
      </c>
      <c r="AN46">
        <v>4.7911767638725136E-2</v>
      </c>
      <c r="AO46">
        <v>6.0313424885501989E-2</v>
      </c>
      <c r="AP46">
        <v>7.9864255452873734E-2</v>
      </c>
      <c r="AQ46">
        <v>5.2758718012275711E-2</v>
      </c>
      <c r="AR46">
        <v>8.9332310236293261E-2</v>
      </c>
      <c r="AS46">
        <v>4.6736707310499545E-2</v>
      </c>
      <c r="AU46" t="s">
        <v>524</v>
      </c>
      <c r="AV46" t="s">
        <v>102</v>
      </c>
      <c r="AW46">
        <v>0.2404516808253909</v>
      </c>
      <c r="AX46">
        <v>0.30395600765367092</v>
      </c>
      <c r="AY46">
        <v>0.2192476916648346</v>
      </c>
      <c r="AZ46">
        <v>0.13122730537232674</v>
      </c>
      <c r="BA46">
        <v>0.23170490806602723</v>
      </c>
      <c r="BB46">
        <v>0.11342209897633156</v>
      </c>
      <c r="BC46">
        <v>0.12624832820539655</v>
      </c>
      <c r="BD46">
        <v>0.16663530395740495</v>
      </c>
      <c r="BE46">
        <v>3.9300174008663646E-2</v>
      </c>
      <c r="BF46">
        <v>0.11184240360866553</v>
      </c>
      <c r="BG46">
        <v>0.16021835437892004</v>
      </c>
      <c r="BH46">
        <v>0.15878849483551144</v>
      </c>
      <c r="BR46" t="s">
        <v>524</v>
      </c>
      <c r="BS46">
        <v>0.23593992939902206</v>
      </c>
      <c r="BT46">
        <v>0.18979668533937652</v>
      </c>
      <c r="BU46">
        <v>0.23781086848138322</v>
      </c>
      <c r="BV46">
        <v>0.17151500876037179</v>
      </c>
      <c r="BW46">
        <v>0.13503778753534854</v>
      </c>
      <c r="BX46">
        <v>0.17437470910805897</v>
      </c>
      <c r="BY46">
        <v>0.114488959110395</v>
      </c>
      <c r="BZ46">
        <v>6.8878179124982356E-2</v>
      </c>
      <c r="CA46">
        <v>0.11923274956700847</v>
      </c>
      <c r="CB46">
        <v>0.20310887614334552</v>
      </c>
      <c r="CC46">
        <v>0.1549053411848956</v>
      </c>
      <c r="CD46">
        <v>0.19392023269458633</v>
      </c>
      <c r="CF46" t="s">
        <v>541</v>
      </c>
      <c r="CG46" t="s">
        <v>108</v>
      </c>
      <c r="CH46" t="s">
        <v>109</v>
      </c>
      <c r="CI46">
        <v>0.31463222728991697</v>
      </c>
    </row>
    <row r="47" spans="2:87" x14ac:dyDescent="0.45">
      <c r="B47" t="s">
        <v>526</v>
      </c>
      <c r="C47" t="s">
        <v>99</v>
      </c>
      <c r="D47">
        <v>0.38288105803576439</v>
      </c>
      <c r="E47">
        <v>0.41207081984523247</v>
      </c>
      <c r="F47">
        <v>0.36912670767653583</v>
      </c>
      <c r="G47">
        <v>0.34180173097993516</v>
      </c>
      <c r="H47">
        <v>0.41607501106591305</v>
      </c>
      <c r="I47">
        <v>0.34225254413367689</v>
      </c>
      <c r="J47">
        <v>0.34800794051421274</v>
      </c>
      <c r="K47">
        <v>0.40242117686315104</v>
      </c>
      <c r="L47">
        <v>0.31836801049623215</v>
      </c>
      <c r="M47">
        <v>0.30298514076029687</v>
      </c>
      <c r="N47">
        <v>0.39199923103429207</v>
      </c>
      <c r="O47">
        <v>0.33752653060375459</v>
      </c>
      <c r="Q47" t="s">
        <v>526</v>
      </c>
      <c r="R47" t="s">
        <v>100</v>
      </c>
      <c r="S47">
        <v>1.4271147197479623E-2</v>
      </c>
      <c r="T47">
        <v>2.1607237845782539E-2</v>
      </c>
      <c r="U47">
        <v>1.5630869403932834E-2</v>
      </c>
      <c r="V47">
        <v>3.5699642269460756E-2</v>
      </c>
      <c r="W47">
        <v>2.5395926827612884E-2</v>
      </c>
      <c r="X47">
        <v>5.4614819591085377E-2</v>
      </c>
      <c r="Y47">
        <v>4.074819592885201E-2</v>
      </c>
      <c r="Z47">
        <v>7.9624074424214736E-2</v>
      </c>
      <c r="AA47">
        <v>8.2579892594588936E-2</v>
      </c>
      <c r="AB47">
        <v>3.9685866740365221E-2</v>
      </c>
      <c r="AC47">
        <v>3.8277762255960412E-2</v>
      </c>
      <c r="AD47">
        <v>3.6632225410256646E-2</v>
      </c>
      <c r="AF47" t="s">
        <v>526</v>
      </c>
      <c r="AG47" t="s">
        <v>101</v>
      </c>
      <c r="AH47">
        <v>2.1798581894558095E-2</v>
      </c>
      <c r="AI47">
        <v>3.0410356189737565E-2</v>
      </c>
      <c r="AJ47">
        <v>2.1737927339616284E-2</v>
      </c>
      <c r="AK47">
        <v>5.6831294129968235E-2</v>
      </c>
      <c r="AL47">
        <v>5.7227683681196788E-2</v>
      </c>
      <c r="AM47">
        <v>2.7717835922141998E-2</v>
      </c>
      <c r="AN47">
        <v>7.1459489175116964E-2</v>
      </c>
      <c r="AO47">
        <v>3.0201580808824739E-2</v>
      </c>
      <c r="AP47">
        <v>9.1537430904208017E-2</v>
      </c>
      <c r="AQ47">
        <v>6.5030159080089522E-2</v>
      </c>
      <c r="AR47">
        <v>5.6023420766505967E-2</v>
      </c>
      <c r="AS47">
        <v>2.3571540737132326E-2</v>
      </c>
      <c r="AU47" t="s">
        <v>526</v>
      </c>
      <c r="AV47" t="s">
        <v>102</v>
      </c>
      <c r="AW47">
        <v>0.2303759474295376</v>
      </c>
      <c r="AX47">
        <v>0.23131125657584495</v>
      </c>
      <c r="AY47">
        <v>0.21540226058790937</v>
      </c>
      <c r="AZ47">
        <v>0.14354719669300225</v>
      </c>
      <c r="BA47">
        <v>0.22058481958144527</v>
      </c>
      <c r="BB47">
        <v>0.15020940784291859</v>
      </c>
      <c r="BC47">
        <v>0.13713478702363724</v>
      </c>
      <c r="BD47">
        <v>0.17945175961385557</v>
      </c>
      <c r="BE47">
        <v>4.6688275841059231E-2</v>
      </c>
      <c r="BF47">
        <v>0.10146099766420576</v>
      </c>
      <c r="BG47">
        <v>0.17768357346055233</v>
      </c>
      <c r="BH47">
        <v>0.17975936351525112</v>
      </c>
      <c r="BR47" t="s">
        <v>526</v>
      </c>
      <c r="BS47">
        <v>0.25248312209463691</v>
      </c>
      <c r="BT47">
        <v>0.2248209945969635</v>
      </c>
      <c r="BU47">
        <v>0.25368710952944307</v>
      </c>
      <c r="BV47">
        <v>0.18095774016534752</v>
      </c>
      <c r="BW47">
        <v>0.16182917980524472</v>
      </c>
      <c r="BX47">
        <v>0.19244244886383466</v>
      </c>
      <c r="BY47">
        <v>0.11171973833388371</v>
      </c>
      <c r="BZ47">
        <v>8.1205689092922126E-2</v>
      </c>
      <c r="CA47">
        <v>0.12220295916289353</v>
      </c>
      <c r="CB47">
        <v>0.22624418479430458</v>
      </c>
      <c r="CC47">
        <v>0.19843774677843132</v>
      </c>
      <c r="CD47">
        <v>0.21841884245258145</v>
      </c>
      <c r="CF47" t="s">
        <v>542</v>
      </c>
      <c r="CG47" t="s">
        <v>108</v>
      </c>
      <c r="CH47" t="s">
        <v>109</v>
      </c>
      <c r="CI47">
        <v>0.37583125714055693</v>
      </c>
    </row>
    <row r="48" spans="2:87" x14ac:dyDescent="0.45">
      <c r="B48" t="s">
        <v>528</v>
      </c>
      <c r="C48" t="s">
        <v>99</v>
      </c>
      <c r="D48">
        <v>0.41912061378774157</v>
      </c>
      <c r="E48">
        <v>0.44655521132866111</v>
      </c>
      <c r="F48">
        <v>0.41638138822958365</v>
      </c>
      <c r="G48">
        <v>0.37913497693658021</v>
      </c>
      <c r="H48">
        <v>0.44254873318576493</v>
      </c>
      <c r="I48">
        <v>0.36187604837042747</v>
      </c>
      <c r="J48">
        <v>0.36369631641176869</v>
      </c>
      <c r="K48">
        <v>0.42202289965624945</v>
      </c>
      <c r="L48">
        <v>0.34881174823859057</v>
      </c>
      <c r="M48">
        <v>0.42889751522501324</v>
      </c>
      <c r="N48">
        <v>0.46928592945738568</v>
      </c>
      <c r="O48">
        <v>0.40289984122240874</v>
      </c>
      <c r="Q48" t="s">
        <v>528</v>
      </c>
      <c r="R48" t="s">
        <v>100</v>
      </c>
      <c r="S48">
        <v>2.356181857405543E-2</v>
      </c>
      <c r="T48">
        <v>1.6495522085622071E-2</v>
      </c>
      <c r="U48">
        <v>4.2738210096978382E-2</v>
      </c>
      <c r="V48">
        <v>4.658361117843364E-2</v>
      </c>
      <c r="W48">
        <v>2.6235718643899491E-2</v>
      </c>
      <c r="X48">
        <v>5.2202920671604966E-2</v>
      </c>
      <c r="Y48">
        <v>4.1200312723041921E-2</v>
      </c>
      <c r="Z48">
        <v>5.6565016924823068E-2</v>
      </c>
      <c r="AA48">
        <v>9.3119851249430452E-2</v>
      </c>
      <c r="AB48">
        <v>4.75190517713436E-2</v>
      </c>
      <c r="AC48">
        <v>2.4943359009941074E-2</v>
      </c>
      <c r="AD48">
        <v>3.9748949099843923E-2</v>
      </c>
      <c r="AF48" t="s">
        <v>528</v>
      </c>
      <c r="AG48" t="s">
        <v>101</v>
      </c>
      <c r="AH48">
        <v>4.7608971106189377E-2</v>
      </c>
      <c r="AI48">
        <v>1.707456464825224E-2</v>
      </c>
      <c r="AJ48">
        <v>6.4648244019398865E-2</v>
      </c>
      <c r="AK48">
        <v>6.2884617981016813E-2</v>
      </c>
      <c r="AL48">
        <v>0.11009287564244793</v>
      </c>
      <c r="AM48">
        <v>4.5854749872683162E-2</v>
      </c>
      <c r="AN48">
        <v>6.8405987691053355E-2</v>
      </c>
      <c r="AO48">
        <v>4.2706899646096502E-2</v>
      </c>
      <c r="AP48">
        <v>4.2377564495138451E-2</v>
      </c>
      <c r="AQ48">
        <v>6.2898534949439838E-2</v>
      </c>
      <c r="AR48">
        <v>6.0540918992421082E-2</v>
      </c>
      <c r="AS48">
        <v>5.1407146256898649E-2</v>
      </c>
      <c r="AU48" t="s">
        <v>528</v>
      </c>
      <c r="AV48" t="s">
        <v>102</v>
      </c>
      <c r="AW48">
        <v>0.23443970914016377</v>
      </c>
      <c r="AX48">
        <v>0.30383007601138784</v>
      </c>
      <c r="AY48">
        <v>0.19694366380630074</v>
      </c>
      <c r="AZ48">
        <v>0.15991103961289138</v>
      </c>
      <c r="BA48">
        <v>0.19358268520289598</v>
      </c>
      <c r="BB48">
        <v>0.15887861115486196</v>
      </c>
      <c r="BC48">
        <v>0.16078192613891479</v>
      </c>
      <c r="BD48">
        <v>0.21465871345375892</v>
      </c>
      <c r="BE48">
        <v>0.10660156166516489</v>
      </c>
      <c r="BF48">
        <v>0.19797212255929705</v>
      </c>
      <c r="BG48">
        <v>0.26721520750900413</v>
      </c>
      <c r="BH48">
        <v>0.19560450358144069</v>
      </c>
      <c r="BR48" t="s">
        <v>528</v>
      </c>
      <c r="BS48">
        <v>0.19798501974115423</v>
      </c>
      <c r="BT48">
        <v>0.18537677384599091</v>
      </c>
      <c r="BU48">
        <v>0.21195971919173501</v>
      </c>
      <c r="BV48">
        <v>0.13703519060341898</v>
      </c>
      <c r="BW48">
        <v>0.12295050503412749</v>
      </c>
      <c r="BX48">
        <v>0.13895445072973744</v>
      </c>
      <c r="BY48">
        <v>8.0815175992996952E-2</v>
      </c>
      <c r="BZ48">
        <v>7.0294647704551988E-2</v>
      </c>
      <c r="CA48">
        <v>9.6625678318623176E-2</v>
      </c>
      <c r="CB48">
        <v>0.19266397662265269</v>
      </c>
      <c r="CC48">
        <v>0.16685814221186937</v>
      </c>
      <c r="CD48">
        <v>0.18423180477967691</v>
      </c>
      <c r="CF48" t="s">
        <v>543</v>
      </c>
      <c r="CG48" t="s">
        <v>108</v>
      </c>
      <c r="CH48" t="s">
        <v>109</v>
      </c>
      <c r="CI48">
        <v>0.42103516265761459</v>
      </c>
    </row>
    <row r="49" spans="2:87" x14ac:dyDescent="0.45">
      <c r="B49" t="s">
        <v>530</v>
      </c>
      <c r="C49" t="s">
        <v>99</v>
      </c>
      <c r="D49">
        <v>0.48772772675171056</v>
      </c>
      <c r="E49">
        <v>0.50971872244718719</v>
      </c>
      <c r="F49">
        <v>0.50058191188500789</v>
      </c>
      <c r="G49">
        <v>0.41285967010969321</v>
      </c>
      <c r="H49">
        <v>0.4732199722086739</v>
      </c>
      <c r="I49">
        <v>0.40249367119006468</v>
      </c>
      <c r="J49">
        <v>0.39528655852800754</v>
      </c>
      <c r="K49">
        <v>0.45673857384806182</v>
      </c>
      <c r="L49">
        <v>0.38829107712018446</v>
      </c>
      <c r="M49">
        <v>0.47690152246771328</v>
      </c>
      <c r="N49">
        <v>0.51649663274916857</v>
      </c>
      <c r="O49">
        <v>0.46491480569019211</v>
      </c>
      <c r="Q49" t="s">
        <v>530</v>
      </c>
      <c r="R49" t="s">
        <v>100</v>
      </c>
      <c r="S49">
        <v>1.050386286673838E-2</v>
      </c>
      <c r="T49">
        <v>1.7932575255924801E-2</v>
      </c>
      <c r="U49">
        <v>5.1125214178277575E-2</v>
      </c>
      <c r="V49">
        <v>0.10198712866398535</v>
      </c>
      <c r="W49">
        <v>8.1789106579163717E-2</v>
      </c>
      <c r="X49">
        <v>5.3452145509121342E-2</v>
      </c>
      <c r="Y49">
        <v>8.2279894242797691E-2</v>
      </c>
      <c r="Z49">
        <v>9.047326403693226E-2</v>
      </c>
      <c r="AA49">
        <v>0.11704107993797558</v>
      </c>
      <c r="AB49">
        <v>7.8867621162193646E-2</v>
      </c>
      <c r="AC49">
        <v>6.4144264134910436E-2</v>
      </c>
      <c r="AD49">
        <v>6.2207378666890668E-2</v>
      </c>
      <c r="AF49" t="s">
        <v>530</v>
      </c>
      <c r="AG49" t="s">
        <v>101</v>
      </c>
      <c r="AH49">
        <v>5.4012344687412402E-2</v>
      </c>
      <c r="AI49">
        <v>6.0103363824222629E-3</v>
      </c>
      <c r="AJ49">
        <v>5.298926140436102E-2</v>
      </c>
      <c r="AK49">
        <v>8.5343956146265332E-2</v>
      </c>
      <c r="AL49">
        <v>0.11972141415145864</v>
      </c>
      <c r="AM49">
        <v>9.6073515812485341E-2</v>
      </c>
      <c r="AN49">
        <v>3.9681887988009028E-2</v>
      </c>
      <c r="AO49">
        <v>2.5190250192118596E-2</v>
      </c>
      <c r="AP49">
        <v>2.1706054795975965E-2</v>
      </c>
      <c r="AQ49">
        <v>7.6051412374437757E-2</v>
      </c>
      <c r="AR49">
        <v>9.0188113754278001E-2</v>
      </c>
      <c r="AS49">
        <v>9.8141034337159178E-2</v>
      </c>
      <c r="AU49" t="s">
        <v>530</v>
      </c>
      <c r="AV49" t="s">
        <v>102</v>
      </c>
      <c r="AW49">
        <v>0.32323467337222533</v>
      </c>
      <c r="AX49">
        <v>0.39106449424945267</v>
      </c>
      <c r="AY49">
        <v>0.28115733792803399</v>
      </c>
      <c r="AZ49">
        <v>0.12276062237353118</v>
      </c>
      <c r="BA49">
        <v>0.15957866105897364</v>
      </c>
      <c r="BB49">
        <v>0.14022971614366903</v>
      </c>
      <c r="BC49">
        <v>0.16205589757670943</v>
      </c>
      <c r="BD49">
        <v>0.23144396135581299</v>
      </c>
      <c r="BE49">
        <v>0.14048888747405275</v>
      </c>
      <c r="BF49">
        <v>0.20024598755348144</v>
      </c>
      <c r="BG49">
        <v>0.24288841724783342</v>
      </c>
      <c r="BH49">
        <v>0.19420969849303091</v>
      </c>
      <c r="BR49" t="s">
        <v>530</v>
      </c>
      <c r="BS49">
        <v>0.10750419928342142</v>
      </c>
      <c r="BT49">
        <v>0.10136320489268694</v>
      </c>
      <c r="BU49">
        <v>0.12368916561224153</v>
      </c>
      <c r="BV49">
        <v>8.015308908126749E-2</v>
      </c>
      <c r="BW49">
        <v>7.9409303473526011E-2</v>
      </c>
      <c r="BX49">
        <v>8.9582830582750739E-2</v>
      </c>
      <c r="BY49">
        <v>5.3907146284011179E-2</v>
      </c>
      <c r="BZ49">
        <v>5.1481471481210635E-2</v>
      </c>
      <c r="CA49">
        <v>5.9702465606031062E-2</v>
      </c>
      <c r="CB49">
        <v>9.8325550295188566E-2</v>
      </c>
      <c r="CC49">
        <v>0.10220853455383391</v>
      </c>
      <c r="CD49">
        <v>0.10786045239304001</v>
      </c>
      <c r="CF49" t="s">
        <v>544</v>
      </c>
      <c r="CG49" t="s">
        <v>108</v>
      </c>
      <c r="CH49" t="s">
        <v>109</v>
      </c>
      <c r="CI49">
        <v>0.41290720003211895</v>
      </c>
    </row>
    <row r="50" spans="2:87" x14ac:dyDescent="0.45">
      <c r="B50" t="s">
        <v>532</v>
      </c>
      <c r="C50" t="s">
        <v>99</v>
      </c>
      <c r="D50">
        <v>0.3921961318876272</v>
      </c>
      <c r="E50">
        <v>0.44253803202676634</v>
      </c>
      <c r="F50">
        <v>0.40635441732930272</v>
      </c>
      <c r="G50">
        <v>0.39617174831337726</v>
      </c>
      <c r="H50">
        <v>0.47120054110590326</v>
      </c>
      <c r="I50">
        <v>0.37479286789872285</v>
      </c>
      <c r="J50">
        <v>0.34001345917938303</v>
      </c>
      <c r="K50">
        <v>0.44149212024366435</v>
      </c>
      <c r="L50">
        <v>0.35233013853824541</v>
      </c>
      <c r="M50">
        <v>0.39461400790298823</v>
      </c>
      <c r="N50">
        <v>0.47287231352157555</v>
      </c>
      <c r="O50">
        <v>0.38647550615944909</v>
      </c>
      <c r="Q50" t="s">
        <v>532</v>
      </c>
      <c r="R50" t="s">
        <v>100</v>
      </c>
      <c r="S50">
        <v>1.8903078561419775E-2</v>
      </c>
      <c r="T50">
        <v>2.228671525118971E-2</v>
      </c>
      <c r="U50">
        <v>4.1524161014179523E-2</v>
      </c>
      <c r="V50">
        <v>5.9566948268370029E-2</v>
      </c>
      <c r="W50">
        <v>4.7852939515785557E-2</v>
      </c>
      <c r="X50">
        <v>6.8698840405924902E-2</v>
      </c>
      <c r="Y50">
        <v>5.9880708321788031E-2</v>
      </c>
      <c r="Z50">
        <v>6.3367769080474839E-2</v>
      </c>
      <c r="AA50">
        <v>7.259959793560436E-2</v>
      </c>
      <c r="AB50">
        <v>7.7755293828513941E-2</v>
      </c>
      <c r="AC50">
        <v>4.280092987735868E-2</v>
      </c>
      <c r="AD50">
        <v>4.6961292884504138E-2</v>
      </c>
      <c r="AF50" t="s">
        <v>532</v>
      </c>
      <c r="AG50" t="s">
        <v>101</v>
      </c>
      <c r="AH50">
        <v>4.1519060284028277E-2</v>
      </c>
      <c r="AI50">
        <v>1.8229703632296312E-2</v>
      </c>
      <c r="AJ50">
        <v>5.1659000112745643E-2</v>
      </c>
      <c r="AK50">
        <v>6.4681769846278978E-2</v>
      </c>
      <c r="AL50">
        <v>9.2641917983934327E-2</v>
      </c>
      <c r="AM50">
        <v>5.1773416163961292E-2</v>
      </c>
      <c r="AN50">
        <v>3.199327977109602E-2</v>
      </c>
      <c r="AO50">
        <v>3.9181447506525975E-2</v>
      </c>
      <c r="AP50">
        <v>5.9938627195599135E-2</v>
      </c>
      <c r="AQ50">
        <v>4.918539688081059E-2</v>
      </c>
      <c r="AR50">
        <v>8.5202712351692467E-2</v>
      </c>
      <c r="AS50">
        <v>4.7926270513366079E-2</v>
      </c>
      <c r="AU50" t="s">
        <v>532</v>
      </c>
      <c r="AV50" t="s">
        <v>102</v>
      </c>
      <c r="AW50">
        <v>0.22409109985859491</v>
      </c>
      <c r="AX50">
        <v>0.29346055082207928</v>
      </c>
      <c r="AY50">
        <v>0.19402402803151131</v>
      </c>
      <c r="AZ50">
        <v>0.14062264744380629</v>
      </c>
      <c r="BA50">
        <v>0.21116209509442144</v>
      </c>
      <c r="BB50">
        <v>0.14753468732920605</v>
      </c>
      <c r="BC50">
        <v>0.14570914699482435</v>
      </c>
      <c r="BD50">
        <v>0.22268740176800267</v>
      </c>
      <c r="BE50">
        <v>0.11643295108982903</v>
      </c>
      <c r="BF50">
        <v>0.14045050939710227</v>
      </c>
      <c r="BG50">
        <v>0.21498069687893331</v>
      </c>
      <c r="BH50">
        <v>0.18124871564412146</v>
      </c>
      <c r="BR50" t="s">
        <v>532</v>
      </c>
      <c r="BS50">
        <v>0.22460432773561184</v>
      </c>
      <c r="BT50">
        <v>0.18921706727632651</v>
      </c>
      <c r="BU50">
        <v>0.23425530070139383</v>
      </c>
      <c r="BV50">
        <v>0.17228983891700994</v>
      </c>
      <c r="BW50">
        <v>0.13959828343101927</v>
      </c>
      <c r="BX50">
        <v>0.16973971696457912</v>
      </c>
      <c r="BY50">
        <v>0.11097575255075877</v>
      </c>
      <c r="BZ50">
        <v>8.6914322407056238E-2</v>
      </c>
      <c r="CA50">
        <v>0.11742459867651912</v>
      </c>
      <c r="CB50">
        <v>0.19373030935019456</v>
      </c>
      <c r="CC50">
        <v>0.16019647571850254</v>
      </c>
      <c r="CD50">
        <v>0.20380817434598039</v>
      </c>
      <c r="CF50" t="s">
        <v>545</v>
      </c>
      <c r="CG50" t="s">
        <v>108</v>
      </c>
      <c r="CH50" t="s">
        <v>109</v>
      </c>
      <c r="CI50">
        <v>0.52052178851292463</v>
      </c>
    </row>
    <row r="51" spans="2:87" x14ac:dyDescent="0.45">
      <c r="B51" t="s">
        <v>534</v>
      </c>
      <c r="C51" t="s">
        <v>99</v>
      </c>
      <c r="D51">
        <v>0.37105040210820983</v>
      </c>
      <c r="E51">
        <v>0.38604591623639778</v>
      </c>
      <c r="F51">
        <v>0.34513220899628544</v>
      </c>
      <c r="G51">
        <v>0.31826342876059188</v>
      </c>
      <c r="H51">
        <v>0.39209197493687703</v>
      </c>
      <c r="I51">
        <v>0.31058020216771437</v>
      </c>
      <c r="J51">
        <v>0.34482134479733556</v>
      </c>
      <c r="K51">
        <v>0.40987338595841172</v>
      </c>
      <c r="L51">
        <v>0.32495673831736616</v>
      </c>
      <c r="M51">
        <v>0.36139947908703463</v>
      </c>
      <c r="N51">
        <v>0.40604257737295774</v>
      </c>
      <c r="O51">
        <v>0.349981651817168</v>
      </c>
      <c r="Q51" t="s">
        <v>534</v>
      </c>
      <c r="R51" t="s">
        <v>100</v>
      </c>
      <c r="S51">
        <v>1.6409497010864658E-2</v>
      </c>
      <c r="T51">
        <v>2.6245022916707494E-2</v>
      </c>
      <c r="U51">
        <v>2.3917781845032949E-2</v>
      </c>
      <c r="V51">
        <v>4.2252699174491613E-2</v>
      </c>
      <c r="W51">
        <v>2.7623326774202785E-2</v>
      </c>
      <c r="X51">
        <v>1.4408738614117325E-2</v>
      </c>
      <c r="Y51">
        <v>2.8517368104310822E-2</v>
      </c>
      <c r="Z51">
        <v>3.6114730890785311E-2</v>
      </c>
      <c r="AA51">
        <v>4.9019081817921667E-2</v>
      </c>
      <c r="AB51">
        <v>2.6140283355436771E-2</v>
      </c>
      <c r="AC51">
        <v>2.7406929023534071E-2</v>
      </c>
      <c r="AD51">
        <v>4.1614249826438444E-2</v>
      </c>
      <c r="AF51" t="s">
        <v>534</v>
      </c>
      <c r="AG51" t="s">
        <v>101</v>
      </c>
      <c r="AH51">
        <v>2.9772039069152295E-2</v>
      </c>
      <c r="AI51">
        <v>2.143563588713324E-2</v>
      </c>
      <c r="AJ51">
        <v>4.8432825294805339E-2</v>
      </c>
      <c r="AK51">
        <v>4.3283211749688362E-2</v>
      </c>
      <c r="AL51">
        <v>5.9717839371238181E-2</v>
      </c>
      <c r="AM51">
        <v>3.2976067638881827E-2</v>
      </c>
      <c r="AN51">
        <v>5.0380194993434164E-2</v>
      </c>
      <c r="AO51">
        <v>4.575270401846785E-2</v>
      </c>
      <c r="AP51">
        <v>3.4801593570753069E-2</v>
      </c>
      <c r="AQ51">
        <v>4.3275048265304532E-2</v>
      </c>
      <c r="AR51">
        <v>3.9194140039210464E-2</v>
      </c>
      <c r="AS51">
        <v>3.2305228390989801E-2</v>
      </c>
      <c r="AU51" t="s">
        <v>534</v>
      </c>
      <c r="AV51" t="s">
        <v>102</v>
      </c>
      <c r="AW51">
        <v>0.20028898768694509</v>
      </c>
      <c r="AX51">
        <v>0.22359266950885731</v>
      </c>
      <c r="AY51">
        <v>0.16333078771248169</v>
      </c>
      <c r="AZ51">
        <v>0.12209389861810321</v>
      </c>
      <c r="BA51">
        <v>0.1769832067741729</v>
      </c>
      <c r="BB51">
        <v>0.16347218958201792</v>
      </c>
      <c r="BC51">
        <v>0.14859396039566369</v>
      </c>
      <c r="BD51">
        <v>0.21230608545772481</v>
      </c>
      <c r="BE51">
        <v>0.13444312566098346</v>
      </c>
      <c r="BF51">
        <v>0.1744134788724914</v>
      </c>
      <c r="BG51">
        <v>0.21589107292164772</v>
      </c>
      <c r="BH51">
        <v>0.15424159296491807</v>
      </c>
      <c r="BR51" t="s">
        <v>534</v>
      </c>
      <c r="BS51">
        <v>0.30166510321413598</v>
      </c>
      <c r="BT51">
        <v>0.26858952807931935</v>
      </c>
      <c r="BU51">
        <v>0.30339943467768343</v>
      </c>
      <c r="BV51">
        <v>0.22989317083604879</v>
      </c>
      <c r="BW51">
        <v>0.2045658695866279</v>
      </c>
      <c r="BX51">
        <v>0.2246016142227269</v>
      </c>
      <c r="BY51">
        <v>0.15403387130782353</v>
      </c>
      <c r="BZ51">
        <v>0.11453415544202968</v>
      </c>
      <c r="CA51">
        <v>0.15094240844471726</v>
      </c>
      <c r="CB51">
        <v>0.27320890273819703</v>
      </c>
      <c r="CC51">
        <v>0.23447228541579779</v>
      </c>
      <c r="CD51">
        <v>0.27511563313835175</v>
      </c>
      <c r="CF51" t="s">
        <v>546</v>
      </c>
      <c r="CG51" t="s">
        <v>108</v>
      </c>
      <c r="CH51" t="s">
        <v>109</v>
      </c>
      <c r="CI51">
        <v>0.58209980728590982</v>
      </c>
    </row>
    <row r="52" spans="2:87" x14ac:dyDescent="0.45">
      <c r="B52" t="s">
        <v>536</v>
      </c>
      <c r="C52" t="s">
        <v>99</v>
      </c>
      <c r="D52">
        <v>0.37746704355970129</v>
      </c>
      <c r="E52">
        <v>0.38389516505686655</v>
      </c>
      <c r="F52">
        <v>0.35093814594712236</v>
      </c>
      <c r="G52">
        <v>0.34023972692194748</v>
      </c>
      <c r="H52">
        <v>0.40298830004723046</v>
      </c>
      <c r="I52">
        <v>0.348657304608742</v>
      </c>
      <c r="J52">
        <v>0.33395329630959958</v>
      </c>
      <c r="K52">
        <v>0.41574298773571</v>
      </c>
      <c r="L52">
        <v>0.34368293697212987</v>
      </c>
      <c r="M52">
        <v>0.34896212704495655</v>
      </c>
      <c r="N52">
        <v>0.42423767504968357</v>
      </c>
      <c r="O52">
        <v>0.36721546905329894</v>
      </c>
      <c r="Q52" t="s">
        <v>536</v>
      </c>
      <c r="R52" t="s">
        <v>100</v>
      </c>
      <c r="S52">
        <v>1.5943016925303265E-2</v>
      </c>
      <c r="T52">
        <v>1.9824849696420749E-2</v>
      </c>
      <c r="U52">
        <v>2.1920891642322866E-2</v>
      </c>
      <c r="V52">
        <v>4.9942288032874385E-2</v>
      </c>
      <c r="W52">
        <v>2.738871013692893E-2</v>
      </c>
      <c r="X52">
        <v>3.5675965869944225E-2</v>
      </c>
      <c r="Y52">
        <v>3.5489755574277387E-2</v>
      </c>
      <c r="Z52">
        <v>3.556494658727842E-2</v>
      </c>
      <c r="AA52">
        <v>9.4742520965794927E-2</v>
      </c>
      <c r="AB52">
        <v>2.9785217702513314E-2</v>
      </c>
      <c r="AC52">
        <v>2.1697749904034554E-2</v>
      </c>
      <c r="AD52">
        <v>3.771074575793993E-2</v>
      </c>
      <c r="AF52" t="s">
        <v>536</v>
      </c>
      <c r="AG52" t="s">
        <v>101</v>
      </c>
      <c r="AH52">
        <v>4.0587805893913101E-2</v>
      </c>
      <c r="AI52">
        <v>2.0704876434938277E-2</v>
      </c>
      <c r="AJ52">
        <v>4.8091275220154245E-2</v>
      </c>
      <c r="AK52">
        <v>4.0163139601480408E-2</v>
      </c>
      <c r="AL52">
        <v>7.0192985715949188E-2</v>
      </c>
      <c r="AM52">
        <v>4.1633257832150383E-2</v>
      </c>
      <c r="AN52">
        <v>6.8405207920005151E-2</v>
      </c>
      <c r="AO52">
        <v>1.9322024180874205E-2</v>
      </c>
      <c r="AP52">
        <v>3.4168265837464601E-2</v>
      </c>
      <c r="AQ52">
        <v>5.643327256842208E-2</v>
      </c>
      <c r="AR52">
        <v>4.5445661959896265E-2</v>
      </c>
      <c r="AS52">
        <v>3.2776471490042723E-2</v>
      </c>
      <c r="AU52" t="s">
        <v>536</v>
      </c>
      <c r="AV52" t="s">
        <v>102</v>
      </c>
      <c r="AW52">
        <v>0.21228142548177581</v>
      </c>
      <c r="AX52">
        <v>0.22513994636121357</v>
      </c>
      <c r="AY52">
        <v>0.17124037613428278</v>
      </c>
      <c r="AZ52">
        <v>0.14396005571931292</v>
      </c>
      <c r="BA52">
        <v>0.18669529097581375</v>
      </c>
      <c r="BB52">
        <v>0.16433412728834165</v>
      </c>
      <c r="BC52">
        <v>0.12308805611696588</v>
      </c>
      <c r="BD52">
        <v>0.25566969444610493</v>
      </c>
      <c r="BE52">
        <v>0.10198193295244518</v>
      </c>
      <c r="BF52">
        <v>0.14515840741262806</v>
      </c>
      <c r="BG52">
        <v>0.2348612218050552</v>
      </c>
      <c r="BH52">
        <v>0.17355675210338625</v>
      </c>
      <c r="BR52" t="s">
        <v>536</v>
      </c>
      <c r="BS52">
        <v>0.2715374355198899</v>
      </c>
      <c r="BT52">
        <v>0.25027228094596404</v>
      </c>
      <c r="BU52">
        <v>0.27788240497901384</v>
      </c>
      <c r="BV52">
        <v>0.19203636377742928</v>
      </c>
      <c r="BW52">
        <v>0.17585324427798726</v>
      </c>
      <c r="BX52">
        <v>0.20343467570077228</v>
      </c>
      <c r="BY52">
        <v>0.12204267787790585</v>
      </c>
      <c r="BZ52">
        <v>9.1863580131561234E-2</v>
      </c>
      <c r="CA52">
        <v>0.12893291694811643</v>
      </c>
      <c r="CB52">
        <v>0.24988445968243084</v>
      </c>
      <c r="CC52">
        <v>0.20731271927536749</v>
      </c>
      <c r="CD52">
        <v>0.24073854821341856</v>
      </c>
      <c r="CF52" t="s">
        <v>547</v>
      </c>
      <c r="CG52" t="s">
        <v>108</v>
      </c>
      <c r="CH52" t="s">
        <v>109</v>
      </c>
      <c r="CI52">
        <v>0.48558890137670802</v>
      </c>
    </row>
    <row r="53" spans="2:87" x14ac:dyDescent="0.45">
      <c r="B53" t="s">
        <v>538</v>
      </c>
      <c r="C53" t="s">
        <v>99</v>
      </c>
      <c r="D53">
        <v>0.37869218918094655</v>
      </c>
      <c r="E53">
        <v>0.41220571753881491</v>
      </c>
      <c r="F53">
        <v>0.37259364889458146</v>
      </c>
      <c r="G53">
        <v>0.35885077328211351</v>
      </c>
      <c r="H53">
        <v>0.44480658164767051</v>
      </c>
      <c r="I53">
        <v>0.35268668457178975</v>
      </c>
      <c r="J53">
        <v>0.33692184757841542</v>
      </c>
      <c r="K53">
        <v>0.42121384665376022</v>
      </c>
      <c r="L53">
        <v>0.34525189468716844</v>
      </c>
      <c r="M53">
        <v>0.34276821201222996</v>
      </c>
      <c r="N53">
        <v>0.44186665869344294</v>
      </c>
      <c r="O53">
        <v>0.37119388823023775</v>
      </c>
      <c r="Q53" t="s">
        <v>538</v>
      </c>
      <c r="R53" t="s">
        <v>100</v>
      </c>
      <c r="S53">
        <v>2.4416759226357134E-2</v>
      </c>
      <c r="T53">
        <v>2.7560985131662094E-2</v>
      </c>
      <c r="U53">
        <v>3.3994266314390183E-2</v>
      </c>
      <c r="V53">
        <v>5.9054299153050521E-2</v>
      </c>
      <c r="W53">
        <v>3.8358108022630684E-2</v>
      </c>
      <c r="X53">
        <v>6.3817590336865557E-2</v>
      </c>
      <c r="Y53">
        <v>6.4877898699672143E-2</v>
      </c>
      <c r="Z53">
        <v>6.9318412113971425E-2</v>
      </c>
      <c r="AA53">
        <v>0.1220796890210977</v>
      </c>
      <c r="AB53">
        <v>4.6514643030471092E-2</v>
      </c>
      <c r="AC53">
        <v>2.8864610329114845E-2</v>
      </c>
      <c r="AD53">
        <v>4.7465734131962506E-2</v>
      </c>
      <c r="AF53" t="s">
        <v>538</v>
      </c>
      <c r="AG53" t="s">
        <v>101</v>
      </c>
      <c r="AH53">
        <v>3.5763441328934796E-2</v>
      </c>
      <c r="AI53">
        <v>1.893355460591031E-2</v>
      </c>
      <c r="AJ53">
        <v>5.8424681418309705E-2</v>
      </c>
      <c r="AK53">
        <v>6.0350862144514197E-2</v>
      </c>
      <c r="AL53">
        <v>8.4995759801035117E-2</v>
      </c>
      <c r="AM53">
        <v>3.9440798060043733E-2</v>
      </c>
      <c r="AN53">
        <v>6.2781961981642598E-2</v>
      </c>
      <c r="AO53">
        <v>6.858489174599916E-2</v>
      </c>
      <c r="AP53">
        <v>4.2151908478648914E-2</v>
      </c>
      <c r="AQ53">
        <v>5.5009809376462507E-2</v>
      </c>
      <c r="AR53">
        <v>8.1758619151202569E-2</v>
      </c>
      <c r="AS53">
        <v>3.291370271589053E-2</v>
      </c>
      <c r="AU53" t="s">
        <v>538</v>
      </c>
      <c r="AV53" t="s">
        <v>102</v>
      </c>
      <c r="AW53">
        <v>0.20728881542405497</v>
      </c>
      <c r="AX53">
        <v>0.24129905641281413</v>
      </c>
      <c r="AY53">
        <v>0.16630293277202723</v>
      </c>
      <c r="AZ53">
        <v>0.12945666314579693</v>
      </c>
      <c r="BA53">
        <v>0.21141061815466561</v>
      </c>
      <c r="BB53">
        <v>0.13875593319348961</v>
      </c>
      <c r="BC53">
        <v>0.11301708222550723</v>
      </c>
      <c r="BD53">
        <v>0.17680052446404707</v>
      </c>
      <c r="BE53">
        <v>8.4370298813635974E-2</v>
      </c>
      <c r="BF53">
        <v>0.12992290950774588</v>
      </c>
      <c r="BG53">
        <v>0.20460624808303857</v>
      </c>
      <c r="BH53">
        <v>0.17471016854711946</v>
      </c>
      <c r="BR53" t="s">
        <v>538</v>
      </c>
      <c r="BS53">
        <v>0.26467994459005689</v>
      </c>
      <c r="BT53">
        <v>0.22658063445627388</v>
      </c>
      <c r="BU53">
        <v>0.26969154693843811</v>
      </c>
      <c r="BV53">
        <v>0.18312598529747171</v>
      </c>
      <c r="BW53">
        <v>0.14989715578013763</v>
      </c>
      <c r="BX53">
        <v>0.18329210071578506</v>
      </c>
      <c r="BY53">
        <v>0.11191736274446935</v>
      </c>
      <c r="BZ53">
        <v>7.9599133035380326E-2</v>
      </c>
      <c r="CA53">
        <v>0.1222770497844702</v>
      </c>
      <c r="CB53">
        <v>0.238505948623945</v>
      </c>
      <c r="CC53">
        <v>0.18593106982341862</v>
      </c>
      <c r="CD53">
        <v>0.22253962596769969</v>
      </c>
      <c r="CF53" t="s">
        <v>548</v>
      </c>
      <c r="CG53" t="s">
        <v>108</v>
      </c>
      <c r="CH53" t="s">
        <v>109</v>
      </c>
      <c r="CI53">
        <v>0.32630218875087375</v>
      </c>
    </row>
    <row r="54" spans="2:87" x14ac:dyDescent="0.45">
      <c r="B54" t="s">
        <v>539</v>
      </c>
      <c r="C54" t="s">
        <v>99</v>
      </c>
      <c r="D54">
        <v>0.34348745468971098</v>
      </c>
      <c r="E54">
        <v>0.35392635030223529</v>
      </c>
      <c r="F54">
        <v>0.33955314560521022</v>
      </c>
      <c r="G54">
        <v>0.32160059232866073</v>
      </c>
      <c r="H54">
        <v>0.37818968497162336</v>
      </c>
      <c r="I54">
        <v>0.3168372558143866</v>
      </c>
      <c r="J54">
        <v>0.32216540501262209</v>
      </c>
      <c r="K54">
        <v>0.42177403208725195</v>
      </c>
      <c r="L54">
        <v>0.30866177261278194</v>
      </c>
      <c r="M54">
        <v>0.30060419806125099</v>
      </c>
      <c r="N54">
        <v>0.34635448492844645</v>
      </c>
      <c r="O54">
        <v>0.32026735045263555</v>
      </c>
      <c r="Q54" t="s">
        <v>539</v>
      </c>
      <c r="R54" t="s">
        <v>100</v>
      </c>
      <c r="S54">
        <v>1.094227298893136E-2</v>
      </c>
      <c r="T54">
        <v>1.6030819981520769E-2</v>
      </c>
      <c r="U54">
        <v>1.5303289528486006E-2</v>
      </c>
      <c r="V54">
        <v>1.7214600076784051E-2</v>
      </c>
      <c r="W54">
        <v>2.5398729418301687E-2</v>
      </c>
      <c r="X54">
        <v>2.9011766614993384E-2</v>
      </c>
      <c r="Y54">
        <v>4.0711001442910691E-2</v>
      </c>
      <c r="Z54">
        <v>2.2304712369682827E-2</v>
      </c>
      <c r="AA54">
        <v>2.1533837927924966E-2</v>
      </c>
      <c r="AB54">
        <v>2.9230239454520916E-2</v>
      </c>
      <c r="AC54">
        <v>1.2302903214323445E-2</v>
      </c>
      <c r="AD54">
        <v>1.7715821759949887E-2</v>
      </c>
      <c r="AF54" t="s">
        <v>539</v>
      </c>
      <c r="AG54" t="s">
        <v>101</v>
      </c>
      <c r="AH54">
        <v>2.0335021968253549E-2</v>
      </c>
      <c r="AI54">
        <v>2.5839214711401774E-2</v>
      </c>
      <c r="AJ54">
        <v>2.5825994666057912E-2</v>
      </c>
      <c r="AK54">
        <v>3.73688909567403E-2</v>
      </c>
      <c r="AL54">
        <v>2.6799288225478387E-2</v>
      </c>
      <c r="AM54">
        <v>3.1694620848452051E-2</v>
      </c>
      <c r="AN54">
        <v>3.2699553440312397E-2</v>
      </c>
      <c r="AO54">
        <v>4.0101422278275761E-2</v>
      </c>
      <c r="AP54">
        <v>2.0805320097259574E-2</v>
      </c>
      <c r="AQ54">
        <v>3.4277189229274529E-2</v>
      </c>
      <c r="AR54">
        <v>2.6487494685875641E-2</v>
      </c>
      <c r="AS54">
        <v>1.5832981030131192E-2</v>
      </c>
      <c r="AU54" t="s">
        <v>539</v>
      </c>
      <c r="AV54" t="s">
        <v>102</v>
      </c>
      <c r="AW54">
        <v>0.19857578918154214</v>
      </c>
      <c r="AX54">
        <v>0.18004078235595042</v>
      </c>
      <c r="AY54">
        <v>0.17900622823593115</v>
      </c>
      <c r="AZ54">
        <v>0.1733948018161009</v>
      </c>
      <c r="BA54">
        <v>0.21360736689805399</v>
      </c>
      <c r="BB54">
        <v>0.15995534756966318</v>
      </c>
      <c r="BC54">
        <v>0.14170484816939072</v>
      </c>
      <c r="BD54">
        <v>0.23254367115163307</v>
      </c>
      <c r="BE54">
        <v>0.16834549659595438</v>
      </c>
      <c r="BF54">
        <v>0.12814706072084625</v>
      </c>
      <c r="BG54">
        <v>0.19641024136983959</v>
      </c>
      <c r="BH54">
        <v>0.17552459691835695</v>
      </c>
      <c r="BR54" t="s">
        <v>539</v>
      </c>
      <c r="BS54">
        <v>0.36133557945262695</v>
      </c>
      <c r="BT54">
        <v>0.35167526867495719</v>
      </c>
      <c r="BU54">
        <v>0.35303619464440772</v>
      </c>
      <c r="BV54">
        <v>0.21845435745986047</v>
      </c>
      <c r="BW54">
        <v>0.20109540268902673</v>
      </c>
      <c r="BX54">
        <v>0.22217507477969278</v>
      </c>
      <c r="BY54">
        <v>0.16451062781618234</v>
      </c>
      <c r="BZ54">
        <v>0.15293675401456863</v>
      </c>
      <c r="CA54">
        <v>0.16186500921485045</v>
      </c>
      <c r="CB54">
        <v>0.30493930525754986</v>
      </c>
      <c r="CC54">
        <v>0.27516019149367638</v>
      </c>
      <c r="CD54">
        <v>0.29386317098525028</v>
      </c>
      <c r="CF54" t="s">
        <v>549</v>
      </c>
      <c r="CG54" t="s">
        <v>108</v>
      </c>
      <c r="CH54" t="s">
        <v>109</v>
      </c>
      <c r="CI54">
        <v>0.37242001937270591</v>
      </c>
    </row>
    <row r="55" spans="2:87" x14ac:dyDescent="0.45">
      <c r="B55" t="s">
        <v>540</v>
      </c>
      <c r="C55" t="s">
        <v>99</v>
      </c>
      <c r="D55">
        <v>0.36582422564960571</v>
      </c>
      <c r="E55">
        <v>0.35843282432956974</v>
      </c>
      <c r="F55">
        <v>0.34827334514569175</v>
      </c>
      <c r="G55">
        <v>0.34561128911495226</v>
      </c>
      <c r="H55">
        <v>0.37722471319025824</v>
      </c>
      <c r="I55">
        <v>0.3327000460153362</v>
      </c>
      <c r="J55">
        <v>0.35549184614094986</v>
      </c>
      <c r="K55">
        <v>0.41689265910879603</v>
      </c>
      <c r="L55">
        <v>0.3258563858204287</v>
      </c>
      <c r="M55">
        <v>0.35045211750513905</v>
      </c>
      <c r="N55">
        <v>0.39205905783468226</v>
      </c>
      <c r="O55">
        <v>0.34535338438362451</v>
      </c>
      <c r="Q55" t="s">
        <v>540</v>
      </c>
      <c r="R55" t="s">
        <v>100</v>
      </c>
      <c r="S55">
        <v>1.9819795617450918E-2</v>
      </c>
      <c r="T55">
        <v>1.9968050807042552E-2</v>
      </c>
      <c r="U55">
        <v>1.1281944155842558E-2</v>
      </c>
      <c r="V55">
        <v>3.7397836455334905E-2</v>
      </c>
      <c r="W55">
        <v>1.5064543648025759E-2</v>
      </c>
      <c r="X55">
        <v>2.1632589670290584E-2</v>
      </c>
      <c r="Y55">
        <v>3.6374006610259184E-2</v>
      </c>
      <c r="Z55">
        <v>3.6231366262161328E-2</v>
      </c>
      <c r="AA55">
        <v>3.8515386779957785E-2</v>
      </c>
      <c r="AB55">
        <v>2.1627255455720296E-2</v>
      </c>
      <c r="AC55">
        <v>1.644162895961435E-2</v>
      </c>
      <c r="AD55">
        <v>3.5983749004119825E-2</v>
      </c>
      <c r="AF55" t="s">
        <v>540</v>
      </c>
      <c r="AG55" t="s">
        <v>101</v>
      </c>
      <c r="AH55">
        <v>3.033862380709625E-2</v>
      </c>
      <c r="AI55">
        <v>3.5330745844943286E-2</v>
      </c>
      <c r="AJ55">
        <v>3.7903189439119175E-2</v>
      </c>
      <c r="AK55">
        <v>5.0883844409052546E-2</v>
      </c>
      <c r="AL55">
        <v>3.5550344821494939E-2</v>
      </c>
      <c r="AM55">
        <v>1.8048826555502943E-2</v>
      </c>
      <c r="AN55">
        <v>5.1039803026913889E-2</v>
      </c>
      <c r="AO55">
        <v>2.7838810376516501E-2</v>
      </c>
      <c r="AP55">
        <v>2.9649503069444645E-2</v>
      </c>
      <c r="AQ55">
        <v>4.9804134544746637E-2</v>
      </c>
      <c r="AR55">
        <v>2.3499565132509649E-2</v>
      </c>
      <c r="AS55">
        <v>2.3367075428106988E-2</v>
      </c>
      <c r="AU55" t="s">
        <v>540</v>
      </c>
      <c r="AV55" t="s">
        <v>102</v>
      </c>
      <c r="AW55">
        <v>0.19797333199900113</v>
      </c>
      <c r="AX55">
        <v>0.18556476106921937</v>
      </c>
      <c r="AY55">
        <v>0.18719941389795733</v>
      </c>
      <c r="AZ55">
        <v>0.15516588676673851</v>
      </c>
      <c r="BA55">
        <v>0.21436414886454849</v>
      </c>
      <c r="BB55">
        <v>0.19730561295194823</v>
      </c>
      <c r="BC55">
        <v>0.15909605344384498</v>
      </c>
      <c r="BD55">
        <v>0.25014812216812515</v>
      </c>
      <c r="BE55">
        <v>0.14872126226200821</v>
      </c>
      <c r="BF55">
        <v>0.16400686686907956</v>
      </c>
      <c r="BG55">
        <v>0.22554713012014901</v>
      </c>
      <c r="BH55">
        <v>0.16226812409945235</v>
      </c>
      <c r="BR55" t="s">
        <v>540</v>
      </c>
      <c r="BS55">
        <v>0.30677191725623892</v>
      </c>
      <c r="BT55">
        <v>0.29251026782833323</v>
      </c>
      <c r="BU55">
        <v>0.30398375841742581</v>
      </c>
      <c r="BV55">
        <v>0.20294305264719192</v>
      </c>
      <c r="BW55">
        <v>0.19731210683445088</v>
      </c>
      <c r="BX55">
        <v>0.21605639328003931</v>
      </c>
      <c r="BY55">
        <v>0.13395934790675582</v>
      </c>
      <c r="BZ55">
        <v>0.12602835805363191</v>
      </c>
      <c r="CA55">
        <v>0.1387139505635186</v>
      </c>
      <c r="CB55">
        <v>0.26127962448605774</v>
      </c>
      <c r="CC55">
        <v>0.23659281491611422</v>
      </c>
      <c r="CD55">
        <v>0.26075454215510124</v>
      </c>
      <c r="CF55" t="s">
        <v>550</v>
      </c>
      <c r="CG55" t="s">
        <v>108</v>
      </c>
      <c r="CH55" t="s">
        <v>109</v>
      </c>
      <c r="CI55">
        <v>0.38768574625317836</v>
      </c>
    </row>
    <row r="56" spans="2:87" x14ac:dyDescent="0.45">
      <c r="B56" t="s">
        <v>541</v>
      </c>
      <c r="C56" t="s">
        <v>99</v>
      </c>
      <c r="D56">
        <v>0.35932150132843788</v>
      </c>
      <c r="E56">
        <v>0.37183745090607795</v>
      </c>
      <c r="F56">
        <v>0.34720690017494754</v>
      </c>
      <c r="G56">
        <v>0.33650547671686321</v>
      </c>
      <c r="H56">
        <v>0.37040493831723859</v>
      </c>
      <c r="I56">
        <v>0.32510126033129572</v>
      </c>
      <c r="J56">
        <v>0.34224028298627929</v>
      </c>
      <c r="K56">
        <v>0.39846997376620569</v>
      </c>
      <c r="L56">
        <v>0.30774443180999589</v>
      </c>
      <c r="M56">
        <v>0.32582813538454092</v>
      </c>
      <c r="N56">
        <v>0.36667777123456807</v>
      </c>
      <c r="O56">
        <v>0.33719235359757038</v>
      </c>
      <c r="Q56" t="s">
        <v>541</v>
      </c>
      <c r="R56" t="s">
        <v>100</v>
      </c>
      <c r="S56">
        <v>1.6522900057308106E-2</v>
      </c>
      <c r="T56">
        <v>2.447780033008664E-2</v>
      </c>
      <c r="U56">
        <v>1.9250729457557052E-2</v>
      </c>
      <c r="V56">
        <v>3.2062437083136518E-2</v>
      </c>
      <c r="W56">
        <v>3.2923853369111834E-2</v>
      </c>
      <c r="X56">
        <v>3.0989576487377619E-2</v>
      </c>
      <c r="Y56">
        <v>3.9386684075237897E-2</v>
      </c>
      <c r="Z56">
        <v>3.7498376814641188E-2</v>
      </c>
      <c r="AA56">
        <v>3.1506194494580614E-2</v>
      </c>
      <c r="AB56">
        <v>3.5504826531164393E-2</v>
      </c>
      <c r="AC56">
        <v>1.3601009829355902E-2</v>
      </c>
      <c r="AD56">
        <v>2.8256698679175234E-2</v>
      </c>
      <c r="AF56" t="s">
        <v>541</v>
      </c>
      <c r="AG56" t="s">
        <v>101</v>
      </c>
      <c r="AH56">
        <v>2.5888921426669657E-2</v>
      </c>
      <c r="AI56">
        <v>2.9042163070633977E-2</v>
      </c>
      <c r="AJ56">
        <v>4.4583372321796072E-2</v>
      </c>
      <c r="AK56">
        <v>5.3462394808822519E-2</v>
      </c>
      <c r="AL56">
        <v>2.5345094124242171E-2</v>
      </c>
      <c r="AM56">
        <v>3.4696279965434521E-2</v>
      </c>
      <c r="AN56">
        <v>4.6984874001504903E-2</v>
      </c>
      <c r="AO56">
        <v>6.283089756307314E-2</v>
      </c>
      <c r="AP56">
        <v>2.3730976162821282E-2</v>
      </c>
      <c r="AQ56">
        <v>4.7839578494294051E-2</v>
      </c>
      <c r="AR56">
        <v>3.9865742204886707E-2</v>
      </c>
      <c r="AS56">
        <v>2.7760309224517069E-2</v>
      </c>
      <c r="AU56" t="s">
        <v>541</v>
      </c>
      <c r="AV56" t="s">
        <v>102</v>
      </c>
      <c r="AW56">
        <v>0.20598630611019716</v>
      </c>
      <c r="AX56">
        <v>0.18640917434628559</v>
      </c>
      <c r="AY56">
        <v>0.17081364947871117</v>
      </c>
      <c r="AZ56">
        <v>0.15790533455745445</v>
      </c>
      <c r="BA56">
        <v>0.20234335100453835</v>
      </c>
      <c r="BB56">
        <v>0.16608638686270066</v>
      </c>
      <c r="BC56">
        <v>0.16627869243329324</v>
      </c>
      <c r="BD56">
        <v>0.19023696711382226</v>
      </c>
      <c r="BE56">
        <v>0.15021977351585464</v>
      </c>
      <c r="BF56">
        <v>0.12829870539857888</v>
      </c>
      <c r="BG56">
        <v>0.20397356584459195</v>
      </c>
      <c r="BH56">
        <v>0.17215062653515262</v>
      </c>
      <c r="BR56" t="s">
        <v>541</v>
      </c>
      <c r="BS56">
        <v>0.32028693104242634</v>
      </c>
      <c r="BT56">
        <v>0.31485725758215938</v>
      </c>
      <c r="BU56">
        <v>0.31927741019698297</v>
      </c>
      <c r="BV56">
        <v>0.19884674508541539</v>
      </c>
      <c r="BW56">
        <v>0.19203486411654894</v>
      </c>
      <c r="BX56">
        <v>0.20336264449829553</v>
      </c>
      <c r="BY56">
        <v>0.12991319502664844</v>
      </c>
      <c r="BZ56">
        <v>0.12355730365126359</v>
      </c>
      <c r="CA56">
        <v>0.13807618681592018</v>
      </c>
      <c r="CB56">
        <v>0.27782982790025595</v>
      </c>
      <c r="CC56">
        <v>0.2499923861968554</v>
      </c>
      <c r="CD56">
        <v>0.27035666949203224</v>
      </c>
      <c r="CF56" t="s">
        <v>519</v>
      </c>
      <c r="CG56" t="s">
        <v>108</v>
      </c>
      <c r="CH56" t="s">
        <v>109</v>
      </c>
      <c r="CI56">
        <v>0.65263570445685914</v>
      </c>
    </row>
    <row r="57" spans="2:87" x14ac:dyDescent="0.45">
      <c r="B57" t="s">
        <v>542</v>
      </c>
      <c r="C57" t="s">
        <v>99</v>
      </c>
      <c r="D57">
        <v>0.31724431255860258</v>
      </c>
      <c r="E57">
        <v>0.34863420507297588</v>
      </c>
      <c r="F57">
        <v>0.31739036575304569</v>
      </c>
      <c r="G57">
        <v>0.33152259589202854</v>
      </c>
      <c r="H57">
        <v>0.37313458857833892</v>
      </c>
      <c r="I57">
        <v>0.31695092149594289</v>
      </c>
      <c r="J57">
        <v>0.33113454923327873</v>
      </c>
      <c r="K57">
        <v>0.40743444501008141</v>
      </c>
      <c r="L57">
        <v>0.33679986512263288</v>
      </c>
      <c r="M57">
        <v>0.3384412130713722</v>
      </c>
      <c r="N57">
        <v>0.37135181275641299</v>
      </c>
      <c r="O57">
        <v>0.32600097934711186</v>
      </c>
      <c r="Q57" t="s">
        <v>542</v>
      </c>
      <c r="R57" t="s">
        <v>100</v>
      </c>
      <c r="S57">
        <v>2.098948277927937E-2</v>
      </c>
      <c r="T57">
        <v>2.0082583564107515E-2</v>
      </c>
      <c r="U57">
        <v>1.7028310703434982E-2</v>
      </c>
      <c r="V57">
        <v>3.178899272503747E-2</v>
      </c>
      <c r="W57">
        <v>2.1371791388134855E-2</v>
      </c>
      <c r="X57">
        <v>2.0757945952776712E-2</v>
      </c>
      <c r="Y57">
        <v>4.1896162093084041E-2</v>
      </c>
      <c r="Z57">
        <v>2.7336455317849395E-2</v>
      </c>
      <c r="AA57">
        <v>4.246126559832486E-2</v>
      </c>
      <c r="AB57">
        <v>1.5992851857590317E-2</v>
      </c>
      <c r="AC57">
        <v>1.9727130548730796E-2</v>
      </c>
      <c r="AD57">
        <v>2.2166383436985772E-2</v>
      </c>
      <c r="AF57" t="s">
        <v>542</v>
      </c>
      <c r="AG57" t="s">
        <v>101</v>
      </c>
      <c r="AH57">
        <v>3.1596445180746897E-2</v>
      </c>
      <c r="AI57">
        <v>3.1968904004861347E-2</v>
      </c>
      <c r="AJ57">
        <v>2.810747972289011E-2</v>
      </c>
      <c r="AK57">
        <v>4.6133080890360625E-2</v>
      </c>
      <c r="AL57">
        <v>3.383085383418883E-2</v>
      </c>
      <c r="AM57">
        <v>2.1043463423827135E-2</v>
      </c>
      <c r="AN57">
        <v>4.2691321920554491E-2</v>
      </c>
      <c r="AO57">
        <v>3.5762202030051843E-2</v>
      </c>
      <c r="AP57">
        <v>2.0459508742542747E-2</v>
      </c>
      <c r="AQ57">
        <v>3.8476877424844395E-2</v>
      </c>
      <c r="AR57">
        <v>2.1190884555391438E-2</v>
      </c>
      <c r="AS57">
        <v>1.3044356968453619E-2</v>
      </c>
      <c r="AU57" t="s">
        <v>542</v>
      </c>
      <c r="AV57" t="s">
        <v>102</v>
      </c>
      <c r="AW57">
        <v>0.15198788494438986</v>
      </c>
      <c r="AX57">
        <v>0.17156946931020672</v>
      </c>
      <c r="AY57">
        <v>0.1650666441074341</v>
      </c>
      <c r="AZ57">
        <v>0.1426027976899184</v>
      </c>
      <c r="BA57">
        <v>0.19468338900878204</v>
      </c>
      <c r="BB57">
        <v>0.17102218375822117</v>
      </c>
      <c r="BC57">
        <v>0.14140783919577785</v>
      </c>
      <c r="BD57">
        <v>0.23215095910399994</v>
      </c>
      <c r="BE57">
        <v>0.16267865643928706</v>
      </c>
      <c r="BF57">
        <v>0.15659158336752121</v>
      </c>
      <c r="BG57">
        <v>0.19476025503101763</v>
      </c>
      <c r="BH57">
        <v>0.16534775254234804</v>
      </c>
      <c r="BR57" t="s">
        <v>542</v>
      </c>
      <c r="BS57">
        <v>0.39140641118376795</v>
      </c>
      <c r="BT57">
        <v>0.35208067995864573</v>
      </c>
      <c r="BU57">
        <v>0.38415832369391772</v>
      </c>
      <c r="BV57">
        <v>0.2595305093865537</v>
      </c>
      <c r="BW57">
        <v>0.23594254568105147</v>
      </c>
      <c r="BX57">
        <v>0.26488935284944432</v>
      </c>
      <c r="BY57">
        <v>0.17629079586513599</v>
      </c>
      <c r="BZ57">
        <v>0.15228154326011337</v>
      </c>
      <c r="CA57">
        <v>0.17018580069920691</v>
      </c>
      <c r="CB57">
        <v>0.33089007125321157</v>
      </c>
      <c r="CC57">
        <v>0.28981391473405527</v>
      </c>
      <c r="CD57">
        <v>0.32984467051760225</v>
      </c>
      <c r="CF57" t="s">
        <v>521</v>
      </c>
      <c r="CG57" t="s">
        <v>108</v>
      </c>
      <c r="CH57" t="s">
        <v>109</v>
      </c>
      <c r="CI57">
        <v>0.6524587976488625</v>
      </c>
    </row>
    <row r="58" spans="2:87" x14ac:dyDescent="0.45">
      <c r="B58" t="s">
        <v>543</v>
      </c>
      <c r="C58" t="s">
        <v>99</v>
      </c>
      <c r="D58">
        <v>0.29735873581400252</v>
      </c>
      <c r="E58">
        <v>0.33323965681541756</v>
      </c>
      <c r="F58">
        <v>0.30935865108575755</v>
      </c>
      <c r="G58">
        <v>0.32986970074719429</v>
      </c>
      <c r="H58">
        <v>0.37982355212898167</v>
      </c>
      <c r="I58">
        <v>0.31266211834328728</v>
      </c>
      <c r="J58">
        <v>0.31103438718852694</v>
      </c>
      <c r="K58">
        <v>0.40137148019482</v>
      </c>
      <c r="L58">
        <v>0.31011907084764417</v>
      </c>
      <c r="M58">
        <v>0.31632083284099927</v>
      </c>
      <c r="N58">
        <v>0.36124805720121522</v>
      </c>
      <c r="O58">
        <v>0.31141394179682924</v>
      </c>
      <c r="Q58" t="s">
        <v>543</v>
      </c>
      <c r="R58" t="s">
        <v>100</v>
      </c>
      <c r="S58">
        <v>1.638624713108703E-2</v>
      </c>
      <c r="T58">
        <v>1.5949224009557179E-2</v>
      </c>
      <c r="U58">
        <v>1.030254303892068E-2</v>
      </c>
      <c r="V58">
        <v>2.5649683724049313E-2</v>
      </c>
      <c r="W58">
        <v>1.7139325164258649E-2</v>
      </c>
      <c r="X58">
        <v>2.309603759328056E-2</v>
      </c>
      <c r="Y58">
        <v>4.7032064615751885E-2</v>
      </c>
      <c r="Z58">
        <v>4.2698589269420752E-2</v>
      </c>
      <c r="AA58">
        <v>5.7552248947172265E-2</v>
      </c>
      <c r="AB58">
        <v>3.2898205445595415E-2</v>
      </c>
      <c r="AC58">
        <v>1.2021365749739516E-2</v>
      </c>
      <c r="AD58">
        <v>3.4604344090714577E-2</v>
      </c>
      <c r="AF58" t="s">
        <v>543</v>
      </c>
      <c r="AG58" t="s">
        <v>101</v>
      </c>
      <c r="AH58">
        <v>2.3115113835599891E-2</v>
      </c>
      <c r="AI58">
        <v>2.1368375687139285E-2</v>
      </c>
      <c r="AJ58">
        <v>2.5351653348361501E-2</v>
      </c>
      <c r="AK58">
        <v>4.3154880973747187E-2</v>
      </c>
      <c r="AL58">
        <v>2.8067997198980163E-2</v>
      </c>
      <c r="AM58">
        <v>8.2808875976363508E-3</v>
      </c>
      <c r="AN58">
        <v>3.6052448255912806E-2</v>
      </c>
      <c r="AO58">
        <v>5.4039515518290608E-2</v>
      </c>
      <c r="AP58">
        <v>1.6875270672086232E-2</v>
      </c>
      <c r="AQ58">
        <v>5.0953689437558326E-2</v>
      </c>
      <c r="AR58">
        <v>2.8423210420790362E-2</v>
      </c>
      <c r="AS58">
        <v>4.9940562266676076E-3</v>
      </c>
      <c r="AU58" t="s">
        <v>543</v>
      </c>
      <c r="AV58" t="s">
        <v>102</v>
      </c>
      <c r="AW58">
        <v>0.14757026668112552</v>
      </c>
      <c r="AX58">
        <v>0.16663596724910065</v>
      </c>
      <c r="AY58">
        <v>0.15928833133923806</v>
      </c>
      <c r="AZ58">
        <v>0.14386211314159444</v>
      </c>
      <c r="BA58">
        <v>0.20994526344245729</v>
      </c>
      <c r="BB58">
        <v>0.18161472274456714</v>
      </c>
      <c r="BC58">
        <v>0.12468349979551226</v>
      </c>
      <c r="BD58">
        <v>0.17439910780440684</v>
      </c>
      <c r="BE58">
        <v>0.13017057489148276</v>
      </c>
      <c r="BF58">
        <v>0.11662275927642619</v>
      </c>
      <c r="BG58">
        <v>0.19303287399854138</v>
      </c>
      <c r="BH58">
        <v>0.15472198402520965</v>
      </c>
      <c r="BR58" t="s">
        <v>543</v>
      </c>
      <c r="BS58">
        <v>0.42625969027616822</v>
      </c>
      <c r="BT58">
        <v>0.40085495323370229</v>
      </c>
      <c r="BU58">
        <v>0.42118593974578994</v>
      </c>
      <c r="BV58">
        <v>0.29626162602746037</v>
      </c>
      <c r="BW58">
        <v>0.27113323137971446</v>
      </c>
      <c r="BX58">
        <v>0.29367118294371336</v>
      </c>
      <c r="BY58">
        <v>0.20718614721363734</v>
      </c>
      <c r="BZ58">
        <v>0.1887822472244593</v>
      </c>
      <c r="CA58">
        <v>0.20532401303719136</v>
      </c>
      <c r="CB58">
        <v>0.3504956728013795</v>
      </c>
      <c r="CC58">
        <v>0.31902731191177186</v>
      </c>
      <c r="CD58">
        <v>0.34588647155585411</v>
      </c>
      <c r="CF58" t="s">
        <v>523</v>
      </c>
      <c r="CG58" t="s">
        <v>108</v>
      </c>
      <c r="CH58" t="s">
        <v>109</v>
      </c>
      <c r="CI58">
        <v>0.64066066328097071</v>
      </c>
    </row>
    <row r="59" spans="2:87" x14ac:dyDescent="0.45">
      <c r="B59" t="s">
        <v>544</v>
      </c>
      <c r="C59" t="s">
        <v>99</v>
      </c>
      <c r="D59">
        <v>0.30622338336392829</v>
      </c>
      <c r="E59">
        <v>0.32166951638838737</v>
      </c>
      <c r="F59">
        <v>0.3202336031193182</v>
      </c>
      <c r="G59">
        <v>0.32818751856909828</v>
      </c>
      <c r="H59">
        <v>0.37552013668244416</v>
      </c>
      <c r="I59">
        <v>0.31776458520673856</v>
      </c>
      <c r="J59">
        <v>0.32163462322078307</v>
      </c>
      <c r="K59">
        <v>0.40396345492332947</v>
      </c>
      <c r="L59">
        <v>0.30094205044553962</v>
      </c>
      <c r="M59">
        <v>0.28617936430264546</v>
      </c>
      <c r="N59">
        <v>0.33523823358315818</v>
      </c>
      <c r="O59">
        <v>0.30902202617564523</v>
      </c>
      <c r="Q59" t="s">
        <v>544</v>
      </c>
      <c r="R59" t="s">
        <v>100</v>
      </c>
      <c r="S59">
        <v>1.5109110423137099E-2</v>
      </c>
      <c r="T59">
        <v>1.8955102576492463E-2</v>
      </c>
      <c r="U59">
        <v>1.2868533291079886E-2</v>
      </c>
      <c r="V59">
        <v>2.9445808144739478E-2</v>
      </c>
      <c r="W59">
        <v>1.2758025447817473E-2</v>
      </c>
      <c r="X59">
        <v>2.0468122090974254E-2</v>
      </c>
      <c r="Y59">
        <v>3.1926669991627216E-2</v>
      </c>
      <c r="Z59">
        <v>3.062289290554622E-2</v>
      </c>
      <c r="AA59">
        <v>3.2731317017208848E-2</v>
      </c>
      <c r="AB59">
        <v>3.0126687970844186E-2</v>
      </c>
      <c r="AC59">
        <v>1.6575281099020005E-2</v>
      </c>
      <c r="AD59">
        <v>1.7966525858320776E-2</v>
      </c>
      <c r="AF59" t="s">
        <v>544</v>
      </c>
      <c r="AG59" t="s">
        <v>101</v>
      </c>
      <c r="AH59">
        <v>2.782691420928653E-2</v>
      </c>
      <c r="AI59">
        <v>2.1814253929219832E-2</v>
      </c>
      <c r="AJ59">
        <v>2.0212865435786792E-2</v>
      </c>
      <c r="AK59">
        <v>4.66564790563508E-2</v>
      </c>
      <c r="AL59">
        <v>2.4446086095248256E-2</v>
      </c>
      <c r="AM59">
        <v>7.6075830830520143E-3</v>
      </c>
      <c r="AN59">
        <v>3.5642352888771316E-2</v>
      </c>
      <c r="AO59">
        <v>5.419142062558182E-2</v>
      </c>
      <c r="AP59">
        <v>9.2169154781878964E-3</v>
      </c>
      <c r="AQ59">
        <v>3.0916521564899099E-2</v>
      </c>
      <c r="AR59">
        <v>3.4757046294351099E-2</v>
      </c>
      <c r="AS59">
        <v>1.1917111914433553E-2</v>
      </c>
      <c r="AU59" t="s">
        <v>544</v>
      </c>
      <c r="AV59" t="s">
        <v>102</v>
      </c>
      <c r="AW59">
        <v>0.15024482272601095</v>
      </c>
      <c r="AX59">
        <v>0.15222177962447483</v>
      </c>
      <c r="AY59">
        <v>0.16554454345460529</v>
      </c>
      <c r="AZ59">
        <v>0.13703015536879865</v>
      </c>
      <c r="BA59">
        <v>0.21915871400873749</v>
      </c>
      <c r="BB59">
        <v>0.18423372968579316</v>
      </c>
      <c r="BC59">
        <v>0.13825742764932383</v>
      </c>
      <c r="BD59">
        <v>0.1857522766778737</v>
      </c>
      <c r="BE59">
        <v>0.1574737219523234</v>
      </c>
      <c r="BF59">
        <v>0.11266899308398873</v>
      </c>
      <c r="BG59">
        <v>0.16633153080828736</v>
      </c>
      <c r="BH59">
        <v>0.16502176677555833</v>
      </c>
      <c r="BR59" t="s">
        <v>544</v>
      </c>
      <c r="BS59">
        <v>0.42150797823207459</v>
      </c>
      <c r="BT59">
        <v>0.41020165788561347</v>
      </c>
      <c r="BU59">
        <v>0.41466836163682796</v>
      </c>
      <c r="BV59">
        <v>0.30154130412416258</v>
      </c>
      <c r="BW59">
        <v>0.27778367938840209</v>
      </c>
      <c r="BX59">
        <v>0.29960338522957991</v>
      </c>
      <c r="BY59">
        <v>0.21906012459981086</v>
      </c>
      <c r="BZ59">
        <v>0.20629274056402419</v>
      </c>
      <c r="CA59">
        <v>0.21416662257681385</v>
      </c>
      <c r="CB59">
        <v>0.35780116545582275</v>
      </c>
      <c r="CC59">
        <v>0.33404728936447547</v>
      </c>
      <c r="CD59">
        <v>0.35015444683879221</v>
      </c>
      <c r="CF59" t="s">
        <v>525</v>
      </c>
      <c r="CG59" t="s">
        <v>108</v>
      </c>
      <c r="CH59" t="s">
        <v>109</v>
      </c>
      <c r="CI59">
        <v>0.62648072288061019</v>
      </c>
    </row>
    <row r="60" spans="2:87" x14ac:dyDescent="0.45">
      <c r="B60" t="s">
        <v>545</v>
      </c>
      <c r="C60" t="s">
        <v>99</v>
      </c>
      <c r="D60">
        <v>0.29235342535393699</v>
      </c>
      <c r="E60">
        <v>0.27429198565100993</v>
      </c>
      <c r="F60">
        <v>0.2744695044548765</v>
      </c>
      <c r="G60">
        <v>0.27039244865906359</v>
      </c>
      <c r="H60">
        <v>0.31083642393065192</v>
      </c>
      <c r="I60">
        <v>0.27673596636122194</v>
      </c>
      <c r="J60">
        <v>0.33750237181084863</v>
      </c>
      <c r="K60">
        <v>0.3858144706113027</v>
      </c>
      <c r="L60">
        <v>0.32320155110857468</v>
      </c>
      <c r="M60">
        <v>0.2733722314396026</v>
      </c>
      <c r="N60">
        <v>0.31887827015377235</v>
      </c>
      <c r="O60">
        <v>0.27730701147122566</v>
      </c>
      <c r="Q60" t="s">
        <v>545</v>
      </c>
      <c r="R60" t="s">
        <v>100</v>
      </c>
      <c r="S60">
        <v>1.4638728000320849E-2</v>
      </c>
      <c r="T60">
        <v>8.4937905703978672E-3</v>
      </c>
      <c r="U60">
        <v>1.5766560562830965E-2</v>
      </c>
      <c r="V60">
        <v>1.8519999371471408E-2</v>
      </c>
      <c r="W60">
        <v>2.3493845614281136E-2</v>
      </c>
      <c r="X60">
        <v>1.3030846417023354E-2</v>
      </c>
      <c r="Y60">
        <v>3.346607989982181E-2</v>
      </c>
      <c r="Z60">
        <v>2.0443685955800647E-2</v>
      </c>
      <c r="AA60">
        <v>2.7956699959426082E-2</v>
      </c>
      <c r="AB60">
        <v>1.6100593914284169E-2</v>
      </c>
      <c r="AC60">
        <v>1.1434825318319873E-2</v>
      </c>
      <c r="AD60">
        <v>4.7751928112329299E-3</v>
      </c>
      <c r="AF60" t="s">
        <v>545</v>
      </c>
      <c r="AG60" t="s">
        <v>101</v>
      </c>
      <c r="AH60">
        <v>2.0227255960420392E-2</v>
      </c>
      <c r="AI60">
        <v>2.0496214185500662E-2</v>
      </c>
      <c r="AJ60">
        <v>1.7435758583132333E-2</v>
      </c>
      <c r="AK60">
        <v>2.5773148134649801E-2</v>
      </c>
      <c r="AL60">
        <v>2.05254430434046E-2</v>
      </c>
      <c r="AM60">
        <v>3.9926844491220755E-2</v>
      </c>
      <c r="AN60">
        <v>3.5136646056005708E-2</v>
      </c>
      <c r="AO60">
        <v>4.639222570083773E-2</v>
      </c>
      <c r="AP60">
        <v>3.9571361514283337E-2</v>
      </c>
      <c r="AQ60">
        <v>1.2857383604386246E-2</v>
      </c>
      <c r="AR60">
        <v>2.6977834946507118E-2</v>
      </c>
      <c r="AS60">
        <v>2.3902098088093835E-3</v>
      </c>
      <c r="AU60" t="s">
        <v>545</v>
      </c>
      <c r="AV60" t="s">
        <v>102</v>
      </c>
      <c r="AW60">
        <v>0.12736761849521755</v>
      </c>
      <c r="AX60">
        <v>0.12596656307136106</v>
      </c>
      <c r="AY60">
        <v>0.11864177542083278</v>
      </c>
      <c r="AZ60">
        <v>0.12304833143851074</v>
      </c>
      <c r="BA60">
        <v>0.14099896058207176</v>
      </c>
      <c r="BB60">
        <v>0.11121562974254894</v>
      </c>
      <c r="BC60">
        <v>0.14811996464675453</v>
      </c>
      <c r="BD60">
        <v>0.18655860392793941</v>
      </c>
      <c r="BE60">
        <v>0.14330160048590096</v>
      </c>
      <c r="BF60">
        <v>0.13280925331085272</v>
      </c>
      <c r="BG60">
        <v>0.14561856774765927</v>
      </c>
      <c r="BH60">
        <v>0.15839006771629999</v>
      </c>
      <c r="BR60" t="s">
        <v>545</v>
      </c>
      <c r="BS60">
        <v>0.50290357202360558</v>
      </c>
      <c r="BT60">
        <v>0.51649553494307088</v>
      </c>
      <c r="BU60">
        <v>0.52549235702496422</v>
      </c>
      <c r="BV60">
        <v>0.42308195160889023</v>
      </c>
      <c r="BW60">
        <v>0.39743204788586239</v>
      </c>
      <c r="BX60">
        <v>0.44791345914736136</v>
      </c>
      <c r="BY60">
        <v>0.29845256384940944</v>
      </c>
      <c r="BZ60">
        <v>0.28235225912371653</v>
      </c>
      <c r="CA60">
        <v>0.31089281165230609</v>
      </c>
      <c r="CB60">
        <v>0.44815846054712372</v>
      </c>
      <c r="CC60">
        <v>0.44976969313702536</v>
      </c>
      <c r="CD60">
        <v>0.47649542375671172</v>
      </c>
      <c r="CF60" t="s">
        <v>527</v>
      </c>
      <c r="CG60" t="s">
        <v>108</v>
      </c>
      <c r="CH60" t="s">
        <v>109</v>
      </c>
      <c r="CI60">
        <v>0.55716255010222093</v>
      </c>
    </row>
    <row r="61" spans="2:87" x14ac:dyDescent="0.45">
      <c r="B61" t="s">
        <v>546</v>
      </c>
      <c r="C61" t="s">
        <v>99</v>
      </c>
      <c r="D61">
        <v>0.24478814895401874</v>
      </c>
      <c r="E61">
        <v>0.26602590596211451</v>
      </c>
      <c r="F61">
        <v>0.25392468175059779</v>
      </c>
      <c r="G61">
        <v>0.28659550656952659</v>
      </c>
      <c r="H61">
        <v>0.29944094319079628</v>
      </c>
      <c r="I61">
        <v>0.29920030088757704</v>
      </c>
      <c r="J61">
        <v>0.32146628630518292</v>
      </c>
      <c r="K61">
        <v>0.34163260651390392</v>
      </c>
      <c r="L61">
        <v>0.30768263262356821</v>
      </c>
      <c r="M61">
        <v>0.24359410747493102</v>
      </c>
      <c r="N61">
        <v>0.28257773872069397</v>
      </c>
      <c r="O61">
        <v>0.26598433827658358</v>
      </c>
      <c r="Q61" t="s">
        <v>546</v>
      </c>
      <c r="R61" t="s">
        <v>100</v>
      </c>
      <c r="S61">
        <v>1.1386179080424712E-2</v>
      </c>
      <c r="T61">
        <v>8.0662396927913462E-3</v>
      </c>
      <c r="U61">
        <v>7.4858267805572214E-3</v>
      </c>
      <c r="V61">
        <v>2.1492438757371973E-2</v>
      </c>
      <c r="W61">
        <v>1.3120647790941303E-2</v>
      </c>
      <c r="X61">
        <v>2.2335431819798215E-2</v>
      </c>
      <c r="Y61">
        <v>2.5776587338902531E-2</v>
      </c>
      <c r="Z61">
        <v>2.3180822493462334E-2</v>
      </c>
      <c r="AA61">
        <v>2.6056346832956202E-2</v>
      </c>
      <c r="AB61">
        <v>1.6481674321736355E-2</v>
      </c>
      <c r="AC61">
        <v>2.1231404367425367E-2</v>
      </c>
      <c r="AD61">
        <v>1.2775850181677944E-2</v>
      </c>
      <c r="AF61" t="s">
        <v>546</v>
      </c>
      <c r="AG61" t="s">
        <v>101</v>
      </c>
      <c r="AH61">
        <v>9.898285965600372E-3</v>
      </c>
      <c r="AI61">
        <v>1.5204955790160343E-2</v>
      </c>
      <c r="AJ61">
        <v>4.1009831966507199E-3</v>
      </c>
      <c r="AK61">
        <v>2.247450418835182E-2</v>
      </c>
      <c r="AL61">
        <v>2.0328265070926096E-2</v>
      </c>
      <c r="AM61">
        <v>2.0091379587110079E-2</v>
      </c>
      <c r="AN61">
        <v>2.4309680692718841E-2</v>
      </c>
      <c r="AO61">
        <v>2.5286393231263443E-2</v>
      </c>
      <c r="AP61">
        <v>1.9311882237746842E-2</v>
      </c>
      <c r="AQ61">
        <v>1.6635401446628034E-2</v>
      </c>
      <c r="AR61">
        <v>2.4288177120521115E-2</v>
      </c>
      <c r="AS61">
        <v>2.1454192500480904E-2</v>
      </c>
      <c r="AU61" t="s">
        <v>546</v>
      </c>
      <c r="AV61" t="s">
        <v>102</v>
      </c>
      <c r="AW61">
        <v>0.10573930000627954</v>
      </c>
      <c r="AX61">
        <v>0.11097267679969947</v>
      </c>
      <c r="AY61">
        <v>0.1186975658451825</v>
      </c>
      <c r="AZ61">
        <v>0.11834706434042995</v>
      </c>
      <c r="BA61">
        <v>0.14933833475204095</v>
      </c>
      <c r="BB61">
        <v>0.12859208256940727</v>
      </c>
      <c r="BC61">
        <v>0.14675876464433318</v>
      </c>
      <c r="BD61">
        <v>0.16565363803203736</v>
      </c>
      <c r="BE61">
        <v>0.13983538243127797</v>
      </c>
      <c r="BF61">
        <v>0.10140413617570911</v>
      </c>
      <c r="BG61">
        <v>0.10882858017808243</v>
      </c>
      <c r="BH61">
        <v>0.11108158296622116</v>
      </c>
      <c r="BR61" t="s">
        <v>546</v>
      </c>
      <c r="BS61">
        <v>0.58979071320895338</v>
      </c>
      <c r="BT61">
        <v>0.58576356884579017</v>
      </c>
      <c r="BU61">
        <v>0.59283719306875893</v>
      </c>
      <c r="BV61">
        <v>0.4836169674565664</v>
      </c>
      <c r="BW61">
        <v>0.44938774855962449</v>
      </c>
      <c r="BX61">
        <v>0.48424637421798095</v>
      </c>
      <c r="BY61">
        <v>0.36417332726633805</v>
      </c>
      <c r="BZ61">
        <v>0.35921669290666186</v>
      </c>
      <c r="CA61">
        <v>0.37528434774400488</v>
      </c>
      <c r="CB61">
        <v>0.53756503570525926</v>
      </c>
      <c r="CC61">
        <v>0.51716881178032836</v>
      </c>
      <c r="CD61">
        <v>0.52870696292919928</v>
      </c>
      <c r="CF61" t="s">
        <v>529</v>
      </c>
      <c r="CG61" t="s">
        <v>108</v>
      </c>
      <c r="CH61" t="s">
        <v>109</v>
      </c>
      <c r="CI61">
        <v>0.59139571665818025</v>
      </c>
    </row>
    <row r="62" spans="2:87" x14ac:dyDescent="0.45">
      <c r="B62" t="s">
        <v>547</v>
      </c>
      <c r="C62" t="s">
        <v>99</v>
      </c>
      <c r="D62">
        <v>0.27991199124908345</v>
      </c>
      <c r="E62">
        <v>0.27669145852305299</v>
      </c>
      <c r="F62">
        <v>0.28517999315924469</v>
      </c>
      <c r="G62">
        <v>0.30419004658587895</v>
      </c>
      <c r="H62">
        <v>0.34816251695385758</v>
      </c>
      <c r="I62">
        <v>0.30821243453462666</v>
      </c>
      <c r="J62">
        <v>0.34301875297454498</v>
      </c>
      <c r="K62">
        <v>0.38448450550901953</v>
      </c>
      <c r="L62">
        <v>0.30465864799034337</v>
      </c>
      <c r="M62">
        <v>0.27233660309644553</v>
      </c>
      <c r="N62">
        <v>0.32622004963569434</v>
      </c>
      <c r="O62">
        <v>0.28597630429868276</v>
      </c>
      <c r="Q62" t="s">
        <v>547</v>
      </c>
      <c r="R62" t="s">
        <v>100</v>
      </c>
      <c r="S62">
        <v>1.5534873381683243E-2</v>
      </c>
      <c r="T62">
        <v>2.0223230898604221E-2</v>
      </c>
      <c r="U62">
        <v>8.2721924057376373E-3</v>
      </c>
      <c r="V62">
        <v>2.0472122029130898E-2</v>
      </c>
      <c r="W62">
        <v>1.7098661032469011E-2</v>
      </c>
      <c r="X62">
        <v>1.3146799020517025E-2</v>
      </c>
      <c r="Y62">
        <v>1.9843680267134879E-2</v>
      </c>
      <c r="Z62">
        <v>3.7318552234723593E-2</v>
      </c>
      <c r="AA62">
        <v>3.4468778151322932E-2</v>
      </c>
      <c r="AB62">
        <v>2.6257520675236158E-2</v>
      </c>
      <c r="AC62">
        <v>2.1437937736695296E-2</v>
      </c>
      <c r="AD62">
        <v>1.3867639747461627E-2</v>
      </c>
      <c r="AF62" t="s">
        <v>547</v>
      </c>
      <c r="AG62" t="s">
        <v>101</v>
      </c>
      <c r="AH62">
        <v>1.5040259482422491E-2</v>
      </c>
      <c r="AI62">
        <v>2.3251003202553258E-2</v>
      </c>
      <c r="AJ62">
        <v>1.2577245324335941E-2</v>
      </c>
      <c r="AK62">
        <v>3.7360327804617725E-2</v>
      </c>
      <c r="AL62">
        <v>2.2723642128498096E-2</v>
      </c>
      <c r="AM62">
        <v>1.4077601488648624E-2</v>
      </c>
      <c r="AN62">
        <v>5.3088708903987133E-2</v>
      </c>
      <c r="AO62">
        <v>3.4676126112323902E-2</v>
      </c>
      <c r="AP62">
        <v>4.7799331705254716E-2</v>
      </c>
      <c r="AQ62">
        <v>2.3009787968035617E-2</v>
      </c>
      <c r="AR62">
        <v>3.2458545149819516E-2</v>
      </c>
      <c r="AS62">
        <v>1.8853946516271203E-2</v>
      </c>
      <c r="AU62" t="s">
        <v>547</v>
      </c>
      <c r="AV62" t="s">
        <v>102</v>
      </c>
      <c r="AW62">
        <v>0.13181905620654832</v>
      </c>
      <c r="AX62">
        <v>0.1197739162890816</v>
      </c>
      <c r="AY62">
        <v>0.13904192812923802</v>
      </c>
      <c r="AZ62">
        <v>0.13312802520950687</v>
      </c>
      <c r="BA62">
        <v>0.18181934245628714</v>
      </c>
      <c r="BB62">
        <v>0.17151366275079874</v>
      </c>
      <c r="BC62">
        <v>0.15631199936614967</v>
      </c>
      <c r="BD62">
        <v>0.17154981574752245</v>
      </c>
      <c r="BE62">
        <v>0.11811495281802899</v>
      </c>
      <c r="BF62">
        <v>0.11853565645689951</v>
      </c>
      <c r="BG62">
        <v>0.14520491411556075</v>
      </c>
      <c r="BH62">
        <v>0.14697967267415463</v>
      </c>
      <c r="BR62" t="s">
        <v>547</v>
      </c>
      <c r="BS62">
        <v>0.4893699265025227</v>
      </c>
      <c r="BT62">
        <v>0.4854987565574399</v>
      </c>
      <c r="BU62">
        <v>0.49515577799718169</v>
      </c>
      <c r="BV62">
        <v>0.38050001430881153</v>
      </c>
      <c r="BW62">
        <v>0.36861201063412463</v>
      </c>
      <c r="BX62">
        <v>0.38437343544188624</v>
      </c>
      <c r="BY62">
        <v>0.26807335038485519</v>
      </c>
      <c r="BZ62">
        <v>0.26739975988673981</v>
      </c>
      <c r="CA62">
        <v>0.28047408254275835</v>
      </c>
      <c r="CB62">
        <v>0.42213539428328467</v>
      </c>
      <c r="CC62">
        <v>0.41280270289281029</v>
      </c>
      <c r="CD62">
        <v>0.42677450515017801</v>
      </c>
      <c r="CF62" t="s">
        <v>531</v>
      </c>
      <c r="CG62" t="s">
        <v>108</v>
      </c>
      <c r="CH62" t="s">
        <v>109</v>
      </c>
      <c r="CI62">
        <v>0.36160774544243596</v>
      </c>
    </row>
    <row r="63" spans="2:87" x14ac:dyDescent="0.45">
      <c r="B63" t="s">
        <v>548</v>
      </c>
      <c r="C63" t="s">
        <v>99</v>
      </c>
      <c r="D63">
        <v>0.3607333364476617</v>
      </c>
      <c r="E63">
        <v>0.373034516180132</v>
      </c>
      <c r="F63">
        <v>0.34379303977816827</v>
      </c>
      <c r="G63">
        <v>0.2880546217728584</v>
      </c>
      <c r="H63">
        <v>0.35149584144370727</v>
      </c>
      <c r="I63">
        <v>0.28794067570842863</v>
      </c>
      <c r="J63">
        <v>0.35221578489392041</v>
      </c>
      <c r="K63">
        <v>0.43504369152827299</v>
      </c>
      <c r="L63">
        <v>0.32409347229137453</v>
      </c>
      <c r="M63">
        <v>0.30055149889206167</v>
      </c>
      <c r="N63">
        <v>0.34167801814041043</v>
      </c>
      <c r="O63">
        <v>0.32182607903909916</v>
      </c>
      <c r="Q63" t="s">
        <v>548</v>
      </c>
      <c r="R63" t="s">
        <v>100</v>
      </c>
      <c r="S63">
        <v>1.1709962827038178E-2</v>
      </c>
      <c r="T63">
        <v>2.2170301232510028E-2</v>
      </c>
      <c r="U63">
        <v>1.5988852174850715E-2</v>
      </c>
      <c r="V63">
        <v>2.5824511092261433E-2</v>
      </c>
      <c r="W63">
        <v>3.8630475447428279E-2</v>
      </c>
      <c r="X63">
        <v>4.0512377302403063E-2</v>
      </c>
      <c r="Y63">
        <v>3.4452361850223108E-2</v>
      </c>
      <c r="Z63">
        <v>3.0456305729143096E-2</v>
      </c>
      <c r="AA63">
        <v>4.306092002059822E-2</v>
      </c>
      <c r="AB63">
        <v>2.2975548337962056E-2</v>
      </c>
      <c r="AC63">
        <v>2.82724370801621E-2</v>
      </c>
      <c r="AD63">
        <v>2.2748368554271502E-2</v>
      </c>
      <c r="AF63" t="s">
        <v>548</v>
      </c>
      <c r="AG63" t="s">
        <v>101</v>
      </c>
      <c r="AH63">
        <v>2.4985577081375585E-2</v>
      </c>
      <c r="AI63">
        <v>1.2477453490735984E-2</v>
      </c>
      <c r="AJ63">
        <v>3.2394247669648671E-2</v>
      </c>
      <c r="AK63">
        <v>5.9492433867811112E-2</v>
      </c>
      <c r="AL63">
        <v>3.3001209233808025E-2</v>
      </c>
      <c r="AM63">
        <v>3.597902666073674E-2</v>
      </c>
      <c r="AN63">
        <v>5.5647084856967156E-2</v>
      </c>
      <c r="AO63">
        <v>3.5830872340052423E-2</v>
      </c>
      <c r="AP63">
        <v>3.3916367698736315E-2</v>
      </c>
      <c r="AQ63">
        <v>3.2208660048353342E-2</v>
      </c>
      <c r="AR63">
        <v>4.4578308586285836E-2</v>
      </c>
      <c r="AS63">
        <v>2.7350387570491169E-2</v>
      </c>
      <c r="AU63" t="s">
        <v>548</v>
      </c>
      <c r="AV63" t="s">
        <v>102</v>
      </c>
      <c r="AW63">
        <v>0.20929294631321541</v>
      </c>
      <c r="AX63">
        <v>0.2027650214161113</v>
      </c>
      <c r="AY63">
        <v>0.17229127904853561</v>
      </c>
      <c r="AZ63">
        <v>0.10514334114499534</v>
      </c>
      <c r="BA63">
        <v>0.16895532905488914</v>
      </c>
      <c r="BB63">
        <v>0.11683754142721746</v>
      </c>
      <c r="BC63">
        <v>0.16258915642048535</v>
      </c>
      <c r="BD63">
        <v>0.24199216929765613</v>
      </c>
      <c r="BE63">
        <v>0.14914288795416586</v>
      </c>
      <c r="BF63">
        <v>0.13107842941926234</v>
      </c>
      <c r="BG63">
        <v>0.15666056063420186</v>
      </c>
      <c r="BH63">
        <v>0.16510429435304103</v>
      </c>
      <c r="BR63" t="s">
        <v>548</v>
      </c>
      <c r="BS63">
        <v>0.32442066818517928</v>
      </c>
      <c r="BT63">
        <v>0.32474100290867086</v>
      </c>
      <c r="BU63">
        <v>0.33278812072899494</v>
      </c>
      <c r="BV63">
        <v>0.21072676453001726</v>
      </c>
      <c r="BW63">
        <v>0.19138557196507203</v>
      </c>
      <c r="BX63">
        <v>0.22374155735732504</v>
      </c>
      <c r="BY63">
        <v>0.15602971532152254</v>
      </c>
      <c r="BZ63">
        <v>0.12948005266421789</v>
      </c>
      <c r="CA63">
        <v>0.14827037204959534</v>
      </c>
      <c r="CB63">
        <v>0.28472570391653429</v>
      </c>
      <c r="CC63">
        <v>0.26203529219063182</v>
      </c>
      <c r="CD63">
        <v>0.28639569888452077</v>
      </c>
      <c r="CF63" t="s">
        <v>533</v>
      </c>
      <c r="CG63" t="s">
        <v>108</v>
      </c>
      <c r="CH63" t="s">
        <v>109</v>
      </c>
      <c r="CI63">
        <v>0.40501732432277282</v>
      </c>
    </row>
    <row r="64" spans="2:87" x14ac:dyDescent="0.45">
      <c r="B64" t="s">
        <v>549</v>
      </c>
      <c r="C64" t="s">
        <v>99</v>
      </c>
      <c r="D64">
        <v>0.35637761297807963</v>
      </c>
      <c r="E64">
        <v>0.34828248481650165</v>
      </c>
      <c r="F64">
        <v>0.34285337378014302</v>
      </c>
      <c r="G64">
        <v>0.29873671592900891</v>
      </c>
      <c r="H64">
        <v>0.36255538889413474</v>
      </c>
      <c r="I64">
        <v>0.29792920606900536</v>
      </c>
      <c r="J64">
        <v>0.31998500868817104</v>
      </c>
      <c r="K64">
        <v>0.42983142504213051</v>
      </c>
      <c r="L64">
        <v>0.31036107163528842</v>
      </c>
      <c r="M64">
        <v>0.29073321739313435</v>
      </c>
      <c r="N64">
        <v>0.33719726175871118</v>
      </c>
      <c r="O64">
        <v>0.33025992735257476</v>
      </c>
      <c r="Q64" t="s">
        <v>549</v>
      </c>
      <c r="R64" t="s">
        <v>100</v>
      </c>
      <c r="S64">
        <v>1.7180814098428962E-2</v>
      </c>
      <c r="T64">
        <v>1.6578185829461911E-2</v>
      </c>
      <c r="U64">
        <v>1.6688011379209191E-2</v>
      </c>
      <c r="V64">
        <v>2.2868147421982579E-2</v>
      </c>
      <c r="W64">
        <v>4.2203437291286471E-2</v>
      </c>
      <c r="X64">
        <v>3.0108834672045781E-2</v>
      </c>
      <c r="Y64">
        <v>3.9376184894935863E-2</v>
      </c>
      <c r="Z64">
        <v>3.6312414082802912E-2</v>
      </c>
      <c r="AA64">
        <v>5.7056205980723973E-2</v>
      </c>
      <c r="AB64">
        <v>1.5366153249728764E-2</v>
      </c>
      <c r="AC64">
        <v>3.3052359084639972E-2</v>
      </c>
      <c r="AD64">
        <v>1.1646932370439284E-2</v>
      </c>
      <c r="AF64" t="s">
        <v>549</v>
      </c>
      <c r="AG64" t="s">
        <v>101</v>
      </c>
      <c r="AH64">
        <v>2.7228362253360214E-2</v>
      </c>
      <c r="AI64">
        <v>2.4679810508841812E-2</v>
      </c>
      <c r="AJ64">
        <v>2.7221322770624255E-2</v>
      </c>
      <c r="AK64">
        <v>4.3224643786032003E-2</v>
      </c>
      <c r="AL64">
        <v>2.983462366507432E-2</v>
      </c>
      <c r="AM64">
        <v>5.1993488336350806E-2</v>
      </c>
      <c r="AN64">
        <v>3.5245452093714692E-2</v>
      </c>
      <c r="AO64">
        <v>6.1463493795063162E-2</v>
      </c>
      <c r="AP64">
        <v>1.6661362698593453E-2</v>
      </c>
      <c r="AQ64">
        <v>2.0102539149683803E-2</v>
      </c>
      <c r="AR64">
        <v>3.3455504225029957E-2</v>
      </c>
      <c r="AS64">
        <v>2.1992460501864583E-2</v>
      </c>
      <c r="AU64" t="s">
        <v>549</v>
      </c>
      <c r="AV64" t="s">
        <v>102</v>
      </c>
      <c r="AW64">
        <v>0.18926847512537617</v>
      </c>
      <c r="AX64">
        <v>0.18331687471787328</v>
      </c>
      <c r="AY64">
        <v>0.16918628249349962</v>
      </c>
      <c r="AZ64">
        <v>0.12714609814506256</v>
      </c>
      <c r="BA64">
        <v>0.16469383530683318</v>
      </c>
      <c r="BB64">
        <v>0.11106290881625425</v>
      </c>
      <c r="BC64">
        <v>0.13255160978629252</v>
      </c>
      <c r="BD64">
        <v>0.20354393719350655</v>
      </c>
      <c r="BE64">
        <v>0.13175270026490779</v>
      </c>
      <c r="BF64">
        <v>0.15206965225115512</v>
      </c>
      <c r="BG64">
        <v>0.15729522038686491</v>
      </c>
      <c r="BH64">
        <v>0.17987622214481122</v>
      </c>
      <c r="BR64" t="s">
        <v>549</v>
      </c>
      <c r="BS64">
        <v>0.36471120891072339</v>
      </c>
      <c r="BT64">
        <v>0.36460030723024855</v>
      </c>
      <c r="BU64">
        <v>0.37381728883379045</v>
      </c>
      <c r="BV64">
        <v>0.27974533745191649</v>
      </c>
      <c r="BW64">
        <v>0.22694634522940238</v>
      </c>
      <c r="BX64">
        <v>0.29361378474194799</v>
      </c>
      <c r="BY64">
        <v>0.19822013222072521</v>
      </c>
      <c r="BZ64">
        <v>0.17784394682151808</v>
      </c>
      <c r="CA64">
        <v>0.1959025499816528</v>
      </c>
      <c r="CB64">
        <v>0.32496578680913946</v>
      </c>
      <c r="CC64">
        <v>0.31240686044862659</v>
      </c>
      <c r="CD64">
        <v>0.34639804758508158</v>
      </c>
      <c r="CF64" t="s">
        <v>535</v>
      </c>
      <c r="CG64" t="s">
        <v>108</v>
      </c>
      <c r="CH64" t="s">
        <v>109</v>
      </c>
      <c r="CI64">
        <v>0.50203818884630125</v>
      </c>
    </row>
    <row r="65" spans="2:87" x14ac:dyDescent="0.45">
      <c r="B65" t="s">
        <v>550</v>
      </c>
      <c r="C65" t="s">
        <v>99</v>
      </c>
      <c r="D65">
        <v>0.32889235403384165</v>
      </c>
      <c r="E65">
        <v>0.32111485924704963</v>
      </c>
      <c r="F65">
        <v>0.32807010398292741</v>
      </c>
      <c r="G65">
        <v>0.28775389512239513</v>
      </c>
      <c r="H65">
        <v>0.34837527413932007</v>
      </c>
      <c r="I65">
        <v>0.27413656966608785</v>
      </c>
      <c r="J65">
        <v>0.3104325063059179</v>
      </c>
      <c r="K65">
        <v>0.40674191432433021</v>
      </c>
      <c r="L65">
        <v>0.29239819200904354</v>
      </c>
      <c r="M65">
        <v>0.26956290118408205</v>
      </c>
      <c r="N65">
        <v>0.32856514602960157</v>
      </c>
      <c r="O65">
        <v>0.31570610539848809</v>
      </c>
      <c r="Q65" t="s">
        <v>550</v>
      </c>
      <c r="R65" t="s">
        <v>100</v>
      </c>
      <c r="S65">
        <v>1.6064859701724245E-2</v>
      </c>
      <c r="T65">
        <v>1.7358082085593762E-2</v>
      </c>
      <c r="U65">
        <v>1.2826769535889709E-2</v>
      </c>
      <c r="V65">
        <v>2.0922020051104603E-2</v>
      </c>
      <c r="W65">
        <v>3.2352253388544014E-2</v>
      </c>
      <c r="X65">
        <v>2.5897396474481301E-2</v>
      </c>
      <c r="Y65">
        <v>3.1571772168197079E-2</v>
      </c>
      <c r="Z65">
        <v>3.195528552484754E-2</v>
      </c>
      <c r="AA65">
        <v>3.7287744930833727E-2</v>
      </c>
      <c r="AB65">
        <v>2.4011340197445396E-2</v>
      </c>
      <c r="AC65">
        <v>1.9484408746497209E-2</v>
      </c>
      <c r="AD65">
        <v>1.0310906449856369E-2</v>
      </c>
      <c r="AF65" t="s">
        <v>550</v>
      </c>
      <c r="AG65" t="s">
        <v>101</v>
      </c>
      <c r="AH65">
        <v>1.8859841377363153E-2</v>
      </c>
      <c r="AI65">
        <v>3.4438034115231539E-2</v>
      </c>
      <c r="AJ65">
        <v>3.373523781922988E-2</v>
      </c>
      <c r="AK65">
        <v>4.5474861668758505E-2</v>
      </c>
      <c r="AL65">
        <v>3.0647085052324382E-2</v>
      </c>
      <c r="AM65">
        <v>3.5957094123267766E-2</v>
      </c>
      <c r="AN65">
        <v>3.7546211428820031E-2</v>
      </c>
      <c r="AO65">
        <v>6.2335650609445833E-2</v>
      </c>
      <c r="AP65">
        <v>2.1525810957584716E-2</v>
      </c>
      <c r="AQ65">
        <v>1.1893570176587235E-2</v>
      </c>
      <c r="AR65">
        <v>3.7969331393743588E-2</v>
      </c>
      <c r="AS65">
        <v>1.4307345500924643E-2</v>
      </c>
      <c r="AU65" t="s">
        <v>550</v>
      </c>
      <c r="AV65" t="s">
        <v>102</v>
      </c>
      <c r="AW65">
        <v>0.17308595437107213</v>
      </c>
      <c r="AX65">
        <v>0.14699036360622036</v>
      </c>
      <c r="AY65">
        <v>0.16070350523810384</v>
      </c>
      <c r="AZ65">
        <v>0.12799272189595973</v>
      </c>
      <c r="BA65">
        <v>0.16793476008583688</v>
      </c>
      <c r="BB65">
        <v>0.12437203724663776</v>
      </c>
      <c r="BC65">
        <v>0.13200014766630958</v>
      </c>
      <c r="BD65">
        <v>0.1753863152535774</v>
      </c>
      <c r="BE65">
        <v>0.13927900261638745</v>
      </c>
      <c r="BF65">
        <v>0.13748734555159309</v>
      </c>
      <c r="BG65">
        <v>0.15341888856011324</v>
      </c>
      <c r="BH65">
        <v>0.17954392614823161</v>
      </c>
      <c r="BR65" t="s">
        <v>550</v>
      </c>
      <c r="BS65">
        <v>0.39815423363757202</v>
      </c>
      <c r="BT65">
        <v>0.38913439103514846</v>
      </c>
      <c r="BU65">
        <v>0.39003405520453971</v>
      </c>
      <c r="BV65">
        <v>0.29275267100836516</v>
      </c>
      <c r="BW65">
        <v>0.26263172087542069</v>
      </c>
      <c r="BX65">
        <v>0.30451552556398398</v>
      </c>
      <c r="BY65">
        <v>0.20689950234799998</v>
      </c>
      <c r="BZ65">
        <v>0.19431670322283556</v>
      </c>
      <c r="CA65">
        <v>0.21330398323839272</v>
      </c>
      <c r="CB65">
        <v>0.34693790929359503</v>
      </c>
      <c r="CC65">
        <v>0.33643320116498393</v>
      </c>
      <c r="CD65">
        <v>0.35311311623324576</v>
      </c>
      <c r="CF65" t="s">
        <v>537</v>
      </c>
      <c r="CG65" t="s">
        <v>108</v>
      </c>
      <c r="CH65" t="s">
        <v>109</v>
      </c>
      <c r="CI65">
        <v>0.50614011744863485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FFDE-D1B1-4153-8478-85DB39DE37B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0.31841774733434391</v>
      </c>
      <c r="P11">
        <v>2020</v>
      </c>
      <c r="Q11" t="s">
        <v>193</v>
      </c>
      <c r="R11">
        <v>0.37186666666666662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0.12508982877595964</v>
      </c>
      <c r="P12">
        <v>2020</v>
      </c>
      <c r="Q12" t="s">
        <v>195</v>
      </c>
      <c r="R12">
        <v>0.39409999999999995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0.16504586069402949</v>
      </c>
      <c r="P13">
        <v>2020</v>
      </c>
      <c r="Q13" t="s">
        <v>196</v>
      </c>
      <c r="R13">
        <v>0.40926666666666667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0.42473633357132323</v>
      </c>
      <c r="P14">
        <v>2020</v>
      </c>
      <c r="Q14" t="s">
        <v>197</v>
      </c>
      <c r="R14">
        <v>0.37690000000000001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0.21388532458183862</v>
      </c>
      <c r="P15">
        <v>2021</v>
      </c>
      <c r="Q15" t="s">
        <v>193</v>
      </c>
      <c r="R15">
        <v>0.38003333333333339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0.27243958785414035</v>
      </c>
      <c r="P16">
        <v>2021</v>
      </c>
      <c r="Q16" t="s">
        <v>195</v>
      </c>
      <c r="R16">
        <v>0.40186666666666665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0.25589892338690312</v>
      </c>
      <c r="P17">
        <v>2021</v>
      </c>
      <c r="Q17" t="s">
        <v>196</v>
      </c>
      <c r="R17">
        <v>0.51386666666666669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0.10744198933239324</v>
      </c>
      <c r="P18">
        <v>2021</v>
      </c>
      <c r="Q18" t="s">
        <v>197</v>
      </c>
      <c r="R18">
        <v>0.3231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0.13223872405779158</v>
      </c>
      <c r="P19">
        <v>2022</v>
      </c>
      <c r="Q19" t="s">
        <v>193</v>
      </c>
      <c r="R19">
        <v>0.37356666666666666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0.37853244187747426</v>
      </c>
      <c r="P20">
        <v>2022</v>
      </c>
      <c r="Q20" t="s">
        <v>195</v>
      </c>
      <c r="R20">
        <v>0.37166666666666665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0.17190964853200108</v>
      </c>
      <c r="P21">
        <v>2022</v>
      </c>
      <c r="Q21" t="s">
        <v>196</v>
      </c>
      <c r="R21">
        <v>0.33203333333333335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0.22513852669476719</v>
      </c>
      <c r="P22">
        <v>2022</v>
      </c>
      <c r="Q22" t="s">
        <v>197</v>
      </c>
      <c r="R22">
        <v>0.3450333333333333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0.42873333333333336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0.46270000000000006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0.54426666666666668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0.36153333333333332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0.42760000000000004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0.48406666666666665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0.50856666666666672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0.43013333333333331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0.44336666666666663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0.51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0.55646666666666667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0.46943333333333337</v>
      </c>
      <c r="S34" t="s">
        <v>194</v>
      </c>
    </row>
    <row r="35" spans="8:19" x14ac:dyDescent="0.45">
      <c r="P35">
        <v>2028</v>
      </c>
      <c r="Q35" t="s">
        <v>193</v>
      </c>
      <c r="R35">
        <v>0.44713333333333338</v>
      </c>
      <c r="S35" t="s">
        <v>194</v>
      </c>
    </row>
    <row r="36" spans="8:19" x14ac:dyDescent="0.45">
      <c r="P36">
        <v>2028</v>
      </c>
      <c r="Q36" t="s">
        <v>195</v>
      </c>
      <c r="R36">
        <v>0.5043333333333333</v>
      </c>
      <c r="S36" t="s">
        <v>194</v>
      </c>
    </row>
    <row r="37" spans="8:19" x14ac:dyDescent="0.45">
      <c r="P37">
        <v>2028</v>
      </c>
      <c r="Q37" t="s">
        <v>196</v>
      </c>
      <c r="R37">
        <v>0.54176666666666673</v>
      </c>
      <c r="S37" t="s">
        <v>194</v>
      </c>
    </row>
    <row r="38" spans="8:19" x14ac:dyDescent="0.45">
      <c r="P38">
        <v>2028</v>
      </c>
      <c r="Q38" t="s">
        <v>197</v>
      </c>
      <c r="R38">
        <v>0.45649999999999996</v>
      </c>
      <c r="S38" t="s">
        <v>194</v>
      </c>
    </row>
    <row r="39" spans="8:19" x14ac:dyDescent="0.45">
      <c r="P39">
        <v>2029</v>
      </c>
      <c r="Q39" t="s">
        <v>193</v>
      </c>
      <c r="R39">
        <v>0.44156666666666666</v>
      </c>
      <c r="S39" t="s">
        <v>194</v>
      </c>
    </row>
    <row r="40" spans="8:19" x14ac:dyDescent="0.45">
      <c r="P40">
        <v>2029</v>
      </c>
      <c r="Q40" t="s">
        <v>195</v>
      </c>
      <c r="R40">
        <v>0.52226666666666666</v>
      </c>
      <c r="S40" t="s">
        <v>194</v>
      </c>
    </row>
    <row r="41" spans="8:19" x14ac:dyDescent="0.45">
      <c r="P41">
        <v>2029</v>
      </c>
      <c r="Q41" t="s">
        <v>196</v>
      </c>
      <c r="R41">
        <v>0.52056666666666662</v>
      </c>
      <c r="S41" t="s">
        <v>194</v>
      </c>
    </row>
    <row r="42" spans="8:19" x14ac:dyDescent="0.45">
      <c r="P42">
        <v>2029</v>
      </c>
      <c r="Q42" t="s">
        <v>197</v>
      </c>
      <c r="R42">
        <v>0.40516666666666667</v>
      </c>
      <c r="S42" t="s">
        <v>194</v>
      </c>
    </row>
    <row r="43" spans="8:19" x14ac:dyDescent="0.45">
      <c r="P43">
        <v>2030</v>
      </c>
      <c r="Q43" t="s">
        <v>193</v>
      </c>
      <c r="R43">
        <v>0.47</v>
      </c>
      <c r="S43" t="s">
        <v>194</v>
      </c>
    </row>
    <row r="44" spans="8:19" x14ac:dyDescent="0.45">
      <c r="P44">
        <v>2030</v>
      </c>
      <c r="Q44" t="s">
        <v>195</v>
      </c>
      <c r="R44">
        <v>0.45413333333333333</v>
      </c>
      <c r="S44" t="s">
        <v>194</v>
      </c>
    </row>
    <row r="45" spans="8:19" x14ac:dyDescent="0.45">
      <c r="P45">
        <v>2030</v>
      </c>
      <c r="Q45" t="s">
        <v>196</v>
      </c>
      <c r="R45">
        <v>0.55076666666666663</v>
      </c>
      <c r="S45" t="s">
        <v>194</v>
      </c>
    </row>
    <row r="46" spans="8:19" x14ac:dyDescent="0.45">
      <c r="P46">
        <v>2030</v>
      </c>
      <c r="Q46" t="s">
        <v>197</v>
      </c>
      <c r="R46">
        <v>0.43619999999999998</v>
      </c>
      <c r="S46" t="s">
        <v>194</v>
      </c>
    </row>
    <row r="47" spans="8:19" x14ac:dyDescent="0.45">
      <c r="P47">
        <v>2031</v>
      </c>
      <c r="Q47" t="s">
        <v>193</v>
      </c>
      <c r="R47">
        <v>0.37006666666666671</v>
      </c>
      <c r="S47" t="s">
        <v>194</v>
      </c>
    </row>
    <row r="48" spans="8:19" x14ac:dyDescent="0.45">
      <c r="P48">
        <v>2031</v>
      </c>
      <c r="Q48" t="s">
        <v>195</v>
      </c>
      <c r="R48">
        <v>0.49006666666666671</v>
      </c>
      <c r="S48" t="s">
        <v>194</v>
      </c>
    </row>
    <row r="49" spans="16:19" x14ac:dyDescent="0.45">
      <c r="P49">
        <v>2031</v>
      </c>
      <c r="Q49" t="s">
        <v>196</v>
      </c>
      <c r="R49">
        <v>0.44060000000000005</v>
      </c>
      <c r="S49" t="s">
        <v>194</v>
      </c>
    </row>
    <row r="50" spans="16:19" x14ac:dyDescent="0.45">
      <c r="P50">
        <v>2031</v>
      </c>
      <c r="Q50" t="s">
        <v>197</v>
      </c>
      <c r="R50">
        <v>0.4161333333333333</v>
      </c>
      <c r="S50" t="s">
        <v>194</v>
      </c>
    </row>
    <row r="51" spans="16:19" x14ac:dyDescent="0.45">
      <c r="P51">
        <v>2032</v>
      </c>
      <c r="Q51" t="s">
        <v>193</v>
      </c>
      <c r="R51">
        <v>0.41799999999999998</v>
      </c>
      <c r="S51" t="s">
        <v>194</v>
      </c>
    </row>
    <row r="52" spans="16:19" x14ac:dyDescent="0.45">
      <c r="P52">
        <v>2032</v>
      </c>
      <c r="Q52" t="s">
        <v>195</v>
      </c>
      <c r="R52">
        <v>0.41819999999999996</v>
      </c>
      <c r="S52" t="s">
        <v>194</v>
      </c>
    </row>
    <row r="53" spans="16:19" x14ac:dyDescent="0.45">
      <c r="P53">
        <v>2032</v>
      </c>
      <c r="Q53" t="s">
        <v>196</v>
      </c>
      <c r="R53">
        <v>0.42060000000000003</v>
      </c>
      <c r="S53" t="s">
        <v>194</v>
      </c>
    </row>
    <row r="54" spans="16:19" x14ac:dyDescent="0.45">
      <c r="P54">
        <v>2032</v>
      </c>
      <c r="Q54" t="s">
        <v>197</v>
      </c>
      <c r="R54">
        <v>0.38443333333333335</v>
      </c>
      <c r="S54" t="s">
        <v>194</v>
      </c>
    </row>
    <row r="55" spans="16:19" x14ac:dyDescent="0.45">
      <c r="P55">
        <v>2033</v>
      </c>
      <c r="Q55" t="s">
        <v>193</v>
      </c>
      <c r="R55">
        <v>0.34626666666666667</v>
      </c>
      <c r="S55" t="s">
        <v>194</v>
      </c>
    </row>
    <row r="56" spans="16:19" x14ac:dyDescent="0.45">
      <c r="P56">
        <v>2033</v>
      </c>
      <c r="Q56" t="s">
        <v>195</v>
      </c>
      <c r="R56">
        <v>0.41183333333333333</v>
      </c>
      <c r="S56" t="s">
        <v>194</v>
      </c>
    </row>
    <row r="57" spans="16:19" x14ac:dyDescent="0.45">
      <c r="P57">
        <v>2033</v>
      </c>
      <c r="Q57" t="s">
        <v>196</v>
      </c>
      <c r="R57">
        <v>0.50356666666666672</v>
      </c>
      <c r="S57" t="s">
        <v>194</v>
      </c>
    </row>
    <row r="58" spans="16:19" x14ac:dyDescent="0.45">
      <c r="P58">
        <v>2033</v>
      </c>
      <c r="Q58" t="s">
        <v>197</v>
      </c>
      <c r="R58">
        <v>0.44053333333333339</v>
      </c>
      <c r="S58" t="s">
        <v>194</v>
      </c>
    </row>
    <row r="59" spans="16:19" x14ac:dyDescent="0.45">
      <c r="P59">
        <v>2034</v>
      </c>
      <c r="Q59" t="s">
        <v>193</v>
      </c>
      <c r="R59">
        <v>0.42603333333333332</v>
      </c>
      <c r="S59" t="s">
        <v>194</v>
      </c>
    </row>
    <row r="60" spans="16:19" x14ac:dyDescent="0.45">
      <c r="P60">
        <v>2034</v>
      </c>
      <c r="Q60" t="s">
        <v>195</v>
      </c>
      <c r="R60">
        <v>0.50266666666666671</v>
      </c>
      <c r="S60" t="s">
        <v>194</v>
      </c>
    </row>
    <row r="61" spans="16:19" x14ac:dyDescent="0.45">
      <c r="P61">
        <v>2034</v>
      </c>
      <c r="Q61" t="s">
        <v>196</v>
      </c>
      <c r="R61">
        <v>0.46906666666666669</v>
      </c>
      <c r="S61" t="s">
        <v>194</v>
      </c>
    </row>
    <row r="62" spans="16:19" x14ac:dyDescent="0.45">
      <c r="P62">
        <v>2034</v>
      </c>
      <c r="Q62" t="s">
        <v>197</v>
      </c>
      <c r="R62">
        <v>0.4237333333333333</v>
      </c>
      <c r="S62" t="s">
        <v>194</v>
      </c>
    </row>
    <row r="63" spans="16:19" x14ac:dyDescent="0.45">
      <c r="P63">
        <v>2035</v>
      </c>
      <c r="Q63" t="s">
        <v>193</v>
      </c>
      <c r="R63">
        <v>0.43080000000000002</v>
      </c>
      <c r="S63" t="s">
        <v>194</v>
      </c>
    </row>
    <row r="64" spans="16:19" x14ac:dyDescent="0.45">
      <c r="P64">
        <v>2035</v>
      </c>
      <c r="Q64" t="s">
        <v>195</v>
      </c>
      <c r="R64">
        <v>0.55489999999999995</v>
      </c>
      <c r="S64" t="s">
        <v>194</v>
      </c>
    </row>
    <row r="65" spans="16:19" x14ac:dyDescent="0.45">
      <c r="P65">
        <v>2035</v>
      </c>
      <c r="Q65" t="s">
        <v>196</v>
      </c>
      <c r="R65">
        <v>0.60910000000000009</v>
      </c>
      <c r="S65" t="s">
        <v>194</v>
      </c>
    </row>
    <row r="66" spans="16:19" x14ac:dyDescent="0.45">
      <c r="P66">
        <v>2035</v>
      </c>
      <c r="Q66" t="s">
        <v>197</v>
      </c>
      <c r="R66">
        <v>0.41943333333333332</v>
      </c>
      <c r="S66" t="s">
        <v>194</v>
      </c>
    </row>
    <row r="67" spans="16:19" x14ac:dyDescent="0.45">
      <c r="P67">
        <v>2036</v>
      </c>
      <c r="Q67" t="s">
        <v>193</v>
      </c>
      <c r="R67">
        <v>0.43836666666666663</v>
      </c>
      <c r="S67" t="s">
        <v>194</v>
      </c>
    </row>
    <row r="68" spans="16:19" x14ac:dyDescent="0.45">
      <c r="P68">
        <v>2036</v>
      </c>
      <c r="Q68" t="s">
        <v>195</v>
      </c>
      <c r="R68">
        <v>0.50073333333333336</v>
      </c>
      <c r="S68" t="s">
        <v>194</v>
      </c>
    </row>
    <row r="69" spans="16:19" x14ac:dyDescent="0.45">
      <c r="P69">
        <v>2036</v>
      </c>
      <c r="Q69" t="s">
        <v>196</v>
      </c>
      <c r="R69">
        <v>0.5623999999999999</v>
      </c>
      <c r="S69" t="s">
        <v>194</v>
      </c>
    </row>
    <row r="70" spans="16:19" x14ac:dyDescent="0.45">
      <c r="P70">
        <v>2036</v>
      </c>
      <c r="Q70" t="s">
        <v>197</v>
      </c>
      <c r="R70">
        <v>0.41840000000000005</v>
      </c>
      <c r="S70" t="s">
        <v>194</v>
      </c>
    </row>
    <row r="71" spans="16:19" x14ac:dyDescent="0.45">
      <c r="P71">
        <v>2037</v>
      </c>
      <c r="Q71" t="s">
        <v>193</v>
      </c>
      <c r="R71">
        <v>0.44306666666666666</v>
      </c>
      <c r="S71" t="s">
        <v>194</v>
      </c>
    </row>
    <row r="72" spans="16:19" x14ac:dyDescent="0.45">
      <c r="P72">
        <v>2037</v>
      </c>
      <c r="Q72" t="s">
        <v>195</v>
      </c>
      <c r="R72">
        <v>0.48740000000000006</v>
      </c>
      <c r="S72" t="s">
        <v>194</v>
      </c>
    </row>
    <row r="73" spans="16:19" x14ac:dyDescent="0.45">
      <c r="P73">
        <v>2037</v>
      </c>
      <c r="Q73" t="s">
        <v>196</v>
      </c>
      <c r="R73">
        <v>0.5427333333333334</v>
      </c>
      <c r="S73" t="s">
        <v>194</v>
      </c>
    </row>
    <row r="74" spans="16:19" x14ac:dyDescent="0.45">
      <c r="P74">
        <v>2037</v>
      </c>
      <c r="Q74" t="s">
        <v>197</v>
      </c>
      <c r="R74">
        <v>0.46776666666666666</v>
      </c>
      <c r="S74" t="s">
        <v>194</v>
      </c>
    </row>
    <row r="75" spans="16:19" x14ac:dyDescent="0.45">
      <c r="P75">
        <v>2038</v>
      </c>
      <c r="Q75" t="s">
        <v>193</v>
      </c>
      <c r="R75">
        <v>0.42230000000000006</v>
      </c>
      <c r="S75" t="s">
        <v>194</v>
      </c>
    </row>
    <row r="76" spans="16:19" x14ac:dyDescent="0.45">
      <c r="P76">
        <v>2038</v>
      </c>
      <c r="Q76" t="s">
        <v>195</v>
      </c>
      <c r="R76">
        <v>0.48636666666666661</v>
      </c>
      <c r="S76" t="s">
        <v>194</v>
      </c>
    </row>
    <row r="77" spans="16:19" x14ac:dyDescent="0.45">
      <c r="P77">
        <v>2038</v>
      </c>
      <c r="Q77" t="s">
        <v>196</v>
      </c>
      <c r="R77">
        <v>0.52033333333333331</v>
      </c>
      <c r="S77" t="s">
        <v>194</v>
      </c>
    </row>
    <row r="78" spans="16:19" x14ac:dyDescent="0.45">
      <c r="P78">
        <v>2038</v>
      </c>
      <c r="Q78" t="s">
        <v>197</v>
      </c>
      <c r="R78">
        <v>0.46806666666666663</v>
      </c>
      <c r="S78" t="s">
        <v>194</v>
      </c>
    </row>
    <row r="79" spans="16:19" x14ac:dyDescent="0.45">
      <c r="P79">
        <v>2039</v>
      </c>
      <c r="Q79" t="s">
        <v>193</v>
      </c>
      <c r="R79">
        <v>0.46006666666666668</v>
      </c>
      <c r="S79" t="s">
        <v>194</v>
      </c>
    </row>
    <row r="80" spans="16:19" x14ac:dyDescent="0.45">
      <c r="P80">
        <v>2039</v>
      </c>
      <c r="Q80" t="s">
        <v>195</v>
      </c>
      <c r="R80">
        <v>0.49689999999999995</v>
      </c>
      <c r="S80" t="s">
        <v>194</v>
      </c>
    </row>
    <row r="81" spans="16:19" x14ac:dyDescent="0.45">
      <c r="P81">
        <v>2039</v>
      </c>
      <c r="Q81" t="s">
        <v>196</v>
      </c>
      <c r="R81">
        <v>0.65636666666666665</v>
      </c>
      <c r="S81" t="s">
        <v>194</v>
      </c>
    </row>
    <row r="82" spans="16:19" x14ac:dyDescent="0.45">
      <c r="P82">
        <v>2039</v>
      </c>
      <c r="Q82" t="s">
        <v>197</v>
      </c>
      <c r="R82">
        <v>0.50823333333333331</v>
      </c>
      <c r="S82" t="s">
        <v>194</v>
      </c>
    </row>
    <row r="83" spans="16:19" x14ac:dyDescent="0.45">
      <c r="P83">
        <v>2040</v>
      </c>
      <c r="Q83" t="s">
        <v>193</v>
      </c>
      <c r="R83">
        <v>0.47763333333333335</v>
      </c>
      <c r="S83" t="s">
        <v>194</v>
      </c>
    </row>
    <row r="84" spans="16:19" x14ac:dyDescent="0.45">
      <c r="P84">
        <v>2040</v>
      </c>
      <c r="Q84" t="s">
        <v>195</v>
      </c>
      <c r="R84">
        <v>0.46416666666666667</v>
      </c>
      <c r="S84" t="s">
        <v>194</v>
      </c>
    </row>
    <row r="85" spans="16:19" x14ac:dyDescent="0.45">
      <c r="P85">
        <v>2040</v>
      </c>
      <c r="Q85" t="s">
        <v>196</v>
      </c>
      <c r="R85">
        <v>0.57736666666666669</v>
      </c>
      <c r="S85" t="s">
        <v>194</v>
      </c>
    </row>
    <row r="86" spans="16:19" x14ac:dyDescent="0.45">
      <c r="P86">
        <v>2040</v>
      </c>
      <c r="Q86" t="s">
        <v>197</v>
      </c>
      <c r="R86">
        <v>0.50240000000000007</v>
      </c>
      <c r="S86" t="s">
        <v>194</v>
      </c>
    </row>
    <row r="87" spans="16:19" x14ac:dyDescent="0.45">
      <c r="P87">
        <v>2041</v>
      </c>
      <c r="Q87" t="s">
        <v>193</v>
      </c>
      <c r="R87">
        <v>0.46629999999999999</v>
      </c>
      <c r="S87" t="s">
        <v>194</v>
      </c>
    </row>
    <row r="88" spans="16:19" x14ac:dyDescent="0.45">
      <c r="P88">
        <v>2041</v>
      </c>
      <c r="Q88" t="s">
        <v>195</v>
      </c>
      <c r="R88">
        <v>0.58306666666666673</v>
      </c>
      <c r="S88" t="s">
        <v>194</v>
      </c>
    </row>
    <row r="89" spans="16:19" x14ac:dyDescent="0.45">
      <c r="P89">
        <v>2041</v>
      </c>
      <c r="Q89" t="s">
        <v>196</v>
      </c>
      <c r="R89">
        <v>0.55956666666666666</v>
      </c>
      <c r="S89" t="s">
        <v>194</v>
      </c>
    </row>
    <row r="90" spans="16:19" x14ac:dyDescent="0.45">
      <c r="P90">
        <v>2041</v>
      </c>
      <c r="Q90" t="s">
        <v>197</v>
      </c>
      <c r="R90">
        <v>0.42409999999999998</v>
      </c>
      <c r="S90" t="s">
        <v>194</v>
      </c>
    </row>
    <row r="91" spans="16:19" x14ac:dyDescent="0.45">
      <c r="P91">
        <v>2042</v>
      </c>
      <c r="Q91" t="s">
        <v>193</v>
      </c>
      <c r="R91">
        <v>0.50126666666666664</v>
      </c>
      <c r="S91" t="s">
        <v>194</v>
      </c>
    </row>
    <row r="92" spans="16:19" x14ac:dyDescent="0.45">
      <c r="P92">
        <v>2042</v>
      </c>
      <c r="Q92" t="s">
        <v>195</v>
      </c>
      <c r="R92">
        <v>0.51936666666666664</v>
      </c>
      <c r="S92" t="s">
        <v>194</v>
      </c>
    </row>
    <row r="93" spans="16:19" x14ac:dyDescent="0.45">
      <c r="P93">
        <v>2042</v>
      </c>
      <c r="Q93" t="s">
        <v>196</v>
      </c>
      <c r="R93">
        <v>0.55123333333333335</v>
      </c>
      <c r="S93" t="s">
        <v>194</v>
      </c>
    </row>
    <row r="94" spans="16:19" x14ac:dyDescent="0.45">
      <c r="P94">
        <v>2042</v>
      </c>
      <c r="Q94" t="s">
        <v>197</v>
      </c>
      <c r="R94">
        <v>0.47649999999999998</v>
      </c>
      <c r="S94" t="s">
        <v>194</v>
      </c>
    </row>
    <row r="95" spans="16:19" x14ac:dyDescent="0.45">
      <c r="P95">
        <v>2043</v>
      </c>
      <c r="Q95" t="s">
        <v>193</v>
      </c>
      <c r="R95">
        <v>0.44313333333333332</v>
      </c>
      <c r="S95" t="s">
        <v>194</v>
      </c>
    </row>
    <row r="96" spans="16:19" x14ac:dyDescent="0.45">
      <c r="P96">
        <v>2043</v>
      </c>
      <c r="Q96" t="s">
        <v>195</v>
      </c>
      <c r="R96">
        <v>0.46799999999999997</v>
      </c>
      <c r="S96" t="s">
        <v>194</v>
      </c>
    </row>
    <row r="97" spans="16:19" x14ac:dyDescent="0.45">
      <c r="P97">
        <v>2043</v>
      </c>
      <c r="Q97" t="s">
        <v>196</v>
      </c>
      <c r="R97">
        <v>0.49310000000000004</v>
      </c>
      <c r="S97" t="s">
        <v>194</v>
      </c>
    </row>
    <row r="98" spans="16:19" x14ac:dyDescent="0.45">
      <c r="P98">
        <v>2043</v>
      </c>
      <c r="Q98" t="s">
        <v>197</v>
      </c>
      <c r="R98">
        <v>0.37753333333333333</v>
      </c>
      <c r="S98" t="s">
        <v>194</v>
      </c>
    </row>
    <row r="99" spans="16:19" x14ac:dyDescent="0.45">
      <c r="P99">
        <v>2044</v>
      </c>
      <c r="Q99" t="s">
        <v>193</v>
      </c>
      <c r="R99">
        <v>0.47313333333333335</v>
      </c>
      <c r="S99" t="s">
        <v>194</v>
      </c>
    </row>
    <row r="100" spans="16:19" x14ac:dyDescent="0.45">
      <c r="P100">
        <v>2044</v>
      </c>
      <c r="Q100" t="s">
        <v>195</v>
      </c>
      <c r="R100">
        <v>0.49306666666666671</v>
      </c>
      <c r="S100" t="s">
        <v>194</v>
      </c>
    </row>
    <row r="101" spans="16:19" x14ac:dyDescent="0.45">
      <c r="P101">
        <v>2044</v>
      </c>
      <c r="Q101" t="s">
        <v>196</v>
      </c>
      <c r="R101">
        <v>0.5903666666666666</v>
      </c>
      <c r="S101" t="s">
        <v>194</v>
      </c>
    </row>
    <row r="102" spans="16:19" x14ac:dyDescent="0.45">
      <c r="P102">
        <v>2044</v>
      </c>
      <c r="Q102" t="s">
        <v>197</v>
      </c>
      <c r="R102">
        <v>0.43323333333333336</v>
      </c>
      <c r="S102" t="s">
        <v>194</v>
      </c>
    </row>
    <row r="103" spans="16:19" x14ac:dyDescent="0.45">
      <c r="P103">
        <v>2045</v>
      </c>
      <c r="Q103" t="s">
        <v>193</v>
      </c>
      <c r="R103">
        <v>0.33493333333333331</v>
      </c>
      <c r="S103" t="s">
        <v>194</v>
      </c>
    </row>
    <row r="104" spans="16:19" x14ac:dyDescent="0.45">
      <c r="P104">
        <v>2045</v>
      </c>
      <c r="Q104" t="s">
        <v>195</v>
      </c>
      <c r="R104">
        <v>0.41310000000000002</v>
      </c>
      <c r="S104" t="s">
        <v>194</v>
      </c>
    </row>
    <row r="105" spans="16:19" x14ac:dyDescent="0.45">
      <c r="P105">
        <v>2045</v>
      </c>
      <c r="Q105" t="s">
        <v>196</v>
      </c>
      <c r="R105">
        <v>0.40243333333333337</v>
      </c>
      <c r="S105" t="s">
        <v>194</v>
      </c>
    </row>
    <row r="106" spans="16:19" x14ac:dyDescent="0.45">
      <c r="P106">
        <v>2045</v>
      </c>
      <c r="Q106" t="s">
        <v>197</v>
      </c>
      <c r="R106">
        <v>0.28946666666666671</v>
      </c>
      <c r="S106" t="s">
        <v>194</v>
      </c>
    </row>
    <row r="107" spans="16:19" x14ac:dyDescent="0.45">
      <c r="P107">
        <v>2046</v>
      </c>
      <c r="Q107" t="s">
        <v>193</v>
      </c>
      <c r="R107">
        <v>0.36099999999999999</v>
      </c>
      <c r="S107" t="s">
        <v>194</v>
      </c>
    </row>
    <row r="108" spans="16:19" x14ac:dyDescent="0.45">
      <c r="P108">
        <v>2046</v>
      </c>
      <c r="Q108" t="s">
        <v>195</v>
      </c>
      <c r="R108">
        <v>0.38506666666666667</v>
      </c>
      <c r="S108" t="s">
        <v>194</v>
      </c>
    </row>
    <row r="109" spans="16:19" x14ac:dyDescent="0.45">
      <c r="P109">
        <v>2046</v>
      </c>
      <c r="Q109" t="s">
        <v>196</v>
      </c>
      <c r="R109">
        <v>0.39926666666666666</v>
      </c>
      <c r="S109" t="s">
        <v>194</v>
      </c>
    </row>
    <row r="110" spans="16:19" x14ac:dyDescent="0.45">
      <c r="P110">
        <v>2046</v>
      </c>
      <c r="Q110" t="s">
        <v>197</v>
      </c>
      <c r="R110">
        <v>0.32676666666666665</v>
      </c>
      <c r="S110" t="s">
        <v>194</v>
      </c>
    </row>
    <row r="111" spans="16:19" x14ac:dyDescent="0.45">
      <c r="P111">
        <v>2047</v>
      </c>
      <c r="Q111" t="s">
        <v>193</v>
      </c>
      <c r="R111">
        <v>0.33713333333333334</v>
      </c>
      <c r="S111" t="s">
        <v>194</v>
      </c>
    </row>
    <row r="112" spans="16:19" x14ac:dyDescent="0.45">
      <c r="P112">
        <v>2047</v>
      </c>
      <c r="Q112" t="s">
        <v>195</v>
      </c>
      <c r="R112">
        <v>0.47839999999999999</v>
      </c>
      <c r="S112" t="s">
        <v>194</v>
      </c>
    </row>
    <row r="113" spans="16:19" x14ac:dyDescent="0.45">
      <c r="P113">
        <v>2047</v>
      </c>
      <c r="Q113" t="s">
        <v>196</v>
      </c>
      <c r="R113">
        <v>0.42959999999999998</v>
      </c>
      <c r="S113" t="s">
        <v>194</v>
      </c>
    </row>
    <row r="114" spans="16:19" x14ac:dyDescent="0.45">
      <c r="P114">
        <v>2047</v>
      </c>
      <c r="Q114" t="s">
        <v>197</v>
      </c>
      <c r="R114">
        <v>0.35446666666666671</v>
      </c>
      <c r="S114" t="s">
        <v>194</v>
      </c>
    </row>
    <row r="115" spans="16:19" x14ac:dyDescent="0.45">
      <c r="P115">
        <v>2048</v>
      </c>
      <c r="Q115" t="s">
        <v>193</v>
      </c>
      <c r="R115">
        <v>0.33816666666666667</v>
      </c>
      <c r="S115" t="s">
        <v>194</v>
      </c>
    </row>
    <row r="116" spans="16:19" x14ac:dyDescent="0.45">
      <c r="P116">
        <v>2048</v>
      </c>
      <c r="Q116" t="s">
        <v>195</v>
      </c>
      <c r="R116">
        <v>0.43759999999999999</v>
      </c>
      <c r="S116" t="s">
        <v>194</v>
      </c>
    </row>
    <row r="117" spans="16:19" x14ac:dyDescent="0.45">
      <c r="P117">
        <v>2048</v>
      </c>
      <c r="Q117" t="s">
        <v>196</v>
      </c>
      <c r="R117">
        <v>0.43633333333333341</v>
      </c>
      <c r="S117" t="s">
        <v>194</v>
      </c>
    </row>
    <row r="118" spans="16:19" x14ac:dyDescent="0.45">
      <c r="P118">
        <v>2048</v>
      </c>
      <c r="Q118" t="s">
        <v>197</v>
      </c>
      <c r="R118">
        <v>0.34786666666666671</v>
      </c>
      <c r="S118" t="s">
        <v>194</v>
      </c>
    </row>
    <row r="119" spans="16:19" x14ac:dyDescent="0.45">
      <c r="P119">
        <v>2049</v>
      </c>
      <c r="Q119" t="s">
        <v>193</v>
      </c>
      <c r="R119">
        <v>0.34460000000000002</v>
      </c>
      <c r="S119" t="s">
        <v>194</v>
      </c>
    </row>
    <row r="120" spans="16:19" x14ac:dyDescent="0.45">
      <c r="P120">
        <v>2049</v>
      </c>
      <c r="Q120" t="s">
        <v>195</v>
      </c>
      <c r="R120">
        <v>0.40760000000000002</v>
      </c>
      <c r="S120" t="s">
        <v>194</v>
      </c>
    </row>
    <row r="121" spans="16:19" x14ac:dyDescent="0.45">
      <c r="P121">
        <v>2049</v>
      </c>
      <c r="Q121" t="s">
        <v>196</v>
      </c>
      <c r="R121">
        <v>0.41073333333333334</v>
      </c>
      <c r="S121" t="s">
        <v>194</v>
      </c>
    </row>
    <row r="122" spans="16:19" x14ac:dyDescent="0.45">
      <c r="P122">
        <v>2049</v>
      </c>
      <c r="Q122" t="s">
        <v>197</v>
      </c>
      <c r="R122">
        <v>0.36756666666666665</v>
      </c>
      <c r="S122" t="s">
        <v>194</v>
      </c>
    </row>
    <row r="123" spans="16:19" x14ac:dyDescent="0.45">
      <c r="P123">
        <v>2050</v>
      </c>
      <c r="Q123" t="s">
        <v>193</v>
      </c>
      <c r="R123">
        <v>0.38023333333333326</v>
      </c>
      <c r="S123" t="s">
        <v>194</v>
      </c>
    </row>
    <row r="124" spans="16:19" x14ac:dyDescent="0.45">
      <c r="P124">
        <v>2050</v>
      </c>
      <c r="Q124" t="s">
        <v>195</v>
      </c>
      <c r="R124">
        <v>0.4415</v>
      </c>
      <c r="S124" t="s">
        <v>194</v>
      </c>
    </row>
    <row r="125" spans="16:19" x14ac:dyDescent="0.45">
      <c r="P125">
        <v>2050</v>
      </c>
      <c r="Q125" t="s">
        <v>196</v>
      </c>
      <c r="R125">
        <v>0.46733333333333338</v>
      </c>
      <c r="S125" t="s">
        <v>194</v>
      </c>
    </row>
    <row r="126" spans="16:19" x14ac:dyDescent="0.45">
      <c r="P126">
        <v>2050</v>
      </c>
      <c r="Q126" t="s">
        <v>197</v>
      </c>
      <c r="R126">
        <v>0.36506666666666665</v>
      </c>
      <c r="S126" t="s">
        <v>194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28A2-23BE-44A7-8D98-FAF8812A5C35}">
  <dimension ref="B9:J1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551</v>
      </c>
      <c r="C11" t="s">
        <v>5</v>
      </c>
      <c r="D11">
        <v>0</v>
      </c>
      <c r="E11" t="s">
        <v>6</v>
      </c>
      <c r="G11" t="s">
        <v>552</v>
      </c>
      <c r="H11" t="s">
        <v>5</v>
      </c>
      <c r="I11">
        <v>0.10452552212931503</v>
      </c>
      <c r="J11" t="s">
        <v>6</v>
      </c>
    </row>
    <row r="12" spans="2:10" x14ac:dyDescent="0.45">
      <c r="B12" t="s">
        <v>551</v>
      </c>
      <c r="C12" t="s">
        <v>9</v>
      </c>
      <c r="D12">
        <v>0.18176038006453343</v>
      </c>
      <c r="E12" t="s">
        <v>6</v>
      </c>
      <c r="G12" t="s">
        <v>552</v>
      </c>
      <c r="H12" t="s">
        <v>9</v>
      </c>
      <c r="I12">
        <v>0.11381184197280551</v>
      </c>
      <c r="J12" t="s">
        <v>6</v>
      </c>
    </row>
    <row r="13" spans="2:10" x14ac:dyDescent="0.45">
      <c r="B13" t="s">
        <v>551</v>
      </c>
      <c r="C13" t="s">
        <v>10</v>
      </c>
      <c r="D13">
        <v>9.2621926413304643E-4</v>
      </c>
      <c r="E13" t="s">
        <v>6</v>
      </c>
      <c r="G13" t="s">
        <v>552</v>
      </c>
      <c r="H13" t="s">
        <v>10</v>
      </c>
      <c r="I13">
        <v>8.7280637363363167E-2</v>
      </c>
      <c r="J13" t="s">
        <v>6</v>
      </c>
    </row>
    <row r="14" spans="2:10" x14ac:dyDescent="0.45">
      <c r="B14" t="s">
        <v>551</v>
      </c>
      <c r="C14" t="s">
        <v>11</v>
      </c>
      <c r="D14">
        <v>2.0922371173331643E-3</v>
      </c>
      <c r="E14" t="s">
        <v>6</v>
      </c>
      <c r="G14" t="s">
        <v>552</v>
      </c>
      <c r="H14" t="s">
        <v>11</v>
      </c>
      <c r="I14">
        <v>6.5116235021623156E-2</v>
      </c>
      <c r="J14" t="s">
        <v>6</v>
      </c>
    </row>
    <row r="15" spans="2:10" x14ac:dyDescent="0.45">
      <c r="B15" t="s">
        <v>551</v>
      </c>
      <c r="C15" t="s">
        <v>12</v>
      </c>
      <c r="D15">
        <v>0.27183946728592945</v>
      </c>
      <c r="E15" t="s">
        <v>6</v>
      </c>
      <c r="G15" t="s">
        <v>552</v>
      </c>
      <c r="H15" t="s">
        <v>12</v>
      </c>
      <c r="I15">
        <v>8.6917003491904787E-2</v>
      </c>
      <c r="J15" t="s">
        <v>6</v>
      </c>
    </row>
    <row r="16" spans="2:10" x14ac:dyDescent="0.45">
      <c r="B16" t="s">
        <v>551</v>
      </c>
      <c r="C16" t="s">
        <v>13</v>
      </c>
      <c r="D16">
        <v>9.8067263332028524E-3</v>
      </c>
      <c r="E16" t="s">
        <v>6</v>
      </c>
      <c r="G16" t="s">
        <v>552</v>
      </c>
      <c r="H16" t="s">
        <v>13</v>
      </c>
      <c r="I16">
        <v>5.5278502567927074E-2</v>
      </c>
      <c r="J16" t="s">
        <v>6</v>
      </c>
    </row>
    <row r="17" spans="2:10" x14ac:dyDescent="0.45">
      <c r="B17" t="s">
        <v>551</v>
      </c>
      <c r="C17" t="s">
        <v>14</v>
      </c>
      <c r="D17">
        <v>4.5158317723904811E-3</v>
      </c>
      <c r="E17" t="s">
        <v>6</v>
      </c>
      <c r="G17" t="s">
        <v>552</v>
      </c>
      <c r="H17" t="s">
        <v>14</v>
      </c>
      <c r="I17">
        <v>4.5534961345631161E-2</v>
      </c>
      <c r="J17" t="s">
        <v>6</v>
      </c>
    </row>
    <row r="18" spans="2:10" x14ac:dyDescent="0.45">
      <c r="B18" t="s">
        <v>551</v>
      </c>
      <c r="C18" t="s">
        <v>15</v>
      </c>
      <c r="D18">
        <v>0.31003723409577755</v>
      </c>
      <c r="E18" t="s">
        <v>6</v>
      </c>
      <c r="G18" t="s">
        <v>552</v>
      </c>
      <c r="H18" t="s">
        <v>15</v>
      </c>
      <c r="I18">
        <v>5.4163319376160826E-2</v>
      </c>
      <c r="J18" t="s">
        <v>6</v>
      </c>
    </row>
    <row r="19" spans="2:10" x14ac:dyDescent="0.45">
      <c r="B19" t="s">
        <v>551</v>
      </c>
      <c r="C19" t="s">
        <v>16</v>
      </c>
      <c r="D19">
        <v>1.6699214616885557E-2</v>
      </c>
      <c r="E19" t="s">
        <v>6</v>
      </c>
      <c r="G19" t="s">
        <v>552</v>
      </c>
      <c r="H19" t="s">
        <v>16</v>
      </c>
      <c r="I19">
        <v>4.0216553910691129E-2</v>
      </c>
      <c r="J19" t="s">
        <v>6</v>
      </c>
    </row>
    <row r="20" spans="2:10" x14ac:dyDescent="0.45">
      <c r="B20" t="s">
        <v>551</v>
      </c>
      <c r="C20" t="s">
        <v>17</v>
      </c>
      <c r="D20">
        <v>1.9730960393944905E-4</v>
      </c>
      <c r="E20" t="s">
        <v>6</v>
      </c>
      <c r="G20" t="s">
        <v>552</v>
      </c>
      <c r="H20" t="s">
        <v>17</v>
      </c>
      <c r="I20">
        <v>0.11317104663953352</v>
      </c>
      <c r="J20" t="s">
        <v>6</v>
      </c>
    </row>
    <row r="21" spans="2:10" x14ac:dyDescent="0.45">
      <c r="B21" t="s">
        <v>551</v>
      </c>
      <c r="C21" t="s">
        <v>18</v>
      </c>
      <c r="D21">
        <v>0.20008427759639352</v>
      </c>
      <c r="E21" t="s">
        <v>6</v>
      </c>
      <c r="G21" t="s">
        <v>552</v>
      </c>
      <c r="H21" t="s">
        <v>18</v>
      </c>
      <c r="I21">
        <v>0.15052107657914057</v>
      </c>
      <c r="J21" t="s">
        <v>6</v>
      </c>
    </row>
    <row r="22" spans="2:10" x14ac:dyDescent="0.45">
      <c r="B22" t="s">
        <v>551</v>
      </c>
      <c r="C22" t="s">
        <v>19</v>
      </c>
      <c r="D22">
        <v>2.0411022494800004E-3</v>
      </c>
      <c r="E22" t="s">
        <v>6</v>
      </c>
      <c r="G22" t="s">
        <v>552</v>
      </c>
      <c r="H22" t="s">
        <v>19</v>
      </c>
      <c r="I22">
        <v>8.3463299601904059E-2</v>
      </c>
      <c r="J22" t="s">
        <v>6</v>
      </c>
    </row>
    <row r="23" spans="2:10" x14ac:dyDescent="0.45">
      <c r="B23" t="s">
        <v>553</v>
      </c>
      <c r="C23" t="s">
        <v>5</v>
      </c>
      <c r="D23">
        <v>0</v>
      </c>
      <c r="E23" t="s">
        <v>6</v>
      </c>
      <c r="G23" t="s">
        <v>554</v>
      </c>
      <c r="H23" t="s">
        <v>5</v>
      </c>
      <c r="I23">
        <v>0.11334911490440523</v>
      </c>
      <c r="J23" t="s">
        <v>6</v>
      </c>
    </row>
    <row r="24" spans="2:10" x14ac:dyDescent="0.45">
      <c r="B24" t="s">
        <v>553</v>
      </c>
      <c r="C24" t="s">
        <v>9</v>
      </c>
      <c r="D24">
        <v>0.17129001137859412</v>
      </c>
      <c r="E24" t="s">
        <v>6</v>
      </c>
      <c r="G24" t="s">
        <v>554</v>
      </c>
      <c r="H24" t="s">
        <v>9</v>
      </c>
      <c r="I24">
        <v>0.12242737643064415</v>
      </c>
      <c r="J24" t="s">
        <v>6</v>
      </c>
    </row>
    <row r="25" spans="2:10" x14ac:dyDescent="0.45">
      <c r="B25" t="s">
        <v>553</v>
      </c>
      <c r="C25" t="s">
        <v>10</v>
      </c>
      <c r="D25">
        <v>6.1923833660172082E-4</v>
      </c>
      <c r="E25" t="s">
        <v>6</v>
      </c>
      <c r="G25" t="s">
        <v>554</v>
      </c>
      <c r="H25" t="s">
        <v>10</v>
      </c>
      <c r="I25">
        <v>9.093654230829433E-2</v>
      </c>
      <c r="J25" t="s">
        <v>6</v>
      </c>
    </row>
    <row r="26" spans="2:10" x14ac:dyDescent="0.45">
      <c r="B26" t="s">
        <v>553</v>
      </c>
      <c r="C26" t="s">
        <v>11</v>
      </c>
      <c r="D26">
        <v>2.4282846248338515E-3</v>
      </c>
      <c r="E26" t="s">
        <v>6</v>
      </c>
      <c r="G26" t="s">
        <v>554</v>
      </c>
      <c r="H26" t="s">
        <v>11</v>
      </c>
      <c r="I26">
        <v>7.0826103741879559E-2</v>
      </c>
      <c r="J26" t="s">
        <v>6</v>
      </c>
    </row>
    <row r="27" spans="2:10" x14ac:dyDescent="0.45">
      <c r="B27" t="s">
        <v>553</v>
      </c>
      <c r="C27" t="s">
        <v>12</v>
      </c>
      <c r="D27">
        <v>0.27546148881284738</v>
      </c>
      <c r="E27" t="s">
        <v>6</v>
      </c>
      <c r="G27" t="s">
        <v>554</v>
      </c>
      <c r="H27" t="s">
        <v>12</v>
      </c>
      <c r="I27">
        <v>7.90665668688013E-2</v>
      </c>
      <c r="J27" t="s">
        <v>6</v>
      </c>
    </row>
    <row r="28" spans="2:10" x14ac:dyDescent="0.45">
      <c r="B28" t="s">
        <v>553</v>
      </c>
      <c r="C28" t="s">
        <v>13</v>
      </c>
      <c r="D28">
        <v>9.0188673231496302E-3</v>
      </c>
      <c r="E28" t="s">
        <v>6</v>
      </c>
      <c r="G28" t="s">
        <v>554</v>
      </c>
      <c r="H28" t="s">
        <v>13</v>
      </c>
      <c r="I28">
        <v>5.3761655691170751E-2</v>
      </c>
      <c r="J28" t="s">
        <v>6</v>
      </c>
    </row>
    <row r="29" spans="2:10" x14ac:dyDescent="0.45">
      <c r="B29" t="s">
        <v>553</v>
      </c>
      <c r="C29" t="s">
        <v>14</v>
      </c>
      <c r="D29">
        <v>5.20267270272666E-3</v>
      </c>
      <c r="E29" t="s">
        <v>6</v>
      </c>
      <c r="G29" t="s">
        <v>554</v>
      </c>
      <c r="H29" t="s">
        <v>14</v>
      </c>
      <c r="I29">
        <v>4.8229695231418776E-2</v>
      </c>
      <c r="J29" t="s">
        <v>6</v>
      </c>
    </row>
    <row r="30" spans="2:10" x14ac:dyDescent="0.45">
      <c r="B30" t="s">
        <v>553</v>
      </c>
      <c r="C30" t="s">
        <v>15</v>
      </c>
      <c r="D30">
        <v>0.32056989866338337</v>
      </c>
      <c r="E30" t="s">
        <v>6</v>
      </c>
      <c r="G30" t="s">
        <v>554</v>
      </c>
      <c r="H30" t="s">
        <v>15</v>
      </c>
      <c r="I30">
        <v>4.9400754627868491E-2</v>
      </c>
      <c r="J30" t="s">
        <v>6</v>
      </c>
    </row>
    <row r="31" spans="2:10" x14ac:dyDescent="0.45">
      <c r="B31" t="s">
        <v>553</v>
      </c>
      <c r="C31" t="s">
        <v>16</v>
      </c>
      <c r="D31">
        <v>1.6277160584963465E-2</v>
      </c>
      <c r="E31" t="s">
        <v>6</v>
      </c>
      <c r="G31" t="s">
        <v>554</v>
      </c>
      <c r="H31" t="s">
        <v>16</v>
      </c>
      <c r="I31">
        <v>3.7781165731119573E-2</v>
      </c>
      <c r="J31" t="s">
        <v>6</v>
      </c>
    </row>
    <row r="32" spans="2:10" x14ac:dyDescent="0.45">
      <c r="B32" t="s">
        <v>553</v>
      </c>
      <c r="C32" t="s">
        <v>17</v>
      </c>
      <c r="D32">
        <v>2.8462739725953985E-4</v>
      </c>
      <c r="E32" t="s">
        <v>6</v>
      </c>
      <c r="G32" t="s">
        <v>554</v>
      </c>
      <c r="H32" t="s">
        <v>17</v>
      </c>
      <c r="I32">
        <v>0.11761786521736028</v>
      </c>
      <c r="J32" t="s">
        <v>6</v>
      </c>
    </row>
    <row r="33" spans="2:10" x14ac:dyDescent="0.45">
      <c r="B33" t="s">
        <v>553</v>
      </c>
      <c r="C33" t="s">
        <v>18</v>
      </c>
      <c r="D33">
        <v>0.1969767111467961</v>
      </c>
      <c r="E33" t="s">
        <v>6</v>
      </c>
      <c r="G33" t="s">
        <v>554</v>
      </c>
      <c r="H33" t="s">
        <v>18</v>
      </c>
      <c r="I33">
        <v>0.13476894888441635</v>
      </c>
      <c r="J33" t="s">
        <v>6</v>
      </c>
    </row>
    <row r="34" spans="2:10" x14ac:dyDescent="0.45">
      <c r="B34" t="s">
        <v>553</v>
      </c>
      <c r="C34" t="s">
        <v>19</v>
      </c>
      <c r="D34">
        <v>1.8710390288453119E-3</v>
      </c>
      <c r="E34" t="s">
        <v>6</v>
      </c>
      <c r="G34" t="s">
        <v>554</v>
      </c>
      <c r="H34" t="s">
        <v>19</v>
      </c>
      <c r="I34">
        <v>8.1834210362621188E-2</v>
      </c>
      <c r="J34" t="s">
        <v>6</v>
      </c>
    </row>
    <row r="35" spans="2:10" x14ac:dyDescent="0.45">
      <c r="B35" t="s">
        <v>555</v>
      </c>
      <c r="C35" t="s">
        <v>5</v>
      </c>
      <c r="D35">
        <v>0</v>
      </c>
      <c r="E35" t="s">
        <v>6</v>
      </c>
      <c r="G35" t="s">
        <v>556</v>
      </c>
      <c r="H35" t="s">
        <v>5</v>
      </c>
      <c r="I35">
        <v>0.10592644384614773</v>
      </c>
      <c r="J35" t="s">
        <v>6</v>
      </c>
    </row>
    <row r="36" spans="2:10" x14ac:dyDescent="0.45">
      <c r="B36" t="s">
        <v>555</v>
      </c>
      <c r="C36" t="s">
        <v>9</v>
      </c>
      <c r="D36">
        <v>0.1636285479290133</v>
      </c>
      <c r="E36" t="s">
        <v>6</v>
      </c>
      <c r="G36" t="s">
        <v>556</v>
      </c>
      <c r="H36" t="s">
        <v>9</v>
      </c>
      <c r="I36">
        <v>0.12161669389361174</v>
      </c>
      <c r="J36" t="s">
        <v>6</v>
      </c>
    </row>
    <row r="37" spans="2:10" x14ac:dyDescent="0.45">
      <c r="B37" t="s">
        <v>555</v>
      </c>
      <c r="C37" t="s">
        <v>10</v>
      </c>
      <c r="D37">
        <v>9.9592817484443503E-4</v>
      </c>
      <c r="E37" t="s">
        <v>6</v>
      </c>
      <c r="G37" t="s">
        <v>556</v>
      </c>
      <c r="H37" t="s">
        <v>10</v>
      </c>
      <c r="I37">
        <v>8.7952700619297886E-2</v>
      </c>
      <c r="J37" t="s">
        <v>6</v>
      </c>
    </row>
    <row r="38" spans="2:10" x14ac:dyDescent="0.45">
      <c r="B38" t="s">
        <v>555</v>
      </c>
      <c r="C38" t="s">
        <v>11</v>
      </c>
      <c r="D38">
        <v>1.8366692745689899E-3</v>
      </c>
      <c r="E38" t="s">
        <v>6</v>
      </c>
      <c r="G38" t="s">
        <v>556</v>
      </c>
      <c r="H38" t="s">
        <v>11</v>
      </c>
      <c r="I38">
        <v>6.3992692037619356E-2</v>
      </c>
      <c r="J38" t="s">
        <v>6</v>
      </c>
    </row>
    <row r="39" spans="2:10" x14ac:dyDescent="0.45">
      <c r="B39" t="s">
        <v>555</v>
      </c>
      <c r="C39" t="s">
        <v>12</v>
      </c>
      <c r="D39">
        <v>0.26374121611859908</v>
      </c>
      <c r="E39" t="s">
        <v>6</v>
      </c>
      <c r="G39" t="s">
        <v>556</v>
      </c>
      <c r="H39" t="s">
        <v>12</v>
      </c>
      <c r="I39">
        <v>8.7665290136056839E-2</v>
      </c>
      <c r="J39" t="s">
        <v>6</v>
      </c>
    </row>
    <row r="40" spans="2:10" x14ac:dyDescent="0.45">
      <c r="B40" t="s">
        <v>555</v>
      </c>
      <c r="C40" t="s">
        <v>13</v>
      </c>
      <c r="D40">
        <v>1.0455604426895851E-2</v>
      </c>
      <c r="E40" t="s">
        <v>6</v>
      </c>
      <c r="G40" t="s">
        <v>556</v>
      </c>
      <c r="H40" t="s">
        <v>13</v>
      </c>
      <c r="I40">
        <v>5.49016244414431E-2</v>
      </c>
      <c r="J40" t="s">
        <v>6</v>
      </c>
    </row>
    <row r="41" spans="2:10" x14ac:dyDescent="0.45">
      <c r="B41" t="s">
        <v>555</v>
      </c>
      <c r="C41" t="s">
        <v>14</v>
      </c>
      <c r="D41">
        <v>4.4215523757567604E-3</v>
      </c>
      <c r="E41" t="s">
        <v>6</v>
      </c>
      <c r="G41" t="s">
        <v>556</v>
      </c>
      <c r="H41" t="s">
        <v>14</v>
      </c>
      <c r="I41">
        <v>4.2115369482835188E-2</v>
      </c>
      <c r="J41" t="s">
        <v>6</v>
      </c>
    </row>
    <row r="42" spans="2:10" x14ac:dyDescent="0.45">
      <c r="B42" t="s">
        <v>555</v>
      </c>
      <c r="C42" t="s">
        <v>15</v>
      </c>
      <c r="D42">
        <v>0.34022092568187245</v>
      </c>
      <c r="E42" t="s">
        <v>6</v>
      </c>
      <c r="G42" t="s">
        <v>556</v>
      </c>
      <c r="H42" t="s">
        <v>15</v>
      </c>
      <c r="I42">
        <v>5.7399827210457492E-2</v>
      </c>
      <c r="J42" t="s">
        <v>6</v>
      </c>
    </row>
    <row r="43" spans="2:10" x14ac:dyDescent="0.45">
      <c r="B43" t="s">
        <v>555</v>
      </c>
      <c r="C43" t="s">
        <v>16</v>
      </c>
      <c r="D43">
        <v>1.9848938442425145E-2</v>
      </c>
      <c r="E43" t="s">
        <v>6</v>
      </c>
      <c r="G43" t="s">
        <v>556</v>
      </c>
      <c r="H43" t="s">
        <v>16</v>
      </c>
      <c r="I43">
        <v>3.7378263237954901E-2</v>
      </c>
      <c r="J43" t="s">
        <v>6</v>
      </c>
    </row>
    <row r="44" spans="2:10" x14ac:dyDescent="0.45">
      <c r="B44" t="s">
        <v>555</v>
      </c>
      <c r="C44" t="s">
        <v>17</v>
      </c>
      <c r="D44">
        <v>1.4828706309437013E-4</v>
      </c>
      <c r="E44" t="s">
        <v>6</v>
      </c>
      <c r="G44" t="s">
        <v>556</v>
      </c>
      <c r="H44" t="s">
        <v>17</v>
      </c>
      <c r="I44">
        <v>0.11085006407301248</v>
      </c>
      <c r="J44" t="s">
        <v>6</v>
      </c>
    </row>
    <row r="45" spans="2:10" x14ac:dyDescent="0.45">
      <c r="B45" t="s">
        <v>555</v>
      </c>
      <c r="C45" t="s">
        <v>18</v>
      </c>
      <c r="D45">
        <v>0.19238558906811604</v>
      </c>
      <c r="E45" t="s">
        <v>6</v>
      </c>
      <c r="G45" t="s">
        <v>556</v>
      </c>
      <c r="H45" t="s">
        <v>18</v>
      </c>
      <c r="I45">
        <v>0.14856831560663575</v>
      </c>
      <c r="J45" t="s">
        <v>6</v>
      </c>
    </row>
    <row r="46" spans="2:10" x14ac:dyDescent="0.45">
      <c r="B46" t="s">
        <v>555</v>
      </c>
      <c r="C46" t="s">
        <v>19</v>
      </c>
      <c r="D46">
        <v>2.316741444815004E-3</v>
      </c>
      <c r="E46" t="s">
        <v>6</v>
      </c>
      <c r="G46" t="s">
        <v>556</v>
      </c>
      <c r="H46" t="s">
        <v>19</v>
      </c>
      <c r="I46">
        <v>8.1632715414927531E-2</v>
      </c>
      <c r="J46" t="s">
        <v>6</v>
      </c>
    </row>
    <row r="47" spans="2:10" x14ac:dyDescent="0.45">
      <c r="B47" t="s">
        <v>557</v>
      </c>
      <c r="C47" t="s">
        <v>5</v>
      </c>
      <c r="D47">
        <v>0</v>
      </c>
      <c r="E47" t="s">
        <v>6</v>
      </c>
      <c r="G47" t="s">
        <v>558</v>
      </c>
      <c r="H47" t="s">
        <v>5</v>
      </c>
      <c r="I47">
        <v>0.10292441293540523</v>
      </c>
      <c r="J47" t="s">
        <v>6</v>
      </c>
    </row>
    <row r="48" spans="2:10" x14ac:dyDescent="0.45">
      <c r="B48" t="s">
        <v>557</v>
      </c>
      <c r="C48" t="s">
        <v>9</v>
      </c>
      <c r="D48">
        <v>0.17573987306649919</v>
      </c>
      <c r="E48" t="s">
        <v>6</v>
      </c>
      <c r="G48" t="s">
        <v>558</v>
      </c>
      <c r="H48" t="s">
        <v>9</v>
      </c>
      <c r="I48">
        <v>0.12208999447523007</v>
      </c>
      <c r="J48" t="s">
        <v>6</v>
      </c>
    </row>
    <row r="49" spans="2:10" x14ac:dyDescent="0.45">
      <c r="B49" t="s">
        <v>557</v>
      </c>
      <c r="C49" t="s">
        <v>10</v>
      </c>
      <c r="D49">
        <v>1.2818677054239863E-3</v>
      </c>
      <c r="E49" t="s">
        <v>6</v>
      </c>
      <c r="G49" t="s">
        <v>558</v>
      </c>
      <c r="H49" t="s">
        <v>10</v>
      </c>
      <c r="I49">
        <v>8.6580249309929552E-2</v>
      </c>
      <c r="J49" t="s">
        <v>6</v>
      </c>
    </row>
    <row r="50" spans="2:10" x14ac:dyDescent="0.45">
      <c r="B50" t="s">
        <v>557</v>
      </c>
      <c r="C50" t="s">
        <v>11</v>
      </c>
      <c r="D50">
        <v>1.4980714637352289E-3</v>
      </c>
      <c r="E50" t="s">
        <v>6</v>
      </c>
      <c r="G50" t="s">
        <v>558</v>
      </c>
      <c r="H50" t="s">
        <v>11</v>
      </c>
      <c r="I50">
        <v>7.3395393992032959E-2</v>
      </c>
      <c r="J50" t="s">
        <v>6</v>
      </c>
    </row>
    <row r="51" spans="2:10" x14ac:dyDescent="0.45">
      <c r="B51" t="s">
        <v>557</v>
      </c>
      <c r="C51" t="s">
        <v>12</v>
      </c>
      <c r="D51">
        <v>0.26264185304508425</v>
      </c>
      <c r="E51" t="s">
        <v>6</v>
      </c>
      <c r="G51" t="s">
        <v>558</v>
      </c>
      <c r="H51" t="s">
        <v>12</v>
      </c>
      <c r="I51">
        <v>8.8160105712831199E-2</v>
      </c>
      <c r="J51" t="s">
        <v>6</v>
      </c>
    </row>
    <row r="52" spans="2:10" x14ac:dyDescent="0.45">
      <c r="B52" t="s">
        <v>557</v>
      </c>
      <c r="C52" t="s">
        <v>13</v>
      </c>
      <c r="D52">
        <v>1.0809035511377983E-2</v>
      </c>
      <c r="E52" t="s">
        <v>6</v>
      </c>
      <c r="G52" t="s">
        <v>558</v>
      </c>
      <c r="H52" t="s">
        <v>13</v>
      </c>
      <c r="I52">
        <v>5.9627037251792366E-2</v>
      </c>
      <c r="J52" t="s">
        <v>6</v>
      </c>
    </row>
    <row r="53" spans="2:10" x14ac:dyDescent="0.45">
      <c r="B53" t="s">
        <v>557</v>
      </c>
      <c r="C53" t="s">
        <v>14</v>
      </c>
      <c r="D53">
        <v>3.6705678391373495E-3</v>
      </c>
      <c r="E53" t="s">
        <v>6</v>
      </c>
      <c r="G53" t="s">
        <v>558</v>
      </c>
      <c r="H53" t="s">
        <v>14</v>
      </c>
      <c r="I53">
        <v>5.2310323282364492E-2</v>
      </c>
      <c r="J53" t="s">
        <v>6</v>
      </c>
    </row>
    <row r="54" spans="2:10" x14ac:dyDescent="0.45">
      <c r="B54" t="s">
        <v>557</v>
      </c>
      <c r="C54" t="s">
        <v>15</v>
      </c>
      <c r="D54">
        <v>0.32566754781643159</v>
      </c>
      <c r="E54" t="s">
        <v>6</v>
      </c>
      <c r="G54" t="s">
        <v>558</v>
      </c>
      <c r="H54" t="s">
        <v>15</v>
      </c>
      <c r="I54">
        <v>5.7659234762958152E-2</v>
      </c>
      <c r="J54" t="s">
        <v>6</v>
      </c>
    </row>
    <row r="55" spans="2:10" x14ac:dyDescent="0.45">
      <c r="B55" t="s">
        <v>557</v>
      </c>
      <c r="C55" t="s">
        <v>16</v>
      </c>
      <c r="D55">
        <v>1.9218217185392419E-2</v>
      </c>
      <c r="E55" t="s">
        <v>6</v>
      </c>
      <c r="G55" t="s">
        <v>558</v>
      </c>
      <c r="H55" t="s">
        <v>16</v>
      </c>
      <c r="I55">
        <v>4.1947516819763359E-2</v>
      </c>
      <c r="J55" t="s">
        <v>6</v>
      </c>
    </row>
    <row r="56" spans="2:10" x14ac:dyDescent="0.45">
      <c r="B56" t="s">
        <v>557</v>
      </c>
      <c r="C56" t="s">
        <v>17</v>
      </c>
      <c r="D56">
        <v>9.3974432922971105E-5</v>
      </c>
      <c r="E56" t="s">
        <v>6</v>
      </c>
      <c r="G56" t="s">
        <v>558</v>
      </c>
      <c r="H56" t="s">
        <v>17</v>
      </c>
      <c r="I56">
        <v>0.10671745651758931</v>
      </c>
      <c r="J56" t="s">
        <v>6</v>
      </c>
    </row>
    <row r="57" spans="2:10" x14ac:dyDescent="0.45">
      <c r="B57" t="s">
        <v>557</v>
      </c>
      <c r="C57" t="s">
        <v>18</v>
      </c>
      <c r="D57">
        <v>0.19692988359635866</v>
      </c>
      <c r="E57" t="s">
        <v>6</v>
      </c>
      <c r="G57" t="s">
        <v>558</v>
      </c>
      <c r="H57" t="s">
        <v>18</v>
      </c>
      <c r="I57">
        <v>0.12976946777170939</v>
      </c>
      <c r="J57" t="s">
        <v>6</v>
      </c>
    </row>
    <row r="58" spans="2:10" x14ac:dyDescent="0.45">
      <c r="B58" t="s">
        <v>557</v>
      </c>
      <c r="C58" t="s">
        <v>19</v>
      </c>
      <c r="D58">
        <v>2.4491083376361527E-3</v>
      </c>
      <c r="E58" t="s">
        <v>6</v>
      </c>
      <c r="G58" t="s">
        <v>558</v>
      </c>
      <c r="H58" t="s">
        <v>19</v>
      </c>
      <c r="I58">
        <v>7.8818807168393915E-2</v>
      </c>
      <c r="J58" t="s">
        <v>6</v>
      </c>
    </row>
    <row r="59" spans="2:10" x14ac:dyDescent="0.45">
      <c r="B59" t="s">
        <v>559</v>
      </c>
      <c r="C59" t="s">
        <v>5</v>
      </c>
      <c r="D59">
        <v>0</v>
      </c>
      <c r="E59" t="s">
        <v>6</v>
      </c>
      <c r="G59" t="s">
        <v>560</v>
      </c>
      <c r="H59" t="s">
        <v>5</v>
      </c>
      <c r="I59">
        <v>0.10331827961440684</v>
      </c>
      <c r="J59" t="s">
        <v>6</v>
      </c>
    </row>
    <row r="60" spans="2:10" x14ac:dyDescent="0.45">
      <c r="B60" t="s">
        <v>559</v>
      </c>
      <c r="C60" t="s">
        <v>9</v>
      </c>
      <c r="D60">
        <v>0.2019338215799189</v>
      </c>
      <c r="E60" t="s">
        <v>6</v>
      </c>
      <c r="G60" t="s">
        <v>560</v>
      </c>
      <c r="H60" t="s">
        <v>9</v>
      </c>
      <c r="I60">
        <v>0.12549823137716251</v>
      </c>
      <c r="J60" t="s">
        <v>6</v>
      </c>
    </row>
    <row r="61" spans="2:10" x14ac:dyDescent="0.45">
      <c r="B61" t="s">
        <v>559</v>
      </c>
      <c r="C61" t="s">
        <v>10</v>
      </c>
      <c r="D61">
        <v>6.8416473592066915E-4</v>
      </c>
      <c r="E61" t="s">
        <v>6</v>
      </c>
      <c r="G61" t="s">
        <v>560</v>
      </c>
      <c r="H61" t="s">
        <v>10</v>
      </c>
      <c r="I61">
        <v>9.0645902880471099E-2</v>
      </c>
      <c r="J61" t="s">
        <v>6</v>
      </c>
    </row>
    <row r="62" spans="2:10" x14ac:dyDescent="0.45">
      <c r="B62" t="s">
        <v>559</v>
      </c>
      <c r="C62" t="s">
        <v>11</v>
      </c>
      <c r="D62">
        <v>2.7911633902787734E-3</v>
      </c>
      <c r="E62" t="s">
        <v>6</v>
      </c>
      <c r="G62" t="s">
        <v>560</v>
      </c>
      <c r="H62" t="s">
        <v>11</v>
      </c>
      <c r="I62">
        <v>7.2546657790828306E-2</v>
      </c>
      <c r="J62" t="s">
        <v>6</v>
      </c>
    </row>
    <row r="63" spans="2:10" x14ac:dyDescent="0.45">
      <c r="B63" t="s">
        <v>559</v>
      </c>
      <c r="C63" t="s">
        <v>12</v>
      </c>
      <c r="D63">
        <v>0.26407983607219054</v>
      </c>
      <c r="E63" t="s">
        <v>6</v>
      </c>
      <c r="G63" t="s">
        <v>560</v>
      </c>
      <c r="H63" t="s">
        <v>12</v>
      </c>
      <c r="I63">
        <v>9.3061009246005133E-2</v>
      </c>
      <c r="J63" t="s">
        <v>6</v>
      </c>
    </row>
    <row r="64" spans="2:10" x14ac:dyDescent="0.45">
      <c r="B64" t="s">
        <v>559</v>
      </c>
      <c r="C64" t="s">
        <v>13</v>
      </c>
      <c r="D64">
        <v>8.5532617091956791E-3</v>
      </c>
      <c r="E64" t="s">
        <v>6</v>
      </c>
      <c r="G64" t="s">
        <v>560</v>
      </c>
      <c r="H64" t="s">
        <v>13</v>
      </c>
      <c r="I64">
        <v>5.9306784006586601E-2</v>
      </c>
      <c r="J64" t="s">
        <v>6</v>
      </c>
    </row>
    <row r="65" spans="2:10" x14ac:dyDescent="0.45">
      <c r="B65" t="s">
        <v>559</v>
      </c>
      <c r="C65" t="s">
        <v>14</v>
      </c>
      <c r="D65">
        <v>5.6737667522823191E-3</v>
      </c>
      <c r="E65" t="s">
        <v>6</v>
      </c>
      <c r="G65" t="s">
        <v>560</v>
      </c>
      <c r="H65" t="s">
        <v>14</v>
      </c>
      <c r="I65">
        <v>4.469912730957578E-2</v>
      </c>
      <c r="J65" t="s">
        <v>6</v>
      </c>
    </row>
    <row r="66" spans="2:10" x14ac:dyDescent="0.45">
      <c r="B66" t="s">
        <v>559</v>
      </c>
      <c r="C66" t="s">
        <v>15</v>
      </c>
      <c r="D66">
        <v>0.30101446876177418</v>
      </c>
      <c r="E66" t="s">
        <v>6</v>
      </c>
      <c r="G66" t="s">
        <v>560</v>
      </c>
      <c r="H66" t="s">
        <v>15</v>
      </c>
      <c r="I66">
        <v>5.8071392551635986E-2</v>
      </c>
      <c r="J66" t="s">
        <v>6</v>
      </c>
    </row>
    <row r="67" spans="2:10" x14ac:dyDescent="0.45">
      <c r="B67" t="s">
        <v>559</v>
      </c>
      <c r="C67" t="s">
        <v>16</v>
      </c>
      <c r="D67">
        <v>1.3912969728895306E-2</v>
      </c>
      <c r="E67" t="s">
        <v>6</v>
      </c>
      <c r="G67" t="s">
        <v>560</v>
      </c>
      <c r="H67" t="s">
        <v>16</v>
      </c>
      <c r="I67">
        <v>4.0416431034075162E-2</v>
      </c>
      <c r="J67" t="s">
        <v>6</v>
      </c>
    </row>
    <row r="68" spans="2:10" x14ac:dyDescent="0.45">
      <c r="B68" t="s">
        <v>559</v>
      </c>
      <c r="C68" t="s">
        <v>17</v>
      </c>
      <c r="D68">
        <v>3.7179754532441252E-4</v>
      </c>
      <c r="E68" t="s">
        <v>6</v>
      </c>
      <c r="G68" t="s">
        <v>560</v>
      </c>
      <c r="H68" t="s">
        <v>17</v>
      </c>
      <c r="I68">
        <v>0.10212845149317502</v>
      </c>
      <c r="J68" t="s">
        <v>6</v>
      </c>
    </row>
    <row r="69" spans="2:10" x14ac:dyDescent="0.45">
      <c r="B69" t="s">
        <v>559</v>
      </c>
      <c r="C69" t="s">
        <v>18</v>
      </c>
      <c r="D69">
        <v>0.1991659814899148</v>
      </c>
      <c r="E69" t="s">
        <v>6</v>
      </c>
      <c r="G69" t="s">
        <v>560</v>
      </c>
      <c r="H69" t="s">
        <v>18</v>
      </c>
      <c r="I69">
        <v>0.13215169590097972</v>
      </c>
      <c r="J69" t="s">
        <v>6</v>
      </c>
    </row>
    <row r="70" spans="2:10" x14ac:dyDescent="0.45">
      <c r="B70" t="s">
        <v>559</v>
      </c>
      <c r="C70" t="s">
        <v>19</v>
      </c>
      <c r="D70">
        <v>1.8187682343049814E-3</v>
      </c>
      <c r="E70" t="s">
        <v>6</v>
      </c>
      <c r="G70" t="s">
        <v>560</v>
      </c>
      <c r="H70" t="s">
        <v>19</v>
      </c>
      <c r="I70">
        <v>7.8156036795097833E-2</v>
      </c>
      <c r="J70" t="s">
        <v>6</v>
      </c>
    </row>
    <row r="71" spans="2:10" x14ac:dyDescent="0.45">
      <c r="B71" t="s">
        <v>561</v>
      </c>
      <c r="C71" t="s">
        <v>5</v>
      </c>
      <c r="D71">
        <v>0</v>
      </c>
      <c r="E71" t="s">
        <v>6</v>
      </c>
      <c r="G71" t="s">
        <v>562</v>
      </c>
      <c r="H71" t="s">
        <v>5</v>
      </c>
      <c r="I71">
        <v>0.1014841360967393</v>
      </c>
      <c r="J71" t="s">
        <v>6</v>
      </c>
    </row>
    <row r="72" spans="2:10" x14ac:dyDescent="0.45">
      <c r="B72" t="s">
        <v>561</v>
      </c>
      <c r="C72" t="s">
        <v>9</v>
      </c>
      <c r="D72">
        <v>0.19809053937345603</v>
      </c>
      <c r="E72" t="s">
        <v>6</v>
      </c>
      <c r="G72" t="s">
        <v>562</v>
      </c>
      <c r="H72" t="s">
        <v>9</v>
      </c>
      <c r="I72">
        <v>0.11738002682407568</v>
      </c>
      <c r="J72" t="s">
        <v>6</v>
      </c>
    </row>
    <row r="73" spans="2:10" x14ac:dyDescent="0.45">
      <c r="B73" t="s">
        <v>561</v>
      </c>
      <c r="C73" t="s">
        <v>10</v>
      </c>
      <c r="D73">
        <v>8.8502178494084946E-4</v>
      </c>
      <c r="E73" t="s">
        <v>6</v>
      </c>
      <c r="G73" t="s">
        <v>562</v>
      </c>
      <c r="H73" t="s">
        <v>10</v>
      </c>
      <c r="I73">
        <v>8.7143415219372022E-2</v>
      </c>
      <c r="J73" t="s">
        <v>6</v>
      </c>
    </row>
    <row r="74" spans="2:10" x14ac:dyDescent="0.45">
      <c r="B74" t="s">
        <v>561</v>
      </c>
      <c r="C74" t="s">
        <v>11</v>
      </c>
      <c r="D74">
        <v>2.4965876664959125E-3</v>
      </c>
      <c r="E74" t="s">
        <v>6</v>
      </c>
      <c r="G74" t="s">
        <v>562</v>
      </c>
      <c r="H74" t="s">
        <v>11</v>
      </c>
      <c r="I74">
        <v>7.9614513601437231E-2</v>
      </c>
      <c r="J74" t="s">
        <v>6</v>
      </c>
    </row>
    <row r="75" spans="2:10" x14ac:dyDescent="0.45">
      <c r="B75" t="s">
        <v>561</v>
      </c>
      <c r="C75" t="s">
        <v>12</v>
      </c>
      <c r="D75">
        <v>0.26952921808080837</v>
      </c>
      <c r="E75" t="s">
        <v>6</v>
      </c>
      <c r="G75" t="s">
        <v>562</v>
      </c>
      <c r="H75" t="s">
        <v>12</v>
      </c>
      <c r="I75">
        <v>9.7992011705114554E-2</v>
      </c>
      <c r="J75" t="s">
        <v>6</v>
      </c>
    </row>
    <row r="76" spans="2:10" x14ac:dyDescent="0.45">
      <c r="B76" t="s">
        <v>561</v>
      </c>
      <c r="C76" t="s">
        <v>13</v>
      </c>
      <c r="D76">
        <v>9.8342812626060257E-3</v>
      </c>
      <c r="E76" t="s">
        <v>6</v>
      </c>
      <c r="G76" t="s">
        <v>562</v>
      </c>
      <c r="H76" t="s">
        <v>13</v>
      </c>
      <c r="I76">
        <v>6.8384483969041412E-2</v>
      </c>
      <c r="J76" t="s">
        <v>6</v>
      </c>
    </row>
    <row r="77" spans="2:10" x14ac:dyDescent="0.45">
      <c r="B77" t="s">
        <v>561</v>
      </c>
      <c r="C77" t="s">
        <v>14</v>
      </c>
      <c r="D77">
        <v>4.9837887469083818E-3</v>
      </c>
      <c r="E77" t="s">
        <v>6</v>
      </c>
      <c r="G77" t="s">
        <v>562</v>
      </c>
      <c r="H77" t="s">
        <v>14</v>
      </c>
      <c r="I77">
        <v>5.538526440518788E-2</v>
      </c>
      <c r="J77" t="s">
        <v>6</v>
      </c>
    </row>
    <row r="78" spans="2:10" x14ac:dyDescent="0.45">
      <c r="B78" t="s">
        <v>561</v>
      </c>
      <c r="C78" t="s">
        <v>15</v>
      </c>
      <c r="D78">
        <v>0.30680380522346123</v>
      </c>
      <c r="E78" t="s">
        <v>6</v>
      </c>
      <c r="G78" t="s">
        <v>562</v>
      </c>
      <c r="H78" t="s">
        <v>15</v>
      </c>
      <c r="I78">
        <v>6.428379789448635E-2</v>
      </c>
      <c r="J78" t="s">
        <v>6</v>
      </c>
    </row>
    <row r="79" spans="2:10" x14ac:dyDescent="0.45">
      <c r="B79" t="s">
        <v>561</v>
      </c>
      <c r="C79" t="s">
        <v>16</v>
      </c>
      <c r="D79">
        <v>1.5411438354639987E-2</v>
      </c>
      <c r="E79" t="s">
        <v>6</v>
      </c>
      <c r="G79" t="s">
        <v>562</v>
      </c>
      <c r="H79" t="s">
        <v>16</v>
      </c>
      <c r="I79">
        <v>4.3382833041486303E-2</v>
      </c>
      <c r="J79" t="s">
        <v>6</v>
      </c>
    </row>
    <row r="80" spans="2:10" x14ac:dyDescent="0.45">
      <c r="B80" t="s">
        <v>561</v>
      </c>
      <c r="C80" t="s">
        <v>17</v>
      </c>
      <c r="D80">
        <v>2.7304834931322642E-4</v>
      </c>
      <c r="E80" t="s">
        <v>6</v>
      </c>
      <c r="G80" t="s">
        <v>562</v>
      </c>
      <c r="H80" t="s">
        <v>17</v>
      </c>
      <c r="I80">
        <v>8.8987703762601927E-2</v>
      </c>
      <c r="J80" t="s">
        <v>6</v>
      </c>
    </row>
    <row r="81" spans="2:10" x14ac:dyDescent="0.45">
      <c r="B81" t="s">
        <v>561</v>
      </c>
      <c r="C81" t="s">
        <v>18</v>
      </c>
      <c r="D81">
        <v>0.18969069817871201</v>
      </c>
      <c r="E81" t="s">
        <v>6</v>
      </c>
      <c r="G81" t="s">
        <v>562</v>
      </c>
      <c r="H81" t="s">
        <v>18</v>
      </c>
      <c r="I81">
        <v>0.11832231925404293</v>
      </c>
      <c r="J81" t="s">
        <v>6</v>
      </c>
    </row>
    <row r="82" spans="2:10" x14ac:dyDescent="0.45">
      <c r="B82" t="s">
        <v>561</v>
      </c>
      <c r="C82" t="s">
        <v>19</v>
      </c>
      <c r="D82">
        <v>2.0015729786572226E-3</v>
      </c>
      <c r="E82" t="s">
        <v>6</v>
      </c>
      <c r="G82" t="s">
        <v>562</v>
      </c>
      <c r="H82" t="s">
        <v>19</v>
      </c>
      <c r="I82">
        <v>7.7639494226414418E-2</v>
      </c>
      <c r="J82" t="s">
        <v>6</v>
      </c>
    </row>
    <row r="83" spans="2:10" x14ac:dyDescent="0.45">
      <c r="B83" t="s">
        <v>563</v>
      </c>
      <c r="C83" t="s">
        <v>5</v>
      </c>
      <c r="D83">
        <v>0</v>
      </c>
      <c r="E83" t="s">
        <v>6</v>
      </c>
    </row>
    <row r="84" spans="2:10" x14ac:dyDescent="0.45">
      <c r="B84" t="s">
        <v>563</v>
      </c>
      <c r="C84" t="s">
        <v>9</v>
      </c>
      <c r="D84">
        <v>0.19568247147929999</v>
      </c>
      <c r="E84" t="s">
        <v>6</v>
      </c>
    </row>
    <row r="85" spans="2:10" x14ac:dyDescent="0.45">
      <c r="B85" t="s">
        <v>563</v>
      </c>
      <c r="C85" t="s">
        <v>10</v>
      </c>
      <c r="D85">
        <v>6.4362271790375668E-4</v>
      </c>
      <c r="E85" t="s">
        <v>6</v>
      </c>
    </row>
    <row r="86" spans="2:10" x14ac:dyDescent="0.45">
      <c r="B86" t="s">
        <v>563</v>
      </c>
      <c r="C86" t="s">
        <v>11</v>
      </c>
      <c r="D86">
        <v>3.2354216678013503E-3</v>
      </c>
      <c r="E86" t="s">
        <v>6</v>
      </c>
    </row>
    <row r="87" spans="2:10" x14ac:dyDescent="0.45">
      <c r="B87" t="s">
        <v>563</v>
      </c>
      <c r="C87" t="s">
        <v>12</v>
      </c>
      <c r="D87">
        <v>0.28698813871686674</v>
      </c>
      <c r="E87" t="s">
        <v>6</v>
      </c>
    </row>
    <row r="88" spans="2:10" x14ac:dyDescent="0.45">
      <c r="B88" t="s">
        <v>563</v>
      </c>
      <c r="C88" t="s">
        <v>13</v>
      </c>
      <c r="D88">
        <v>9.4335572874632463E-3</v>
      </c>
      <c r="E88" t="s">
        <v>6</v>
      </c>
    </row>
    <row r="89" spans="2:10" x14ac:dyDescent="0.45">
      <c r="B89" t="s">
        <v>563</v>
      </c>
      <c r="C89" t="s">
        <v>14</v>
      </c>
      <c r="D89">
        <v>5.5578014045359276E-3</v>
      </c>
      <c r="E89" t="s">
        <v>6</v>
      </c>
    </row>
    <row r="90" spans="2:10" x14ac:dyDescent="0.45">
      <c r="B90" t="s">
        <v>563</v>
      </c>
      <c r="C90" t="s">
        <v>15</v>
      </c>
      <c r="D90">
        <v>0.27908043371000091</v>
      </c>
      <c r="E90" t="s">
        <v>6</v>
      </c>
    </row>
    <row r="91" spans="2:10" x14ac:dyDescent="0.45">
      <c r="B91" t="s">
        <v>563</v>
      </c>
      <c r="C91" t="s">
        <v>16</v>
      </c>
      <c r="D91">
        <v>1.2698323300872645E-2</v>
      </c>
      <c r="E91" t="s">
        <v>6</v>
      </c>
    </row>
    <row r="92" spans="2:10" x14ac:dyDescent="0.45">
      <c r="B92" t="s">
        <v>563</v>
      </c>
      <c r="C92" t="s">
        <v>17</v>
      </c>
      <c r="D92">
        <v>3.5471361220229606E-4</v>
      </c>
      <c r="E92" t="s">
        <v>6</v>
      </c>
    </row>
    <row r="93" spans="2:10" x14ac:dyDescent="0.45">
      <c r="B93" t="s">
        <v>563</v>
      </c>
      <c r="C93" t="s">
        <v>18</v>
      </c>
      <c r="D93">
        <v>0.20462173520771146</v>
      </c>
      <c r="E93" t="s">
        <v>6</v>
      </c>
    </row>
    <row r="94" spans="2:10" x14ac:dyDescent="0.45">
      <c r="B94" t="s">
        <v>563</v>
      </c>
      <c r="C94" t="s">
        <v>19</v>
      </c>
      <c r="D94">
        <v>1.7037808953425037E-3</v>
      </c>
      <c r="E94" t="s">
        <v>6</v>
      </c>
    </row>
    <row r="95" spans="2:10" x14ac:dyDescent="0.45">
      <c r="B95" t="s">
        <v>564</v>
      </c>
      <c r="C95" t="s">
        <v>5</v>
      </c>
      <c r="D95">
        <v>0</v>
      </c>
      <c r="E95" t="s">
        <v>6</v>
      </c>
    </row>
    <row r="96" spans="2:10" x14ac:dyDescent="0.45">
      <c r="B96" t="s">
        <v>564</v>
      </c>
      <c r="C96" t="s">
        <v>9</v>
      </c>
      <c r="D96">
        <v>0.19151254686553834</v>
      </c>
      <c r="E96" t="s">
        <v>6</v>
      </c>
    </row>
    <row r="97" spans="2:5" x14ac:dyDescent="0.45">
      <c r="B97" t="s">
        <v>564</v>
      </c>
      <c r="C97" t="s">
        <v>10</v>
      </c>
      <c r="D97">
        <v>6.1198616960497353E-4</v>
      </c>
      <c r="E97" t="s">
        <v>6</v>
      </c>
    </row>
    <row r="98" spans="2:5" x14ac:dyDescent="0.45">
      <c r="B98" t="s">
        <v>564</v>
      </c>
      <c r="C98" t="s">
        <v>11</v>
      </c>
      <c r="D98">
        <v>2.5866553952966047E-3</v>
      </c>
      <c r="E98" t="s">
        <v>6</v>
      </c>
    </row>
    <row r="99" spans="2:5" x14ac:dyDescent="0.45">
      <c r="B99" t="s">
        <v>564</v>
      </c>
      <c r="C99" t="s">
        <v>12</v>
      </c>
      <c r="D99">
        <v>0.28043026775034791</v>
      </c>
      <c r="E99" t="s">
        <v>6</v>
      </c>
    </row>
    <row r="100" spans="2:5" x14ac:dyDescent="0.45">
      <c r="B100" t="s">
        <v>564</v>
      </c>
      <c r="C100" t="s">
        <v>13</v>
      </c>
      <c r="D100">
        <v>8.6692436301096243E-3</v>
      </c>
      <c r="E100" t="s">
        <v>6</v>
      </c>
    </row>
    <row r="101" spans="2:5" x14ac:dyDescent="0.45">
      <c r="B101" t="s">
        <v>564</v>
      </c>
      <c r="C101" t="s">
        <v>14</v>
      </c>
      <c r="D101">
        <v>5.3100525008207798E-3</v>
      </c>
      <c r="E101" t="s">
        <v>6</v>
      </c>
    </row>
    <row r="102" spans="2:5" x14ac:dyDescent="0.45">
      <c r="B102" t="s">
        <v>564</v>
      </c>
      <c r="C102" t="s">
        <v>15</v>
      </c>
      <c r="D102">
        <v>0.29518690880373311</v>
      </c>
      <c r="E102" t="s">
        <v>6</v>
      </c>
    </row>
    <row r="103" spans="2:5" x14ac:dyDescent="0.45">
      <c r="B103" t="s">
        <v>564</v>
      </c>
      <c r="C103" t="s">
        <v>16</v>
      </c>
      <c r="D103">
        <v>1.3920633259187231E-2</v>
      </c>
      <c r="E103" t="s">
        <v>6</v>
      </c>
    </row>
    <row r="104" spans="2:5" x14ac:dyDescent="0.45">
      <c r="B104" t="s">
        <v>564</v>
      </c>
      <c r="C104" t="s">
        <v>17</v>
      </c>
      <c r="D104">
        <v>3.0115027485514627E-4</v>
      </c>
      <c r="E104" t="s">
        <v>6</v>
      </c>
    </row>
    <row r="105" spans="2:5" x14ac:dyDescent="0.45">
      <c r="B105" t="s">
        <v>564</v>
      </c>
      <c r="C105" t="s">
        <v>18</v>
      </c>
      <c r="D105">
        <v>0.19975196127756897</v>
      </c>
      <c r="E105" t="s">
        <v>6</v>
      </c>
    </row>
    <row r="106" spans="2:5" x14ac:dyDescent="0.45">
      <c r="B106" t="s">
        <v>564</v>
      </c>
      <c r="C106" t="s">
        <v>19</v>
      </c>
      <c r="D106">
        <v>1.7185940729365903E-3</v>
      </c>
      <c r="E106" t="s">
        <v>6</v>
      </c>
    </row>
    <row r="107" spans="2:5" x14ac:dyDescent="0.45">
      <c r="B107" t="s">
        <v>565</v>
      </c>
      <c r="C107" t="s">
        <v>5</v>
      </c>
      <c r="D107">
        <v>0</v>
      </c>
      <c r="E107" t="s">
        <v>6</v>
      </c>
    </row>
    <row r="108" spans="2:5" x14ac:dyDescent="0.45">
      <c r="B108" t="s">
        <v>565</v>
      </c>
      <c r="C108" t="s">
        <v>9</v>
      </c>
      <c r="D108">
        <v>0.19187906431211049</v>
      </c>
      <c r="E108" t="s">
        <v>6</v>
      </c>
    </row>
    <row r="109" spans="2:5" x14ac:dyDescent="0.45">
      <c r="B109" t="s">
        <v>565</v>
      </c>
      <c r="C109" t="s">
        <v>10</v>
      </c>
      <c r="D109">
        <v>1.4466099475182786E-3</v>
      </c>
      <c r="E109" t="s">
        <v>6</v>
      </c>
    </row>
    <row r="110" spans="2:5" x14ac:dyDescent="0.45">
      <c r="B110" t="s">
        <v>565</v>
      </c>
      <c r="C110" t="s">
        <v>11</v>
      </c>
      <c r="D110">
        <v>1.5201348444900148E-3</v>
      </c>
      <c r="E110" t="s">
        <v>6</v>
      </c>
    </row>
    <row r="111" spans="2:5" x14ac:dyDescent="0.45">
      <c r="B111" t="s">
        <v>565</v>
      </c>
      <c r="C111" t="s">
        <v>12</v>
      </c>
      <c r="D111">
        <v>0.26539991683979786</v>
      </c>
      <c r="E111" t="s">
        <v>6</v>
      </c>
    </row>
    <row r="112" spans="2:5" x14ac:dyDescent="0.45">
      <c r="B112" t="s">
        <v>565</v>
      </c>
      <c r="C112" t="s">
        <v>13</v>
      </c>
      <c r="D112">
        <v>1.0753752035110867E-2</v>
      </c>
      <c r="E112" t="s">
        <v>6</v>
      </c>
    </row>
    <row r="113" spans="2:5" x14ac:dyDescent="0.45">
      <c r="B113" t="s">
        <v>565</v>
      </c>
      <c r="C113" t="s">
        <v>14</v>
      </c>
      <c r="D113">
        <v>3.4549959617672663E-3</v>
      </c>
      <c r="E113" t="s">
        <v>6</v>
      </c>
    </row>
    <row r="114" spans="2:5" x14ac:dyDescent="0.45">
      <c r="B114" t="s">
        <v>565</v>
      </c>
      <c r="C114" t="s">
        <v>15</v>
      </c>
      <c r="D114">
        <v>0.30593310877005214</v>
      </c>
      <c r="E114" t="s">
        <v>6</v>
      </c>
    </row>
    <row r="115" spans="2:5" x14ac:dyDescent="0.45">
      <c r="B115" t="s">
        <v>565</v>
      </c>
      <c r="C115" t="s">
        <v>16</v>
      </c>
      <c r="D115">
        <v>1.7600766961084383E-2</v>
      </c>
      <c r="E115" t="s">
        <v>6</v>
      </c>
    </row>
    <row r="116" spans="2:5" x14ac:dyDescent="0.45">
      <c r="B116" t="s">
        <v>565</v>
      </c>
      <c r="C116" t="s">
        <v>17</v>
      </c>
      <c r="D116">
        <v>8.7453649637711698E-5</v>
      </c>
      <c r="E116" t="s">
        <v>6</v>
      </c>
    </row>
    <row r="117" spans="2:5" x14ac:dyDescent="0.45">
      <c r="B117" t="s">
        <v>565</v>
      </c>
      <c r="C117" t="s">
        <v>18</v>
      </c>
      <c r="D117">
        <v>0.19950112449639834</v>
      </c>
      <c r="E117" t="s">
        <v>6</v>
      </c>
    </row>
    <row r="118" spans="2:5" x14ac:dyDescent="0.45">
      <c r="B118" t="s">
        <v>565</v>
      </c>
      <c r="C118" t="s">
        <v>19</v>
      </c>
      <c r="D118">
        <v>2.4230721820314351E-3</v>
      </c>
      <c r="E118" t="s">
        <v>6</v>
      </c>
    </row>
    <row r="119" spans="2:5" x14ac:dyDescent="0.45">
      <c r="B119" t="s">
        <v>566</v>
      </c>
      <c r="C119" t="s">
        <v>5</v>
      </c>
      <c r="D119">
        <v>0</v>
      </c>
      <c r="E119" t="s">
        <v>6</v>
      </c>
    </row>
    <row r="120" spans="2:5" x14ac:dyDescent="0.45">
      <c r="B120" t="s">
        <v>566</v>
      </c>
      <c r="C120" t="s">
        <v>9</v>
      </c>
      <c r="D120">
        <v>0.1927530230203082</v>
      </c>
      <c r="E120" t="s">
        <v>6</v>
      </c>
    </row>
    <row r="121" spans="2:5" x14ac:dyDescent="0.45">
      <c r="B121" t="s">
        <v>566</v>
      </c>
      <c r="C121" t="s">
        <v>10</v>
      </c>
      <c r="D121">
        <v>9.8192041412919519E-4</v>
      </c>
      <c r="E121" t="s">
        <v>6</v>
      </c>
    </row>
    <row r="122" spans="2:5" x14ac:dyDescent="0.45">
      <c r="B122" t="s">
        <v>566</v>
      </c>
      <c r="C122" t="s">
        <v>11</v>
      </c>
      <c r="D122">
        <v>2.2493202126310495E-3</v>
      </c>
      <c r="E122" t="s">
        <v>6</v>
      </c>
    </row>
    <row r="123" spans="2:5" x14ac:dyDescent="0.45">
      <c r="B123" t="s">
        <v>566</v>
      </c>
      <c r="C123" t="s">
        <v>12</v>
      </c>
      <c r="D123">
        <v>0.28084825452147683</v>
      </c>
      <c r="E123" t="s">
        <v>6</v>
      </c>
    </row>
    <row r="124" spans="2:5" x14ac:dyDescent="0.45">
      <c r="B124" t="s">
        <v>566</v>
      </c>
      <c r="C124" t="s">
        <v>13</v>
      </c>
      <c r="D124">
        <v>1.0889392320496115E-2</v>
      </c>
      <c r="E124" t="s">
        <v>6</v>
      </c>
    </row>
    <row r="125" spans="2:5" x14ac:dyDescent="0.45">
      <c r="B125" t="s">
        <v>566</v>
      </c>
      <c r="C125" t="s">
        <v>14</v>
      </c>
      <c r="D125">
        <v>4.1148476584433871E-3</v>
      </c>
      <c r="E125" t="s">
        <v>6</v>
      </c>
    </row>
    <row r="126" spans="2:5" x14ac:dyDescent="0.45">
      <c r="B126" t="s">
        <v>566</v>
      </c>
      <c r="C126" t="s">
        <v>15</v>
      </c>
      <c r="D126">
        <v>0.28734768596482463</v>
      </c>
      <c r="E126" t="s">
        <v>6</v>
      </c>
    </row>
    <row r="127" spans="2:5" x14ac:dyDescent="0.45">
      <c r="B127" t="s">
        <v>566</v>
      </c>
      <c r="C127" t="s">
        <v>16</v>
      </c>
      <c r="D127">
        <v>1.58514534549314E-2</v>
      </c>
      <c r="E127" t="s">
        <v>6</v>
      </c>
    </row>
    <row r="128" spans="2:5" x14ac:dyDescent="0.45">
      <c r="B128" t="s">
        <v>566</v>
      </c>
      <c r="C128" t="s">
        <v>17</v>
      </c>
      <c r="D128">
        <v>1.5476796409002815E-4</v>
      </c>
      <c r="E128" t="s">
        <v>6</v>
      </c>
    </row>
    <row r="129" spans="2:5" x14ac:dyDescent="0.45">
      <c r="B129" t="s">
        <v>566</v>
      </c>
      <c r="C129" t="s">
        <v>18</v>
      </c>
      <c r="D129">
        <v>0.20276146801941347</v>
      </c>
      <c r="E129" t="s">
        <v>6</v>
      </c>
    </row>
    <row r="130" spans="2:5" x14ac:dyDescent="0.45">
      <c r="B130" t="s">
        <v>566</v>
      </c>
      <c r="C130" t="s">
        <v>19</v>
      </c>
      <c r="D130">
        <v>2.0478664492548058E-3</v>
      </c>
      <c r="E130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A243-3081-4FD6-AF1B-EE3C11BB1E1B}">
  <dimension ref="B9:CI2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region=CHE")</f>
        <v>~TFM_DINS-TSL: attribute=FLO_EMIS; other_indexes=ACT; region=CHE</v>
      </c>
      <c r="Q9" t="str">
        <f>IF(A11="x","DeActivated","~TFM_DINS-TSL: attribute=FLO_SHAR; limtype=FX; region=CHE")</f>
        <v>~TFM_DINS-TSL: attribute=FLO_SHAR; limtype=FX; region=CHE</v>
      </c>
      <c r="AF9" t="str">
        <f>IF(A11="x","DeActivated","~TFM_DINS-TSL: attribute=FLO_SHAR; limtype=FX; region=CHE")</f>
        <v>~TFM_DINS-TSL: attribute=FLO_SHAR; limtype=FX; region=CHE</v>
      </c>
      <c r="AU9" t="str">
        <f>IF(A11="x","DeActivated","~TFM_DINS-TSL: attribute=FLO_SHAR; limtype=FX; region=CHE")</f>
        <v>~TFM_DINS-TSL: attribute=FLO_SHAR; limtype=FX; region=CHE</v>
      </c>
      <c r="BJ9" t="str">
        <f>IF(A11="x","DeActivated","~TFM_INS: region=CHE")</f>
        <v>~TFM_INS: region=CHE</v>
      </c>
      <c r="BR9" t="str">
        <f>IF(A11="x","DeActivated","~TFM_DINS-TSL: attribute=NCAP_PKCNT; region=CHE")</f>
        <v>~TFM_DINS-TSL: attribute=NCAP_PKCNT; region=CHE</v>
      </c>
      <c r="CF9" t="str">
        <f>IF(A11="x","DeActivated","~TFM_DINS-AT: region=CHE")</f>
        <v>~TFM_DINS-AT: region=CHE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567</v>
      </c>
      <c r="C11" t="s">
        <v>99</v>
      </c>
      <c r="D11">
        <v>0</v>
      </c>
      <c r="E11">
        <v>0.36299980213656957</v>
      </c>
      <c r="F11">
        <v>0.96009150084133432</v>
      </c>
      <c r="G11">
        <v>0.87469104911568674</v>
      </c>
      <c r="H11">
        <v>0.24067872606928853</v>
      </c>
      <c r="I11">
        <v>0.72380562360764711</v>
      </c>
      <c r="J11">
        <v>0.79660233042114259</v>
      </c>
      <c r="K11">
        <v>0.19424918909181002</v>
      </c>
      <c r="L11">
        <v>0.63794339230505515</v>
      </c>
      <c r="M11">
        <v>0.96262275708063916</v>
      </c>
      <c r="N11">
        <v>0.31519169647406003</v>
      </c>
      <c r="O11">
        <v>0.90312004851491701</v>
      </c>
      <c r="Q11" t="s">
        <v>567</v>
      </c>
      <c r="R11" t="s">
        <v>100</v>
      </c>
      <c r="S11">
        <v>0</v>
      </c>
      <c r="T11">
        <v>0.21329925215498183</v>
      </c>
      <c r="U11">
        <v>0.53113521482487647</v>
      </c>
      <c r="V11">
        <v>0.78184013479508641</v>
      </c>
      <c r="W11">
        <v>0.12993635163238273</v>
      </c>
      <c r="X11">
        <v>0.48687776665454563</v>
      </c>
      <c r="Y11">
        <v>0.6616125009744781</v>
      </c>
      <c r="Z11">
        <v>9.709057215628876E-2</v>
      </c>
      <c r="AA11">
        <v>0.45775777427794501</v>
      </c>
      <c r="AB11">
        <v>0.92752733675434917</v>
      </c>
      <c r="AC11">
        <v>0.16330000397392966</v>
      </c>
      <c r="AD11">
        <v>0.44891521235163379</v>
      </c>
      <c r="AF11" t="s">
        <v>567</v>
      </c>
      <c r="AG11" t="s">
        <v>101</v>
      </c>
      <c r="AH11">
        <v>0</v>
      </c>
      <c r="AI11">
        <v>1.0929242154310161E-2</v>
      </c>
      <c r="AJ11">
        <v>0.39161939431707243</v>
      </c>
      <c r="AK11">
        <v>0</v>
      </c>
      <c r="AL11">
        <v>1.5417921077306846E-2</v>
      </c>
      <c r="AM11">
        <v>8.9900039940804963E-2</v>
      </c>
      <c r="AN11">
        <v>0</v>
      </c>
      <c r="AO11">
        <v>1.0304579614179517E-2</v>
      </c>
      <c r="AP11">
        <v>1.0508271528465478E-2</v>
      </c>
      <c r="AQ11">
        <v>0</v>
      </c>
      <c r="AR11">
        <v>2.4190847197621435E-2</v>
      </c>
      <c r="AS11">
        <v>0.37763276294551235</v>
      </c>
      <c r="AU11" t="s">
        <v>567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1.4073492842815406E-3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567</v>
      </c>
      <c r="BS11">
        <v>0</v>
      </c>
      <c r="BT11">
        <v>0.24926730036405981</v>
      </c>
      <c r="BU11">
        <v>2.1170379690159348E-3</v>
      </c>
      <c r="BV11">
        <v>3.5086632298625608E-3</v>
      </c>
      <c r="BW11">
        <v>0.36469791512247091</v>
      </c>
      <c r="BX11">
        <v>2.1927724989088536E-2</v>
      </c>
      <c r="BY11">
        <v>7.5730101338740852E-3</v>
      </c>
      <c r="BZ11">
        <v>0.41594377010067113</v>
      </c>
      <c r="CA11">
        <v>3.7339247901011015E-2</v>
      </c>
      <c r="CB11">
        <v>3.3452258412899145E-4</v>
      </c>
      <c r="CC11">
        <v>0.27138145634580885</v>
      </c>
      <c r="CD11">
        <v>4.6140332103116839E-3</v>
      </c>
      <c r="CF11" t="s">
        <v>567</v>
      </c>
      <c r="CG11" t="s">
        <v>108</v>
      </c>
      <c r="CH11" t="s">
        <v>109</v>
      </c>
      <c r="CI11">
        <v>0.3982920257797346</v>
      </c>
    </row>
    <row r="12" spans="2:87" x14ac:dyDescent="0.45">
      <c r="B12" t="s">
        <v>568</v>
      </c>
      <c r="C12" t="s">
        <v>99</v>
      </c>
      <c r="D12">
        <v>0</v>
      </c>
      <c r="E12">
        <v>0.36894936119197952</v>
      </c>
      <c r="F12">
        <v>0.9629629629629628</v>
      </c>
      <c r="G12">
        <v>0.86903316084898785</v>
      </c>
      <c r="H12">
        <v>0.24532632015876352</v>
      </c>
      <c r="I12">
        <v>0.73248950718580952</v>
      </c>
      <c r="J12">
        <v>0.79298551576817511</v>
      </c>
      <c r="K12">
        <v>0.20167656872613779</v>
      </c>
      <c r="L12">
        <v>0.64627374714560692</v>
      </c>
      <c r="M12">
        <v>0.95955844355790487</v>
      </c>
      <c r="N12">
        <v>0.32924594799642104</v>
      </c>
      <c r="O12">
        <v>0.90644557990322538</v>
      </c>
      <c r="Q12" t="s">
        <v>568</v>
      </c>
      <c r="R12" t="s">
        <v>100</v>
      </c>
      <c r="S12">
        <v>0</v>
      </c>
      <c r="T12">
        <v>0.21200136499191191</v>
      </c>
      <c r="U12">
        <v>0.58688082644455108</v>
      </c>
      <c r="V12">
        <v>0.77538533983644709</v>
      </c>
      <c r="W12">
        <v>0.13036509504731211</v>
      </c>
      <c r="X12">
        <v>0.53461073562488137</v>
      </c>
      <c r="Y12">
        <v>0.65586026585678869</v>
      </c>
      <c r="Z12">
        <v>0.10124044808043357</v>
      </c>
      <c r="AA12">
        <v>0.46873157040562347</v>
      </c>
      <c r="AB12">
        <v>0.92221464848233259</v>
      </c>
      <c r="AC12">
        <v>0.17773100961902058</v>
      </c>
      <c r="AD12">
        <v>0.40082827237674984</v>
      </c>
      <c r="AF12" t="s">
        <v>568</v>
      </c>
      <c r="AG12" t="s">
        <v>101</v>
      </c>
      <c r="AH12">
        <v>0</v>
      </c>
      <c r="AI12">
        <v>1.3731601751029538E-2</v>
      </c>
      <c r="AJ12">
        <v>0.34206596778641229</v>
      </c>
      <c r="AK12">
        <v>0</v>
      </c>
      <c r="AL12">
        <v>1.7852159823037755E-2</v>
      </c>
      <c r="AM12">
        <v>5.3893662432182424E-2</v>
      </c>
      <c r="AN12">
        <v>0</v>
      </c>
      <c r="AO12">
        <v>1.0829725172151229E-2</v>
      </c>
      <c r="AP12">
        <v>1.0369483802797869E-2</v>
      </c>
      <c r="AQ12">
        <v>0</v>
      </c>
      <c r="AR12">
        <v>2.4476472008410702E-2</v>
      </c>
      <c r="AS12">
        <v>0.43300225250284224</v>
      </c>
      <c r="AU12" t="s">
        <v>568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568</v>
      </c>
      <c r="BS12">
        <v>0</v>
      </c>
      <c r="BT12">
        <v>0.22241827890869487</v>
      </c>
      <c r="BU12">
        <v>1.3401241161383306E-3</v>
      </c>
      <c r="BV12">
        <v>3.8556954482411466E-3</v>
      </c>
      <c r="BW12">
        <v>0.34990811133735067</v>
      </c>
      <c r="BX12">
        <v>1.9093865867577556E-2</v>
      </c>
      <c r="BY12">
        <v>8.2609432409366697E-3</v>
      </c>
      <c r="BZ12">
        <v>0.40720758562776926</v>
      </c>
      <c r="CA12">
        <v>3.4460416123049814E-2</v>
      </c>
      <c r="CB12">
        <v>4.5690537720736497E-4</v>
      </c>
      <c r="CC12">
        <v>0.25296150510915455</v>
      </c>
      <c r="CD12">
        <v>4.0047107269613148E-3</v>
      </c>
      <c r="CF12" t="s">
        <v>568</v>
      </c>
      <c r="CG12" t="s">
        <v>108</v>
      </c>
      <c r="CH12" t="s">
        <v>109</v>
      </c>
      <c r="CI12">
        <v>0.3910970168387829</v>
      </c>
    </row>
    <row r="13" spans="2:87" x14ac:dyDescent="0.45">
      <c r="B13" t="s">
        <v>569</v>
      </c>
      <c r="C13" t="s">
        <v>99</v>
      </c>
      <c r="D13">
        <v>0</v>
      </c>
      <c r="E13">
        <v>0.40314573237127321</v>
      </c>
      <c r="F13">
        <v>0.9587124608761155</v>
      </c>
      <c r="G13">
        <v>0.8816052880882006</v>
      </c>
      <c r="H13">
        <v>0.26557909227281717</v>
      </c>
      <c r="I13">
        <v>0.72274888633057643</v>
      </c>
      <c r="J13">
        <v>0.8025996548155544</v>
      </c>
      <c r="K13">
        <v>0.1849001237318712</v>
      </c>
      <c r="L13">
        <v>0.63106512372890144</v>
      </c>
      <c r="M13">
        <v>0.96943432539420793</v>
      </c>
      <c r="N13">
        <v>0.35151672135149731</v>
      </c>
      <c r="O13">
        <v>0.89910184627942502</v>
      </c>
      <c r="Q13" t="s">
        <v>569</v>
      </c>
      <c r="R13" t="s">
        <v>100</v>
      </c>
      <c r="S13">
        <v>0</v>
      </c>
      <c r="T13">
        <v>0.23714572912373796</v>
      </c>
      <c r="U13">
        <v>0.32142844111609398</v>
      </c>
      <c r="V13">
        <v>0.79198961769335918</v>
      </c>
      <c r="W13">
        <v>0.14347515107478512</v>
      </c>
      <c r="X13">
        <v>0.4635301354480818</v>
      </c>
      <c r="Y13">
        <v>0.66507590988345799</v>
      </c>
      <c r="Z13">
        <v>9.3147604264543091E-2</v>
      </c>
      <c r="AA13">
        <v>0.45022236274025618</v>
      </c>
      <c r="AB13">
        <v>0.94264578748616501</v>
      </c>
      <c r="AC13">
        <v>0.1860126001950006</v>
      </c>
      <c r="AD13">
        <v>0.3026413711930695</v>
      </c>
      <c r="AF13" t="s">
        <v>569</v>
      </c>
      <c r="AG13" t="s">
        <v>101</v>
      </c>
      <c r="AH13">
        <v>0</v>
      </c>
      <c r="AI13">
        <v>1.8715237519302572E-2</v>
      </c>
      <c r="AJ13">
        <v>0.5995467253845056</v>
      </c>
      <c r="AK13">
        <v>0</v>
      </c>
      <c r="AL13">
        <v>2.0594722837453994E-2</v>
      </c>
      <c r="AM13">
        <v>0.10938070291589405</v>
      </c>
      <c r="AN13">
        <v>0</v>
      </c>
      <c r="AO13">
        <v>1.0097327605538645E-2</v>
      </c>
      <c r="AP13">
        <v>9.5893486734552492E-3</v>
      </c>
      <c r="AQ13">
        <v>0</v>
      </c>
      <c r="AR13">
        <v>3.302794631029899E-2</v>
      </c>
      <c r="AS13">
        <v>0.51238908833746433</v>
      </c>
      <c r="AU13" t="s">
        <v>569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5.1676289261870087E-3</v>
      </c>
      <c r="BR13" t="s">
        <v>569</v>
      </c>
      <c r="BS13">
        <v>0</v>
      </c>
      <c r="BT13">
        <v>0.20571233196981581</v>
      </c>
      <c r="BU13">
        <v>2.0867865042980523E-3</v>
      </c>
      <c r="BV13">
        <v>2.8235592593431253E-3</v>
      </c>
      <c r="BW13">
        <v>0.3243649635362218</v>
      </c>
      <c r="BX13">
        <v>2.1431562085680821E-2</v>
      </c>
      <c r="BY13">
        <v>6.7973670187128962E-3</v>
      </c>
      <c r="BZ13">
        <v>0.41842435466527705</v>
      </c>
      <c r="CA13">
        <v>4.0685716405778928E-2</v>
      </c>
      <c r="CB13">
        <v>2.3047065971164077E-4</v>
      </c>
      <c r="CC13">
        <v>0.23920756244702898</v>
      </c>
      <c r="CD13">
        <v>4.8009666118840775E-3</v>
      </c>
      <c r="CF13" t="s">
        <v>569</v>
      </c>
      <c r="CG13" t="s">
        <v>108</v>
      </c>
      <c r="CH13" t="s">
        <v>109</v>
      </c>
      <c r="CI13">
        <v>0.4054135157801515</v>
      </c>
    </row>
    <row r="14" spans="2:87" x14ac:dyDescent="0.45">
      <c r="B14" t="s">
        <v>570</v>
      </c>
      <c r="C14" t="s">
        <v>99</v>
      </c>
      <c r="D14">
        <v>0</v>
      </c>
      <c r="E14">
        <v>0.37960848130591762</v>
      </c>
      <c r="F14">
        <v>0.95629694660764231</v>
      </c>
      <c r="G14">
        <v>0.88635270461590365</v>
      </c>
      <c r="H14">
        <v>0.25614174084359287</v>
      </c>
      <c r="I14">
        <v>0.71882408576752232</v>
      </c>
      <c r="J14">
        <v>0.80502965122431636</v>
      </c>
      <c r="K14">
        <v>0.18667645420177617</v>
      </c>
      <c r="L14">
        <v>0.63248093635909397</v>
      </c>
      <c r="M14">
        <v>0.97119011340158412</v>
      </c>
      <c r="N14">
        <v>0.32541938320730518</v>
      </c>
      <c r="O14">
        <v>0.89715551422406781</v>
      </c>
      <c r="Q14" t="s">
        <v>570</v>
      </c>
      <c r="R14" t="s">
        <v>100</v>
      </c>
      <c r="S14">
        <v>0</v>
      </c>
      <c r="T14">
        <v>0.21771913501965903</v>
      </c>
      <c r="U14">
        <v>0.34713027365427973</v>
      </c>
      <c r="V14">
        <v>0.7975543650430339</v>
      </c>
      <c r="W14">
        <v>0.13558307317419202</v>
      </c>
      <c r="X14">
        <v>0.43180766024638101</v>
      </c>
      <c r="Y14">
        <v>0.67184500734861607</v>
      </c>
      <c r="Z14">
        <v>9.1995490026927237E-2</v>
      </c>
      <c r="AA14">
        <v>0.4591510312083284</v>
      </c>
      <c r="AB14">
        <v>0.94543404031663092</v>
      </c>
      <c r="AC14">
        <v>0.17638111310782265</v>
      </c>
      <c r="AD14">
        <v>0.3150133992202454</v>
      </c>
      <c r="AF14" t="s">
        <v>570</v>
      </c>
      <c r="AG14" t="s">
        <v>101</v>
      </c>
      <c r="AH14">
        <v>0</v>
      </c>
      <c r="AI14">
        <v>1.6003871029605505E-2</v>
      </c>
      <c r="AJ14">
        <v>0.5696320969003037</v>
      </c>
      <c r="AK14">
        <v>0</v>
      </c>
      <c r="AL14">
        <v>1.7416862795649635E-2</v>
      </c>
      <c r="AM14">
        <v>0.1359971882001923</v>
      </c>
      <c r="AN14">
        <v>0</v>
      </c>
      <c r="AO14">
        <v>9.3636638892399694E-3</v>
      </c>
      <c r="AP14">
        <v>0</v>
      </c>
      <c r="AQ14">
        <v>0</v>
      </c>
      <c r="AR14">
        <v>2.2074624544859294E-2</v>
      </c>
      <c r="AS14">
        <v>0.49562807202053261</v>
      </c>
      <c r="AU14" t="s">
        <v>570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3.7691155133770258E-3</v>
      </c>
      <c r="BR14" t="s">
        <v>570</v>
      </c>
      <c r="BS14">
        <v>0</v>
      </c>
      <c r="BT14">
        <v>0.23774297141178671</v>
      </c>
      <c r="BU14">
        <v>2.8902095649155791E-3</v>
      </c>
      <c r="BV14">
        <v>2.4781900245587529E-3</v>
      </c>
      <c r="BW14">
        <v>0.34758097247248038</v>
      </c>
      <c r="BX14">
        <v>2.3841180368978344E-2</v>
      </c>
      <c r="BY14">
        <v>6.0720498478329336E-3</v>
      </c>
      <c r="BZ14">
        <v>0.43098935550585099</v>
      </c>
      <c r="CA14">
        <v>4.2389071791358056E-2</v>
      </c>
      <c r="CB14">
        <v>1.5716586308803717E-4</v>
      </c>
      <c r="CC14">
        <v>0.2634814952157723</v>
      </c>
      <c r="CD14">
        <v>5.461290036850793E-3</v>
      </c>
      <c r="CF14" t="s">
        <v>570</v>
      </c>
      <c r="CG14" t="s">
        <v>108</v>
      </c>
      <c r="CH14" t="s">
        <v>109</v>
      </c>
      <c r="CI14">
        <v>0.41942999185907592</v>
      </c>
    </row>
    <row r="15" spans="2:87" x14ac:dyDescent="0.45">
      <c r="B15" t="s">
        <v>571</v>
      </c>
      <c r="C15" t="s">
        <v>99</v>
      </c>
      <c r="D15">
        <v>0</v>
      </c>
      <c r="E15">
        <v>0.34347859780110401</v>
      </c>
      <c r="F15">
        <v>0.96475995379391621</v>
      </c>
      <c r="G15">
        <v>0.86855779330754623</v>
      </c>
      <c r="H15">
        <v>0.24092450948407301</v>
      </c>
      <c r="I15">
        <v>0.74017421299212693</v>
      </c>
      <c r="J15">
        <v>0.79028861346252577</v>
      </c>
      <c r="K15">
        <v>0.16092009150207487</v>
      </c>
      <c r="L15">
        <v>0.64608758685572365</v>
      </c>
      <c r="M15">
        <v>0.95962991508355622</v>
      </c>
      <c r="N15">
        <v>0.33095954166726477</v>
      </c>
      <c r="O15">
        <v>0.91251469857689183</v>
      </c>
      <c r="Q15" t="s">
        <v>571</v>
      </c>
      <c r="R15" t="s">
        <v>100</v>
      </c>
      <c r="S15">
        <v>0</v>
      </c>
      <c r="T15">
        <v>0.19005739829427204</v>
      </c>
      <c r="U15">
        <v>0.74720264016363358</v>
      </c>
      <c r="V15">
        <v>0.77272437509825964</v>
      </c>
      <c r="W15">
        <v>0.12610520894013763</v>
      </c>
      <c r="X15">
        <v>0.52612895642074253</v>
      </c>
      <c r="Y15">
        <v>0.64796659612828</v>
      </c>
      <c r="Z15">
        <v>8.2619637094588819E-2</v>
      </c>
      <c r="AA15">
        <v>0.47120011940070794</v>
      </c>
      <c r="AB15">
        <v>0.9227210721957273</v>
      </c>
      <c r="AC15">
        <v>0.17549885708813381</v>
      </c>
      <c r="AD15">
        <v>0.65270999679654784</v>
      </c>
      <c r="AF15" t="s">
        <v>571</v>
      </c>
      <c r="AG15" t="s">
        <v>101</v>
      </c>
      <c r="AH15">
        <v>0</v>
      </c>
      <c r="AI15">
        <v>1.2631260701647976E-2</v>
      </c>
      <c r="AJ15">
        <v>0.18361205599679312</v>
      </c>
      <c r="AK15">
        <v>0</v>
      </c>
      <c r="AL15">
        <v>1.8519280172990194E-2</v>
      </c>
      <c r="AM15">
        <v>7.2550385128818798E-2</v>
      </c>
      <c r="AN15">
        <v>0</v>
      </c>
      <c r="AO15">
        <v>5.0606747694067851E-3</v>
      </c>
      <c r="AP15">
        <v>0</v>
      </c>
      <c r="AQ15">
        <v>0</v>
      </c>
      <c r="AR15">
        <v>3.3642568145514126E-2</v>
      </c>
      <c r="AS15">
        <v>0.19497106916153303</v>
      </c>
      <c r="AU15" t="s">
        <v>571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571</v>
      </c>
      <c r="BS15">
        <v>0</v>
      </c>
      <c r="BT15">
        <v>0.29030253156932512</v>
      </c>
      <c r="BU15">
        <v>1.639272652910727E-3</v>
      </c>
      <c r="BV15">
        <v>4.9067249502788698E-3</v>
      </c>
      <c r="BW15">
        <v>0.37139126287882518</v>
      </c>
      <c r="BX15">
        <v>2.0048272239428032E-2</v>
      </c>
      <c r="BY15">
        <v>9.9741967748816825E-3</v>
      </c>
      <c r="BZ15">
        <v>0.42333464516265906</v>
      </c>
      <c r="CA15">
        <v>3.2611068650446343E-2</v>
      </c>
      <c r="CB15">
        <v>6.6078383027971311E-4</v>
      </c>
      <c r="CC15">
        <v>0.2831770392577318</v>
      </c>
      <c r="CD15">
        <v>4.3099177867763939E-3</v>
      </c>
      <c r="CF15" t="s">
        <v>571</v>
      </c>
      <c r="CG15" t="s">
        <v>108</v>
      </c>
      <c r="CH15" t="s">
        <v>109</v>
      </c>
      <c r="CI15">
        <v>0.39688895981282407</v>
      </c>
    </row>
    <row r="16" spans="2:87" x14ac:dyDescent="0.45">
      <c r="B16" t="s">
        <v>572</v>
      </c>
      <c r="C16" t="s">
        <v>99</v>
      </c>
      <c r="D16">
        <v>0</v>
      </c>
      <c r="E16">
        <v>0.33794680841159103</v>
      </c>
      <c r="F16">
        <v>0.96018813486611576</v>
      </c>
      <c r="G16">
        <v>0.87394748641193476</v>
      </c>
      <c r="H16">
        <v>0.2418314689989427</v>
      </c>
      <c r="I16">
        <v>0.73223760132022964</v>
      </c>
      <c r="J16">
        <v>0.79298051325638996</v>
      </c>
      <c r="K16">
        <v>0.16529736012295468</v>
      </c>
      <c r="L16">
        <v>0.64344349049114447</v>
      </c>
      <c r="M16">
        <v>0.96153846153846179</v>
      </c>
      <c r="N16">
        <v>0.32958720448854267</v>
      </c>
      <c r="O16">
        <v>0.90427634003117674</v>
      </c>
      <c r="Q16" t="s">
        <v>572</v>
      </c>
      <c r="R16" t="s">
        <v>100</v>
      </c>
      <c r="S16">
        <v>0</v>
      </c>
      <c r="T16">
        <v>0.18583871284398604</v>
      </c>
      <c r="U16">
        <v>0.60495012947274907</v>
      </c>
      <c r="V16">
        <v>0.77904274699561649</v>
      </c>
      <c r="W16">
        <v>0.12663154897708606</v>
      </c>
      <c r="X16">
        <v>0.46571161504515485</v>
      </c>
      <c r="Y16">
        <v>0.65203703122704304</v>
      </c>
      <c r="Z16">
        <v>8.2153190395782574E-2</v>
      </c>
      <c r="AA16">
        <v>0.47223449229011893</v>
      </c>
      <c r="AB16">
        <v>0.92475861247302071</v>
      </c>
      <c r="AC16">
        <v>0.17521329691422327</v>
      </c>
      <c r="AD16">
        <v>0.43124813693486891</v>
      </c>
      <c r="AF16" t="s">
        <v>572</v>
      </c>
      <c r="AG16" t="s">
        <v>101</v>
      </c>
      <c r="AH16">
        <v>0</v>
      </c>
      <c r="AI16">
        <v>1.2701954727176211E-2</v>
      </c>
      <c r="AJ16">
        <v>0.31862359721084649</v>
      </c>
      <c r="AK16">
        <v>0</v>
      </c>
      <c r="AL16">
        <v>1.7989440593842814E-2</v>
      </c>
      <c r="AM16">
        <v>0.12241925612300031</v>
      </c>
      <c r="AN16">
        <v>0</v>
      </c>
      <c r="AO16">
        <v>4.943978105962624E-3</v>
      </c>
      <c r="AP16">
        <v>0</v>
      </c>
      <c r="AQ16">
        <v>0</v>
      </c>
      <c r="AR16">
        <v>3.4744333832389521E-2</v>
      </c>
      <c r="AS16">
        <v>0.40184437056691746</v>
      </c>
      <c r="AU16" t="s">
        <v>572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572</v>
      </c>
      <c r="BS16">
        <v>0</v>
      </c>
      <c r="BT16">
        <v>0.28992933715388342</v>
      </c>
      <c r="BU16">
        <v>2.1588931025027925E-3</v>
      </c>
      <c r="BV16">
        <v>4.4682755145430452E-3</v>
      </c>
      <c r="BW16">
        <v>0.38591260279507772</v>
      </c>
      <c r="BX16">
        <v>2.3467913829496288E-2</v>
      </c>
      <c r="BY16">
        <v>8.9197513575485516E-3</v>
      </c>
      <c r="BZ16">
        <v>0.43928244909508207</v>
      </c>
      <c r="CA16">
        <v>3.6776892752754538E-2</v>
      </c>
      <c r="CB16">
        <v>4.9405933973953905E-4</v>
      </c>
      <c r="CC16">
        <v>0.27458422314620295</v>
      </c>
      <c r="CD16">
        <v>4.8289168164449966E-3</v>
      </c>
      <c r="CF16" t="s">
        <v>572</v>
      </c>
      <c r="CG16" t="s">
        <v>108</v>
      </c>
      <c r="CH16" t="s">
        <v>109</v>
      </c>
      <c r="CI16">
        <v>0.41004958604643499</v>
      </c>
    </row>
    <row r="17" spans="2:87" x14ac:dyDescent="0.45">
      <c r="B17" t="s">
        <v>573</v>
      </c>
      <c r="C17" t="s">
        <v>99</v>
      </c>
      <c r="D17">
        <v>0</v>
      </c>
      <c r="E17">
        <v>0.33183758539902947</v>
      </c>
      <c r="F17">
        <v>0.96656814383465628</v>
      </c>
      <c r="G17">
        <v>0.86019245276903566</v>
      </c>
      <c r="H17">
        <v>0.20230937382909905</v>
      </c>
      <c r="I17">
        <v>0.731354017944434</v>
      </c>
      <c r="J17">
        <v>0.78902368654132904</v>
      </c>
      <c r="K17">
        <v>0.1662376771439282</v>
      </c>
      <c r="L17">
        <v>0.64758864033984531</v>
      </c>
      <c r="M17">
        <v>0.95879120879120905</v>
      </c>
      <c r="N17">
        <v>0.2944884011388455</v>
      </c>
      <c r="O17">
        <v>0.91307675972377622</v>
      </c>
      <c r="Q17" t="s">
        <v>573</v>
      </c>
      <c r="R17" t="s">
        <v>100</v>
      </c>
      <c r="S17">
        <v>0</v>
      </c>
      <c r="T17">
        <v>0.18477448969857405</v>
      </c>
      <c r="U17">
        <v>0.66306861452236476</v>
      </c>
      <c r="V17">
        <v>0.75614921447862427</v>
      </c>
      <c r="W17">
        <v>0.1080635284714183</v>
      </c>
      <c r="X17">
        <v>0.58189859105149178</v>
      </c>
      <c r="Y17">
        <v>0.64494016348754435</v>
      </c>
      <c r="Z17">
        <v>8.6310221564929762E-2</v>
      </c>
      <c r="AA17">
        <v>0.4723755221667203</v>
      </c>
      <c r="AB17">
        <v>0.91942862127927172</v>
      </c>
      <c r="AC17">
        <v>0.15783690885061266</v>
      </c>
      <c r="AD17">
        <v>0.73908207585721275</v>
      </c>
      <c r="AF17" t="s">
        <v>573</v>
      </c>
      <c r="AG17" t="s">
        <v>101</v>
      </c>
      <c r="AH17">
        <v>0</v>
      </c>
      <c r="AI17">
        <v>1.3004544236253395E-2</v>
      </c>
      <c r="AJ17">
        <v>0.27314996267689251</v>
      </c>
      <c r="AK17">
        <v>0</v>
      </c>
      <c r="AL17">
        <v>9.0290788897346604E-3</v>
      </c>
      <c r="AM17">
        <v>0</v>
      </c>
      <c r="AN17">
        <v>0</v>
      </c>
      <c r="AO17">
        <v>5.7944466329773884E-3</v>
      </c>
      <c r="AP17">
        <v>0</v>
      </c>
      <c r="AQ17">
        <v>0</v>
      </c>
      <c r="AR17">
        <v>1.8757314264591148E-2</v>
      </c>
      <c r="AS17">
        <v>0.10608715218002308</v>
      </c>
      <c r="AU17" t="s">
        <v>573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573</v>
      </c>
      <c r="BS17">
        <v>0</v>
      </c>
      <c r="BT17">
        <v>0.31657407778953212</v>
      </c>
      <c r="BU17">
        <v>1.735415771823724E-3</v>
      </c>
      <c r="BV17">
        <v>6.4005752860113304E-3</v>
      </c>
      <c r="BW17">
        <v>0.45419469278583086</v>
      </c>
      <c r="BX17">
        <v>2.4882977587005344E-2</v>
      </c>
      <c r="BY17">
        <v>1.0994896482412956E-2</v>
      </c>
      <c r="BZ17">
        <v>0.44167975867638398</v>
      </c>
      <c r="CA17">
        <v>3.349447980859499E-2</v>
      </c>
      <c r="CB17">
        <v>7.0943467324875427E-4</v>
      </c>
      <c r="CC17">
        <v>0.32739821391209922</v>
      </c>
      <c r="CD17">
        <v>4.543463425870955E-3</v>
      </c>
      <c r="CF17" t="s">
        <v>573</v>
      </c>
      <c r="CG17" t="s">
        <v>108</v>
      </c>
      <c r="CH17" t="s">
        <v>109</v>
      </c>
      <c r="CI17">
        <v>0.4263425601590829</v>
      </c>
    </row>
    <row r="18" spans="2:87" x14ac:dyDescent="0.45">
      <c r="B18" t="s">
        <v>574</v>
      </c>
      <c r="C18" t="s">
        <v>99</v>
      </c>
      <c r="D18">
        <v>0</v>
      </c>
      <c r="E18">
        <v>0.34820993249373855</v>
      </c>
      <c r="F18">
        <v>0.96812015296638398</v>
      </c>
      <c r="G18">
        <v>0.86284910845639051</v>
      </c>
      <c r="H18">
        <v>0.22316813218469109</v>
      </c>
      <c r="I18">
        <v>0.73685589532514817</v>
      </c>
      <c r="J18">
        <v>0.795942663207023</v>
      </c>
      <c r="K18">
        <v>0.1950212862724473</v>
      </c>
      <c r="L18">
        <v>0.65319233960378542</v>
      </c>
      <c r="M18">
        <v>0.95879120879120849</v>
      </c>
      <c r="N18">
        <v>0.30634230599575474</v>
      </c>
      <c r="O18">
        <v>0.91321783789921429</v>
      </c>
      <c r="Q18" t="s">
        <v>574</v>
      </c>
      <c r="R18" t="s">
        <v>100</v>
      </c>
      <c r="S18">
        <v>0</v>
      </c>
      <c r="T18">
        <v>0.19815094675393188</v>
      </c>
      <c r="U18">
        <v>0.82325729397624148</v>
      </c>
      <c r="V18">
        <v>0.76264412651137548</v>
      </c>
      <c r="W18">
        <v>0.12099308616958032</v>
      </c>
      <c r="X18">
        <v>0.57892018566061421</v>
      </c>
      <c r="Y18">
        <v>0.65603589794565187</v>
      </c>
      <c r="Z18">
        <v>9.8620708570429857E-2</v>
      </c>
      <c r="AA18">
        <v>0.47327832106554929</v>
      </c>
      <c r="AB18">
        <v>0.92040071777193344</v>
      </c>
      <c r="AC18">
        <v>0.16025214483388578</v>
      </c>
      <c r="AD18">
        <v>0.57490866385679806</v>
      </c>
      <c r="AF18" t="s">
        <v>574</v>
      </c>
      <c r="AG18" t="s">
        <v>101</v>
      </c>
      <c r="AH18">
        <v>0</v>
      </c>
      <c r="AI18">
        <v>1.6250113586324229E-2</v>
      </c>
      <c r="AJ18">
        <v>0.11438500232268228</v>
      </c>
      <c r="AK18">
        <v>0</v>
      </c>
      <c r="AL18">
        <v>1.2833073878522814E-2</v>
      </c>
      <c r="AM18">
        <v>1.2917918544909644E-2</v>
      </c>
      <c r="AN18">
        <v>0</v>
      </c>
      <c r="AO18">
        <v>9.4643762902518244E-3</v>
      </c>
      <c r="AP18">
        <v>1.1392710519838884E-2</v>
      </c>
      <c r="AQ18">
        <v>0</v>
      </c>
      <c r="AR18">
        <v>2.4814805143478811E-2</v>
      </c>
      <c r="AS18">
        <v>0.27116643251526412</v>
      </c>
      <c r="AU18" t="s">
        <v>574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574</v>
      </c>
      <c r="BS18">
        <v>0</v>
      </c>
      <c r="BT18">
        <v>0.2783446730296571</v>
      </c>
      <c r="BU18">
        <v>1.4824362952136599E-3</v>
      </c>
      <c r="BV18">
        <v>4.5971529319663975E-3</v>
      </c>
      <c r="BW18">
        <v>0.39871745728318997</v>
      </c>
      <c r="BX18">
        <v>2.0543305379117211E-2</v>
      </c>
      <c r="BY18">
        <v>9.4373311061965379E-3</v>
      </c>
      <c r="BZ18">
        <v>0.41969853912591198</v>
      </c>
      <c r="CA18">
        <v>3.2987401475365247E-2</v>
      </c>
      <c r="CB18">
        <v>5.4110316764961622E-4</v>
      </c>
      <c r="CC18">
        <v>0.28712952440373707</v>
      </c>
      <c r="CD18">
        <v>4.1172653629140054E-3</v>
      </c>
      <c r="CF18" t="s">
        <v>574</v>
      </c>
      <c r="CG18" t="s">
        <v>108</v>
      </c>
      <c r="CH18" t="s">
        <v>109</v>
      </c>
      <c r="CI18">
        <v>0.40681327441218207</v>
      </c>
    </row>
    <row r="19" spans="2:87" x14ac:dyDescent="0.45">
      <c r="B19" t="s">
        <v>575</v>
      </c>
      <c r="C19" t="s">
        <v>99</v>
      </c>
      <c r="D19">
        <v>0</v>
      </c>
      <c r="E19">
        <v>0.36538425786901224</v>
      </c>
      <c r="F19">
        <v>0.95330625456451235</v>
      </c>
      <c r="G19">
        <v>0.88944262212522351</v>
      </c>
      <c r="H19">
        <v>0.24611125575488313</v>
      </c>
      <c r="I19">
        <v>0.71201515503577151</v>
      </c>
      <c r="J19">
        <v>0.80567589515998272</v>
      </c>
      <c r="K19">
        <v>0.18450201865892174</v>
      </c>
      <c r="L19">
        <v>0.63172732450409486</v>
      </c>
      <c r="M19">
        <v>0.97281532104569701</v>
      </c>
      <c r="N19">
        <v>0.31830156609162219</v>
      </c>
      <c r="O19">
        <v>0.89447452038107456</v>
      </c>
      <c r="Q19" t="s">
        <v>575</v>
      </c>
      <c r="R19" t="s">
        <v>100</v>
      </c>
      <c r="S19">
        <v>0</v>
      </c>
      <c r="T19">
        <v>0.20412226724105989</v>
      </c>
      <c r="U19">
        <v>0.40569460389747841</v>
      </c>
      <c r="V19">
        <v>0.79976332008390472</v>
      </c>
      <c r="W19">
        <v>0.1292986710059543</v>
      </c>
      <c r="X19">
        <v>0.39116171817231993</v>
      </c>
      <c r="Y19">
        <v>0.67240246169180562</v>
      </c>
      <c r="Z19">
        <v>9.1022418603225477E-2</v>
      </c>
      <c r="AA19">
        <v>0.43938257139482678</v>
      </c>
      <c r="AB19">
        <v>0.94742591019422928</v>
      </c>
      <c r="AC19">
        <v>0.17554730530025944</v>
      </c>
      <c r="AD19">
        <v>0.37843903098709386</v>
      </c>
      <c r="AF19" t="s">
        <v>575</v>
      </c>
      <c r="AG19" t="s">
        <v>101</v>
      </c>
      <c r="AH19">
        <v>0</v>
      </c>
      <c r="AI19">
        <v>1.4495909280515064E-2</v>
      </c>
      <c r="AJ19">
        <v>0.50691530895534642</v>
      </c>
      <c r="AK19">
        <v>0</v>
      </c>
      <c r="AL19">
        <v>1.6962493649899227E-2</v>
      </c>
      <c r="AM19">
        <v>0.16778646368151731</v>
      </c>
      <c r="AN19">
        <v>0</v>
      </c>
      <c r="AO19">
        <v>1.0115379621620423E-2</v>
      </c>
      <c r="AP19">
        <v>1.9079299415362221E-2</v>
      </c>
      <c r="AQ19">
        <v>0</v>
      </c>
      <c r="AR19">
        <v>1.7891455801939505E-2</v>
      </c>
      <c r="AS19">
        <v>0.43430788115191482</v>
      </c>
      <c r="AU19" t="s">
        <v>575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575</v>
      </c>
      <c r="BS19">
        <v>0</v>
      </c>
      <c r="BT19">
        <v>0.27672937589358582</v>
      </c>
      <c r="BU19">
        <v>3.4771855680150927E-3</v>
      </c>
      <c r="BV19">
        <v>2.6808621353742183E-3</v>
      </c>
      <c r="BW19">
        <v>0.37444077562789091</v>
      </c>
      <c r="BX19">
        <v>2.5286639755351469E-2</v>
      </c>
      <c r="BY19">
        <v>6.0931225182724496E-3</v>
      </c>
      <c r="BZ19">
        <v>0.43162722845635948</v>
      </c>
      <c r="CA19">
        <v>4.1386880793764243E-2</v>
      </c>
      <c r="CB19">
        <v>1.5592535448000208E-4</v>
      </c>
      <c r="CC19">
        <v>0.28456018643133557</v>
      </c>
      <c r="CD19">
        <v>5.7602839215065531E-3</v>
      </c>
      <c r="CF19" t="s">
        <v>575</v>
      </c>
      <c r="CG19" t="s">
        <v>108</v>
      </c>
      <c r="CH19" t="s">
        <v>109</v>
      </c>
      <c r="CI19">
        <v>0.42519395848832892</v>
      </c>
    </row>
    <row r="20" spans="2:87" x14ac:dyDescent="0.45">
      <c r="B20" t="s">
        <v>576</v>
      </c>
      <c r="C20" t="s">
        <v>99</v>
      </c>
      <c r="D20">
        <v>0</v>
      </c>
      <c r="E20">
        <v>0.3477401958509187</v>
      </c>
      <c r="F20">
        <v>0.95965357388152872</v>
      </c>
      <c r="G20">
        <v>0.87525113736143645</v>
      </c>
      <c r="H20">
        <v>0.22359204225320162</v>
      </c>
      <c r="I20">
        <v>0.71576259185440427</v>
      </c>
      <c r="J20">
        <v>0.7978390680555647</v>
      </c>
      <c r="K20">
        <v>0.18675820571017573</v>
      </c>
      <c r="L20">
        <v>0.63563800064552978</v>
      </c>
      <c r="M20">
        <v>0.96539101660128923</v>
      </c>
      <c r="N20">
        <v>0.29537335853593649</v>
      </c>
      <c r="O20">
        <v>0.90117377309957158</v>
      </c>
      <c r="Q20" t="s">
        <v>576</v>
      </c>
      <c r="R20" t="s">
        <v>100</v>
      </c>
      <c r="S20">
        <v>0</v>
      </c>
      <c r="T20">
        <v>0.19379676248498551</v>
      </c>
      <c r="U20">
        <v>0.3336600270597046</v>
      </c>
      <c r="V20">
        <v>0.78375320697874074</v>
      </c>
      <c r="W20">
        <v>0.11908799310246852</v>
      </c>
      <c r="X20">
        <v>0.49622389401185213</v>
      </c>
      <c r="Y20">
        <v>0.66101327597136639</v>
      </c>
      <c r="Z20">
        <v>9.4143965736383409E-2</v>
      </c>
      <c r="AA20">
        <v>0.4631348894605945</v>
      </c>
      <c r="AB20">
        <v>0.93333528553744194</v>
      </c>
      <c r="AC20">
        <v>0.1580000927730007</v>
      </c>
      <c r="AD20">
        <v>0.50070325316913078</v>
      </c>
      <c r="AF20" t="s">
        <v>576</v>
      </c>
      <c r="AG20" t="s">
        <v>101</v>
      </c>
      <c r="AH20">
        <v>0</v>
      </c>
      <c r="AI20">
        <v>1.3534178779518014E-2</v>
      </c>
      <c r="AJ20">
        <v>0.58867368561532019</v>
      </c>
      <c r="AK20">
        <v>0</v>
      </c>
      <c r="AL20">
        <v>1.439887278923282E-2</v>
      </c>
      <c r="AM20">
        <v>6.8825181723753223E-2</v>
      </c>
      <c r="AN20">
        <v>0</v>
      </c>
      <c r="AO20">
        <v>9.03713470541221E-3</v>
      </c>
      <c r="AP20">
        <v>0</v>
      </c>
      <c r="AQ20">
        <v>0</v>
      </c>
      <c r="AR20">
        <v>1.7113760961264587E-2</v>
      </c>
      <c r="AS20">
        <v>0.32256677728895439</v>
      </c>
      <c r="AU20" t="s">
        <v>576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576</v>
      </c>
      <c r="BS20">
        <v>0</v>
      </c>
      <c r="BT20">
        <v>0.30335593959157864</v>
      </c>
      <c r="BU20">
        <v>2.5755877060090753E-3</v>
      </c>
      <c r="BV20">
        <v>4.3287976552381724E-3</v>
      </c>
      <c r="BW20">
        <v>0.43239206541544256</v>
      </c>
      <c r="BX20">
        <v>2.7942057444276726E-2</v>
      </c>
      <c r="BY20">
        <v>7.9189893886636824E-3</v>
      </c>
      <c r="BZ20">
        <v>0.44239854592785854</v>
      </c>
      <c r="CA20">
        <v>4.0674650152818868E-2</v>
      </c>
      <c r="CB20">
        <v>3.0112270599225491E-4</v>
      </c>
      <c r="CC20">
        <v>0.31560062073544703</v>
      </c>
      <c r="CD20">
        <v>5.3125472086428156E-3</v>
      </c>
      <c r="CF20" t="s">
        <v>576</v>
      </c>
      <c r="CG20" t="s">
        <v>108</v>
      </c>
      <c r="CH20" t="s">
        <v>109</v>
      </c>
      <c r="CI20">
        <v>0.42546674176762556</v>
      </c>
    </row>
    <row r="21" spans="2:87" x14ac:dyDescent="0.45">
      <c r="B21" t="s">
        <v>577</v>
      </c>
      <c r="C21" t="s">
        <v>99</v>
      </c>
      <c r="D21">
        <v>0.45271510346159921</v>
      </c>
      <c r="E21">
        <v>0.45921048415962812</v>
      </c>
      <c r="F21">
        <v>0.4235113455652893</v>
      </c>
      <c r="G21">
        <v>0.45536640548635832</v>
      </c>
      <c r="H21">
        <v>0.44202672590162234</v>
      </c>
      <c r="I21">
        <v>0.42959774393788253</v>
      </c>
      <c r="J21">
        <v>0.42023605553460874</v>
      </c>
      <c r="K21">
        <v>0.45396435167622567</v>
      </c>
      <c r="L21">
        <v>0.38132262646322745</v>
      </c>
      <c r="M21">
        <v>0.41940659184957629</v>
      </c>
      <c r="N21">
        <v>0.49156438801733232</v>
      </c>
      <c r="O21">
        <v>0.42400525500078412</v>
      </c>
      <c r="Q21" t="s">
        <v>577</v>
      </c>
      <c r="R21" t="s">
        <v>100</v>
      </c>
      <c r="S21">
        <v>1.9440367167163856E-2</v>
      </c>
      <c r="T21">
        <v>3.7993923685893646E-2</v>
      </c>
      <c r="U21">
        <v>2.9451874200899859E-2</v>
      </c>
      <c r="V21">
        <v>4.1842063648237227E-2</v>
      </c>
      <c r="W21">
        <v>5.1306929173673847E-2</v>
      </c>
      <c r="X21">
        <v>4.3095580932881454E-2</v>
      </c>
      <c r="Y21">
        <v>6.1633858119010877E-2</v>
      </c>
      <c r="Z21">
        <v>7.3919743680650421E-2</v>
      </c>
      <c r="AA21">
        <v>5.7157388301381687E-2</v>
      </c>
      <c r="AB21">
        <v>2.6723269180504227E-2</v>
      </c>
      <c r="AC21">
        <v>2.0335007801227902E-2</v>
      </c>
      <c r="AD21">
        <v>4.4506215606733866E-2</v>
      </c>
      <c r="AF21" t="s">
        <v>577</v>
      </c>
      <c r="AG21" t="s">
        <v>101</v>
      </c>
      <c r="AH21">
        <v>4.2667905493314832E-2</v>
      </c>
      <c r="AI21">
        <v>1.8931704731444818E-2</v>
      </c>
      <c r="AJ21">
        <v>5.0085794004192684E-2</v>
      </c>
      <c r="AK21">
        <v>4.6100930630790404E-2</v>
      </c>
      <c r="AL21">
        <v>8.1492192866307774E-3</v>
      </c>
      <c r="AM21">
        <v>7.840663474861588E-2</v>
      </c>
      <c r="AN21">
        <v>8.0077179378920102E-2</v>
      </c>
      <c r="AO21">
        <v>3.4017074726008921E-2</v>
      </c>
      <c r="AP21">
        <v>4.6724766098788714E-2</v>
      </c>
      <c r="AQ21">
        <v>5.2295889119912453E-2</v>
      </c>
      <c r="AR21">
        <v>2.8870839130901837E-2</v>
      </c>
      <c r="AS21">
        <v>6.2413756408281937E-2</v>
      </c>
      <c r="AU21" t="s">
        <v>577</v>
      </c>
      <c r="AV21" t="s">
        <v>102</v>
      </c>
      <c r="AW21">
        <v>0.25898604141515624</v>
      </c>
      <c r="AX21">
        <v>0.28365460369913315</v>
      </c>
      <c r="AY21">
        <v>0.22199788227829345</v>
      </c>
      <c r="AZ21">
        <v>0.25075877364472265</v>
      </c>
      <c r="BA21">
        <v>0.26759922062528474</v>
      </c>
      <c r="BB21">
        <v>0.18467439583811526</v>
      </c>
      <c r="BC21">
        <v>0.15478864980303911</v>
      </c>
      <c r="BD21">
        <v>0.23486977644312942</v>
      </c>
      <c r="BE21">
        <v>0.15657641237199882</v>
      </c>
      <c r="BF21">
        <v>0.22030411842374834</v>
      </c>
      <c r="BG21">
        <v>0.31304838022859882</v>
      </c>
      <c r="BH21">
        <v>0.18106947027116235</v>
      </c>
      <c r="BR21" t="s">
        <v>577</v>
      </c>
      <c r="BS21">
        <v>0.11229457675233587</v>
      </c>
      <c r="BT21">
        <v>9.7816895727559722E-2</v>
      </c>
      <c r="BU21">
        <v>0.12502391163078655</v>
      </c>
      <c r="BV21">
        <v>6.8435335553025972E-2</v>
      </c>
      <c r="BW21">
        <v>7.3077865110067447E-2</v>
      </c>
      <c r="BX21">
        <v>7.7461539780336389E-2</v>
      </c>
      <c r="BY21">
        <v>4.7855966458250208E-2</v>
      </c>
      <c r="BZ21">
        <v>4.5539302878213402E-2</v>
      </c>
      <c r="CA21">
        <v>5.6355292670111565E-2</v>
      </c>
      <c r="CB21">
        <v>0.12024662243381429</v>
      </c>
      <c r="CC21">
        <v>0.12794545319629833</v>
      </c>
      <c r="CD21">
        <v>0.11824202004925863</v>
      </c>
      <c r="CF21" t="s">
        <v>577</v>
      </c>
      <c r="CG21" t="s">
        <v>108</v>
      </c>
      <c r="CH21" t="s">
        <v>109</v>
      </c>
      <c r="CI21">
        <v>0.12654298046836629</v>
      </c>
    </row>
    <row r="22" spans="2:87" x14ac:dyDescent="0.45">
      <c r="B22" t="s">
        <v>578</v>
      </c>
      <c r="C22" t="s">
        <v>99</v>
      </c>
      <c r="D22">
        <v>0.46922318868004981</v>
      </c>
      <c r="E22">
        <v>0.48486063318403211</v>
      </c>
      <c r="F22">
        <v>0.44759565230144627</v>
      </c>
      <c r="G22">
        <v>0.44891480024516855</v>
      </c>
      <c r="H22">
        <v>0.44200224318066594</v>
      </c>
      <c r="I22">
        <v>0.40302023941783993</v>
      </c>
      <c r="J22">
        <v>0.41832336830643146</v>
      </c>
      <c r="K22">
        <v>0.44623312017733152</v>
      </c>
      <c r="L22">
        <v>0.36231509148813779</v>
      </c>
      <c r="M22">
        <v>0.40610016078675459</v>
      </c>
      <c r="N22">
        <v>0.46401902664601541</v>
      </c>
      <c r="O22">
        <v>0.40093240711481892</v>
      </c>
      <c r="Q22" t="s">
        <v>578</v>
      </c>
      <c r="R22" t="s">
        <v>100</v>
      </c>
      <c r="S22">
        <v>2.6303104865857244E-2</v>
      </c>
      <c r="T22">
        <v>2.72169749806002E-2</v>
      </c>
      <c r="U22">
        <v>3.3635539981337628E-2</v>
      </c>
      <c r="V22">
        <v>8.5925934560977316E-2</v>
      </c>
      <c r="W22">
        <v>6.12646720470141E-2</v>
      </c>
      <c r="X22">
        <v>0.11137778568879869</v>
      </c>
      <c r="Y22">
        <v>7.8491583524986086E-2</v>
      </c>
      <c r="Z22">
        <v>4.6257155119981359E-2</v>
      </c>
      <c r="AA22">
        <v>5.9461589481809247E-2</v>
      </c>
      <c r="AB22">
        <v>2.8208850430652833E-2</v>
      </c>
      <c r="AC22">
        <v>2.9297821243826471E-2</v>
      </c>
      <c r="AD22">
        <v>5.0229027892673292E-2</v>
      </c>
      <c r="AF22" t="s">
        <v>578</v>
      </c>
      <c r="AG22" t="s">
        <v>101</v>
      </c>
      <c r="AH22">
        <v>5.3305879697448648E-2</v>
      </c>
      <c r="AI22">
        <v>2.9122344133524745E-2</v>
      </c>
      <c r="AJ22">
        <v>6.1451867483096605E-2</v>
      </c>
      <c r="AK22">
        <v>0.1106285683602207</v>
      </c>
      <c r="AL22">
        <v>4.5544145738549535E-2</v>
      </c>
      <c r="AM22">
        <v>4.7657433831417108E-2</v>
      </c>
      <c r="AN22">
        <v>7.5088646709507961E-2</v>
      </c>
      <c r="AO22">
        <v>3.8172757135261581E-2</v>
      </c>
      <c r="AP22">
        <v>3.3044100962494154E-2</v>
      </c>
      <c r="AQ22">
        <v>6.6111967283190423E-2</v>
      </c>
      <c r="AR22">
        <v>3.6333909799925561E-2</v>
      </c>
      <c r="AS22">
        <v>7.2217316670302109E-2</v>
      </c>
      <c r="AU22" t="s">
        <v>578</v>
      </c>
      <c r="AV22" t="s">
        <v>102</v>
      </c>
      <c r="AW22">
        <v>0.24642277796648604</v>
      </c>
      <c r="AX22">
        <v>0.29743097712337407</v>
      </c>
      <c r="AY22">
        <v>0.20940254114031065</v>
      </c>
      <c r="AZ22">
        <v>0.13491932206855434</v>
      </c>
      <c r="BA22">
        <v>0.21817604143070962</v>
      </c>
      <c r="BB22">
        <v>0.12346817615760385</v>
      </c>
      <c r="BC22">
        <v>0.14430220130562274</v>
      </c>
      <c r="BD22">
        <v>0.24445795175266807</v>
      </c>
      <c r="BE22">
        <v>0.1539075810137904</v>
      </c>
      <c r="BF22">
        <v>0.18269710988077864</v>
      </c>
      <c r="BG22">
        <v>0.2617497681346872</v>
      </c>
      <c r="BH22">
        <v>0.14814529642268759</v>
      </c>
      <c r="BR22" t="s">
        <v>578</v>
      </c>
      <c r="BS22">
        <v>0.22148982645206464</v>
      </c>
      <c r="BT22">
        <v>0.19138336197136799</v>
      </c>
      <c r="BU22">
        <v>0.23692605499980143</v>
      </c>
      <c r="BV22">
        <v>0.13538909427481247</v>
      </c>
      <c r="BW22">
        <v>0.12091305674301744</v>
      </c>
      <c r="BX22">
        <v>0.13702559717753698</v>
      </c>
      <c r="BY22">
        <v>9.2194465169640069E-2</v>
      </c>
      <c r="BZ22">
        <v>7.5546422261876342E-2</v>
      </c>
      <c r="CA22">
        <v>9.6295151810593685E-2</v>
      </c>
      <c r="CB22">
        <v>0.22730556023108855</v>
      </c>
      <c r="CC22">
        <v>0.20836107760544989</v>
      </c>
      <c r="CD22">
        <v>0.21086786431260407</v>
      </c>
      <c r="CF22" t="s">
        <v>578</v>
      </c>
      <c r="CG22" t="s">
        <v>108</v>
      </c>
      <c r="CH22" t="s">
        <v>109</v>
      </c>
      <c r="CI22">
        <v>0.23452355381903342</v>
      </c>
    </row>
    <row r="23" spans="2:87" x14ac:dyDescent="0.45">
      <c r="B23" t="s">
        <v>579</v>
      </c>
      <c r="C23" t="s">
        <v>99</v>
      </c>
      <c r="D23">
        <v>0.49033022806469051</v>
      </c>
      <c r="E23">
        <v>0.51189628631463535</v>
      </c>
      <c r="F23">
        <v>0.48070112440487112</v>
      </c>
      <c r="G23">
        <v>0.4632215613319231</v>
      </c>
      <c r="H23">
        <v>0.47750032847561258</v>
      </c>
      <c r="I23">
        <v>0.42354173380338678</v>
      </c>
      <c r="J23">
        <v>0.44601093290345095</v>
      </c>
      <c r="K23">
        <v>0.46052031511903657</v>
      </c>
      <c r="L23">
        <v>0.39723864274066878</v>
      </c>
      <c r="M23">
        <v>0.45753479266999947</v>
      </c>
      <c r="N23">
        <v>0.51194987315068885</v>
      </c>
      <c r="O23">
        <v>0.44205262472438767</v>
      </c>
      <c r="Q23" t="s">
        <v>579</v>
      </c>
      <c r="R23" t="s">
        <v>100</v>
      </c>
      <c r="S23">
        <v>2.4023512024359862E-2</v>
      </c>
      <c r="T23">
        <v>2.0758546866106967E-2</v>
      </c>
      <c r="U23">
        <v>6.5550383380816243E-2</v>
      </c>
      <c r="V23">
        <v>6.6541099438329671E-2</v>
      </c>
      <c r="W23">
        <v>7.9657962473736202E-2</v>
      </c>
      <c r="X23">
        <v>9.8872857777854525E-2</v>
      </c>
      <c r="Y23">
        <v>5.6745115722534815E-2</v>
      </c>
      <c r="Z23">
        <v>4.299882472225245E-2</v>
      </c>
      <c r="AA23">
        <v>7.7218085177190782E-2</v>
      </c>
      <c r="AB23">
        <v>4.3770085354492137E-2</v>
      </c>
      <c r="AC23">
        <v>2.0880261148738595E-2</v>
      </c>
      <c r="AD23">
        <v>4.5820816833091763E-2</v>
      </c>
      <c r="AF23" t="s">
        <v>579</v>
      </c>
      <c r="AG23" t="s">
        <v>101</v>
      </c>
      <c r="AH23">
        <v>8.1465617972450513E-2</v>
      </c>
      <c r="AI23">
        <v>8.9553489702325004E-3</v>
      </c>
      <c r="AJ23">
        <v>3.3876940025640755E-2</v>
      </c>
      <c r="AK23">
        <v>0.1324707252040366</v>
      </c>
      <c r="AL23">
        <v>2.3079050767828586E-2</v>
      </c>
      <c r="AM23">
        <v>4.8224198698853263E-2</v>
      </c>
      <c r="AN23">
        <v>6.6004720722519797E-2</v>
      </c>
      <c r="AO23">
        <v>5.7997892109123553E-2</v>
      </c>
      <c r="AP23">
        <v>2.1804179913753326E-2</v>
      </c>
      <c r="AQ23">
        <v>7.6251535729300338E-2</v>
      </c>
      <c r="AR23">
        <v>4.0996395691348039E-2</v>
      </c>
      <c r="AS23">
        <v>4.9713449927224838E-2</v>
      </c>
      <c r="AU23" t="s">
        <v>579</v>
      </c>
      <c r="AV23" t="s">
        <v>102</v>
      </c>
      <c r="AW23">
        <v>0.24546981660771997</v>
      </c>
      <c r="AX23">
        <v>0.36072033795499103</v>
      </c>
      <c r="AY23">
        <v>0.25166130311860535</v>
      </c>
      <c r="AZ23">
        <v>0.15391583737255388</v>
      </c>
      <c r="BA23">
        <v>0.25848640962190178</v>
      </c>
      <c r="BB23">
        <v>0.15497445003159707</v>
      </c>
      <c r="BC23">
        <v>0.20030893357875595</v>
      </c>
      <c r="BD23">
        <v>0.24648974478117996</v>
      </c>
      <c r="BE23">
        <v>0.1805749018387465</v>
      </c>
      <c r="BF23">
        <v>0.21927561778741192</v>
      </c>
      <c r="BG23">
        <v>0.31482441825413615</v>
      </c>
      <c r="BH23">
        <v>0.22440203440274414</v>
      </c>
      <c r="BR23" t="s">
        <v>579</v>
      </c>
      <c r="BS23">
        <v>0.12813649574947905</v>
      </c>
      <c r="BT23">
        <v>0.11769327026817741</v>
      </c>
      <c r="BU23">
        <v>0.14185882756439105</v>
      </c>
      <c r="BV23">
        <v>7.5727481384724932E-2</v>
      </c>
      <c r="BW23">
        <v>8.2992872035601586E-2</v>
      </c>
      <c r="BX23">
        <v>8.662576117152955E-2</v>
      </c>
      <c r="BY23">
        <v>4.9838360552910119E-2</v>
      </c>
      <c r="BZ23">
        <v>5.4340509307044357E-2</v>
      </c>
      <c r="CA23">
        <v>5.8976770490846611E-2</v>
      </c>
      <c r="CB23">
        <v>0.13261892889712038</v>
      </c>
      <c r="CC23">
        <v>0.14219546771447103</v>
      </c>
      <c r="CD23">
        <v>0.13021845765959389</v>
      </c>
      <c r="CF23" t="s">
        <v>579</v>
      </c>
      <c r="CG23" t="s">
        <v>108</v>
      </c>
      <c r="CH23" t="s">
        <v>109</v>
      </c>
      <c r="CI23">
        <v>0.1410544670589913</v>
      </c>
    </row>
    <row r="24" spans="2:87" x14ac:dyDescent="0.45">
      <c r="B24" t="s">
        <v>580</v>
      </c>
      <c r="C24" t="s">
        <v>99</v>
      </c>
      <c r="D24">
        <v>0.47146076758081062</v>
      </c>
      <c r="E24">
        <v>0.52298886692517277</v>
      </c>
      <c r="F24">
        <v>0.45215753181510393</v>
      </c>
      <c r="G24">
        <v>0.41246646495214589</v>
      </c>
      <c r="H24">
        <v>0.47775657269601274</v>
      </c>
      <c r="I24">
        <v>0.40350483531092007</v>
      </c>
      <c r="J24">
        <v>0.40487056721948822</v>
      </c>
      <c r="K24">
        <v>0.44688019793324668</v>
      </c>
      <c r="L24">
        <v>0.37247135335414805</v>
      </c>
      <c r="M24">
        <v>0.477514902257407</v>
      </c>
      <c r="N24">
        <v>0.50077991756328322</v>
      </c>
      <c r="O24">
        <v>0.4291260762405395</v>
      </c>
      <c r="Q24" t="s">
        <v>580</v>
      </c>
      <c r="R24" t="s">
        <v>100</v>
      </c>
      <c r="S24">
        <v>2.0816930387562323E-2</v>
      </c>
      <c r="T24">
        <v>1.1704318695111283E-2</v>
      </c>
      <c r="U24">
        <v>7.4472093234730433E-2</v>
      </c>
      <c r="V24">
        <v>7.6491640885921655E-2</v>
      </c>
      <c r="W24">
        <v>8.9259957431570391E-2</v>
      </c>
      <c r="X24">
        <v>8.3451028892780402E-2</v>
      </c>
      <c r="Y24">
        <v>5.7046885995320713E-2</v>
      </c>
      <c r="Z24">
        <v>6.757834360802667E-2</v>
      </c>
      <c r="AA24">
        <v>0.10376981231731637</v>
      </c>
      <c r="AB24">
        <v>5.0663808780089373E-2</v>
      </c>
      <c r="AC24">
        <v>2.1936375281403069E-2</v>
      </c>
      <c r="AD24">
        <v>4.8384581846772509E-2</v>
      </c>
      <c r="AF24" t="s">
        <v>580</v>
      </c>
      <c r="AG24" t="s">
        <v>101</v>
      </c>
      <c r="AH24">
        <v>7.5375029617871972E-2</v>
      </c>
      <c r="AI24">
        <v>2.1278939198080014E-2</v>
      </c>
      <c r="AJ24">
        <v>3.7472614238180588E-2</v>
      </c>
      <c r="AK24">
        <v>0.10034267338155675</v>
      </c>
      <c r="AL24">
        <v>8.9374670661496763E-2</v>
      </c>
      <c r="AM24">
        <v>5.5286689535231887E-2</v>
      </c>
      <c r="AN24">
        <v>6.7339615452175233E-2</v>
      </c>
      <c r="AO24">
        <v>2.5484022689587722E-2</v>
      </c>
      <c r="AP24">
        <v>1.4365364426316196E-2</v>
      </c>
      <c r="AQ24">
        <v>9.2072236679672528E-2</v>
      </c>
      <c r="AR24">
        <v>3.1794318716366524E-2</v>
      </c>
      <c r="AS24">
        <v>4.4654703497949165E-2</v>
      </c>
      <c r="AU24" t="s">
        <v>580</v>
      </c>
      <c r="AV24" t="s">
        <v>102</v>
      </c>
      <c r="AW24">
        <v>0.24114429886902322</v>
      </c>
      <c r="AX24">
        <v>0.36663525607093339</v>
      </c>
      <c r="AY24">
        <v>0.21766874177724785</v>
      </c>
      <c r="AZ24">
        <v>0.13019941113205769</v>
      </c>
      <c r="BA24">
        <v>0.17903797660168694</v>
      </c>
      <c r="BB24">
        <v>0.1422072213392917</v>
      </c>
      <c r="BC24">
        <v>0.15878636740979254</v>
      </c>
      <c r="BD24">
        <v>0.24891399911229281</v>
      </c>
      <c r="BE24">
        <v>0.13931247588987908</v>
      </c>
      <c r="BF24">
        <v>0.21165024577221783</v>
      </c>
      <c r="BG24">
        <v>0.32643969296446407</v>
      </c>
      <c r="BH24">
        <v>0.21767009105008675</v>
      </c>
      <c r="BR24" t="s">
        <v>580</v>
      </c>
      <c r="BS24">
        <v>0.17240371429555429</v>
      </c>
      <c r="BT24">
        <v>0.16360564360226917</v>
      </c>
      <c r="BU24">
        <v>0.19336852666865861</v>
      </c>
      <c r="BV24">
        <v>0.12026844831811816</v>
      </c>
      <c r="BW24">
        <v>0.11556996744285519</v>
      </c>
      <c r="BX24">
        <v>0.13027613601762045</v>
      </c>
      <c r="BY24">
        <v>8.5717659787643119E-2</v>
      </c>
      <c r="BZ24">
        <v>7.55860695771053E-2</v>
      </c>
      <c r="CA24">
        <v>9.1649034711156055E-2</v>
      </c>
      <c r="CB24">
        <v>0.17679289297154685</v>
      </c>
      <c r="CC24">
        <v>0.1719855054675673</v>
      </c>
      <c r="CD24">
        <v>0.17409966334883095</v>
      </c>
      <c r="CF24" t="s">
        <v>580</v>
      </c>
      <c r="CG24" t="s">
        <v>108</v>
      </c>
      <c r="CH24" t="s">
        <v>109</v>
      </c>
      <c r="CI24">
        <v>0.19192752233184701</v>
      </c>
    </row>
    <row r="25" spans="2:87" x14ac:dyDescent="0.45">
      <c r="B25" t="s">
        <v>581</v>
      </c>
      <c r="C25" t="s">
        <v>99</v>
      </c>
      <c r="D25">
        <v>0.46654019063066976</v>
      </c>
      <c r="E25">
        <v>0.50377923964362969</v>
      </c>
      <c r="F25">
        <v>0.48503110045244457</v>
      </c>
      <c r="G25">
        <v>0.43382936655745458</v>
      </c>
      <c r="H25">
        <v>0.48421628833756358</v>
      </c>
      <c r="I25">
        <v>0.40311136268707659</v>
      </c>
      <c r="J25">
        <v>0.39810320092983159</v>
      </c>
      <c r="K25">
        <v>0.4631666598608612</v>
      </c>
      <c r="L25">
        <v>0.37121846679331549</v>
      </c>
      <c r="M25">
        <v>0.48976607285858614</v>
      </c>
      <c r="N25">
        <v>0.52673663987760433</v>
      </c>
      <c r="O25">
        <v>0.48145522270775054</v>
      </c>
      <c r="Q25" t="s">
        <v>581</v>
      </c>
      <c r="R25" t="s">
        <v>100</v>
      </c>
      <c r="S25">
        <v>1.5430467958204632E-2</v>
      </c>
      <c r="T25">
        <v>1.5212768976920662E-2</v>
      </c>
      <c r="U25">
        <v>6.4765533023692715E-2</v>
      </c>
      <c r="V25">
        <v>0.12554978418793916</v>
      </c>
      <c r="W25">
        <v>8.8616416350906863E-2</v>
      </c>
      <c r="X25">
        <v>6.9581736020112694E-2</v>
      </c>
      <c r="Y25">
        <v>8.3077591151701616E-2</v>
      </c>
      <c r="Z25">
        <v>0.10949992331184495</v>
      </c>
      <c r="AA25">
        <v>0.11905825428767311</v>
      </c>
      <c r="AB25">
        <v>7.8408778847664784E-2</v>
      </c>
      <c r="AC25">
        <v>4.7884039014455551E-2</v>
      </c>
      <c r="AD25">
        <v>6.2806006054085026E-2</v>
      </c>
      <c r="AF25" t="s">
        <v>581</v>
      </c>
      <c r="AG25" t="s">
        <v>101</v>
      </c>
      <c r="AH25">
        <v>7.6725805898201702E-2</v>
      </c>
      <c r="AI25">
        <v>1.1464160598016639E-2</v>
      </c>
      <c r="AJ25">
        <v>5.0658812069638508E-2</v>
      </c>
      <c r="AK25">
        <v>8.6034776853818967E-2</v>
      </c>
      <c r="AL25">
        <v>0.12195170877383642</v>
      </c>
      <c r="AM25">
        <v>6.9104138264165754E-2</v>
      </c>
      <c r="AN25">
        <v>3.9727057724705632E-2</v>
      </c>
      <c r="AO25">
        <v>3.2122786721158321E-2</v>
      </c>
      <c r="AP25">
        <v>2.2415227337727172E-2</v>
      </c>
      <c r="AQ25">
        <v>7.4376283110662411E-2</v>
      </c>
      <c r="AR25">
        <v>7.8430465741890026E-2</v>
      </c>
      <c r="AS25">
        <v>0.10755848648071964</v>
      </c>
      <c r="AU25" t="s">
        <v>581</v>
      </c>
      <c r="AV25" t="s">
        <v>102</v>
      </c>
      <c r="AW25">
        <v>0.27504340582708148</v>
      </c>
      <c r="AX25">
        <v>0.38030396922135534</v>
      </c>
      <c r="AY25">
        <v>0.26112057977443259</v>
      </c>
      <c r="AZ25">
        <v>0.12431990282293497</v>
      </c>
      <c r="BA25">
        <v>0.15929716891652834</v>
      </c>
      <c r="BB25">
        <v>0.14942953955926372</v>
      </c>
      <c r="BC25">
        <v>0.16254208304803119</v>
      </c>
      <c r="BD25">
        <v>0.2112967956519409</v>
      </c>
      <c r="BE25">
        <v>0.12099016161018501</v>
      </c>
      <c r="BF25">
        <v>0.21570862684515651</v>
      </c>
      <c r="BG25">
        <v>0.28796992881006295</v>
      </c>
      <c r="BH25">
        <v>0.20337163101292416</v>
      </c>
      <c r="BR25" t="s">
        <v>581</v>
      </c>
      <c r="BS25">
        <v>0.11204233144752733</v>
      </c>
      <c r="BT25">
        <v>0.10887610199098062</v>
      </c>
      <c r="BU25">
        <v>0.13106655579629459</v>
      </c>
      <c r="BV25">
        <v>7.6962127182132856E-2</v>
      </c>
      <c r="BW25">
        <v>7.8980048949344323E-2</v>
      </c>
      <c r="BX25">
        <v>8.3888564821066117E-2</v>
      </c>
      <c r="BY25">
        <v>4.7419688593357059E-2</v>
      </c>
      <c r="BZ25">
        <v>4.928467317779154E-2</v>
      </c>
      <c r="CA25">
        <v>5.7168441206685849E-2</v>
      </c>
      <c r="CB25">
        <v>0.10953498055507904</v>
      </c>
      <c r="CC25">
        <v>0.11338844938270215</v>
      </c>
      <c r="CD25">
        <v>0.11176539407578219</v>
      </c>
      <c r="CF25" t="s">
        <v>581</v>
      </c>
      <c r="CG25" t="s">
        <v>108</v>
      </c>
      <c r="CH25" t="s">
        <v>109</v>
      </c>
      <c r="CI25">
        <v>0.12995711917626776</v>
      </c>
    </row>
    <row r="26" spans="2:87" x14ac:dyDescent="0.45">
      <c r="B26" t="s">
        <v>582</v>
      </c>
      <c r="C26" t="s">
        <v>99</v>
      </c>
      <c r="D26">
        <v>0.52471098845386854</v>
      </c>
      <c r="E26">
        <v>0.54158747618058711</v>
      </c>
      <c r="F26">
        <v>0.52945091580541181</v>
      </c>
      <c r="G26">
        <v>0.42566536157631751</v>
      </c>
      <c r="H26">
        <v>0.48625876141191932</v>
      </c>
      <c r="I26">
        <v>0.4190852335997694</v>
      </c>
      <c r="J26">
        <v>0.42054105649946627</v>
      </c>
      <c r="K26">
        <v>0.47635457129956182</v>
      </c>
      <c r="L26">
        <v>0.43445535525253309</v>
      </c>
      <c r="M26">
        <v>0.49754906280860617</v>
      </c>
      <c r="N26">
        <v>0.53611356638771135</v>
      </c>
      <c r="O26">
        <v>0.48644244902581441</v>
      </c>
      <c r="Q26" t="s">
        <v>582</v>
      </c>
      <c r="R26" t="s">
        <v>100</v>
      </c>
      <c r="S26">
        <v>1.9248500867154048E-2</v>
      </c>
      <c r="T26">
        <v>2.6991627672065342E-2</v>
      </c>
      <c r="U26">
        <v>4.9338399789945774E-2</v>
      </c>
      <c r="V26">
        <v>0.10921410908741451</v>
      </c>
      <c r="W26">
        <v>9.7067659045246432E-2</v>
      </c>
      <c r="X26">
        <v>6.2357367334320728E-2</v>
      </c>
      <c r="Y26">
        <v>0.10118587481932437</v>
      </c>
      <c r="Z26">
        <v>0.10074065273977321</v>
      </c>
      <c r="AA26">
        <v>0.14198111004301509</v>
      </c>
      <c r="AB26">
        <v>8.6672091811815968E-2</v>
      </c>
      <c r="AC26">
        <v>0.10596096683836459</v>
      </c>
      <c r="AD26">
        <v>6.9218400924910675E-2</v>
      </c>
      <c r="AF26" t="s">
        <v>582</v>
      </c>
      <c r="AG26" t="s">
        <v>101</v>
      </c>
      <c r="AH26">
        <v>4.2935101229252252E-2</v>
      </c>
      <c r="AI26">
        <v>2.2418967585240788E-2</v>
      </c>
      <c r="AJ26">
        <v>8.0485943947916902E-2</v>
      </c>
      <c r="AK26">
        <v>9.3201857529428181E-2</v>
      </c>
      <c r="AL26">
        <v>0.12430717842541972</v>
      </c>
      <c r="AM26">
        <v>9.2539904541910453E-2</v>
      </c>
      <c r="AN26">
        <v>4.0244515601917476E-2</v>
      </c>
      <c r="AO26">
        <v>4.2453780845581331E-2</v>
      </c>
      <c r="AP26">
        <v>2.5555562673790975E-2</v>
      </c>
      <c r="AQ26">
        <v>8.3444620692985666E-2</v>
      </c>
      <c r="AR26">
        <v>8.8303612416150201E-2</v>
      </c>
      <c r="AS26">
        <v>0.12890224437668354</v>
      </c>
      <c r="AU26" t="s">
        <v>582</v>
      </c>
      <c r="AV26" t="s">
        <v>102</v>
      </c>
      <c r="AW26">
        <v>0.34971926495145378</v>
      </c>
      <c r="AX26">
        <v>0.39336075795423764</v>
      </c>
      <c r="AY26">
        <v>0.27938251164805561</v>
      </c>
      <c r="AZ26">
        <v>0.11501820428107477</v>
      </c>
      <c r="BA26">
        <v>0.1493624542536178</v>
      </c>
      <c r="BB26">
        <v>0.14652699987646597</v>
      </c>
      <c r="BC26">
        <v>0.16140322223143341</v>
      </c>
      <c r="BD26">
        <v>0.22149079846394967</v>
      </c>
      <c r="BE26">
        <v>0.15077931071436293</v>
      </c>
      <c r="BF26">
        <v>0.20914532235964042</v>
      </c>
      <c r="BG26">
        <v>0.22297766321827964</v>
      </c>
      <c r="BH26">
        <v>0.1727531721109444</v>
      </c>
      <c r="BR26" t="s">
        <v>582</v>
      </c>
      <c r="BS26">
        <v>0.10177165330452327</v>
      </c>
      <c r="BT26">
        <v>9.4170063257398504E-2</v>
      </c>
      <c r="BU26">
        <v>0.11652040450307713</v>
      </c>
      <c r="BV26">
        <v>7.8104417715582283E-2</v>
      </c>
      <c r="BW26">
        <v>7.690667109589254E-2</v>
      </c>
      <c r="BX26">
        <v>8.9449859656177563E-2</v>
      </c>
      <c r="BY26">
        <v>5.4334739116118566E-2</v>
      </c>
      <c r="BZ26">
        <v>5.0451591057682654E-2</v>
      </c>
      <c r="CA26">
        <v>5.6746620019902883E-2</v>
      </c>
      <c r="CB26">
        <v>8.8259159689986627E-2</v>
      </c>
      <c r="CC26">
        <v>9.3882889688145468E-2</v>
      </c>
      <c r="CD26">
        <v>0.10267181088988014</v>
      </c>
      <c r="CF26" t="s">
        <v>582</v>
      </c>
      <c r="CG26" t="s">
        <v>108</v>
      </c>
      <c r="CH26" t="s">
        <v>109</v>
      </c>
      <c r="CI26">
        <v>0.11545536403018222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FD49D-69C2-4191-9A5A-66CB2D73D6E4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0.22197213270358729</v>
      </c>
      <c r="P11">
        <v>2020</v>
      </c>
      <c r="Q11" t="s">
        <v>193</v>
      </c>
      <c r="R11">
        <v>0.27886666666666665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8.4709484982861127E-2</v>
      </c>
      <c r="P12">
        <v>2020</v>
      </c>
      <c r="Q12" t="s">
        <v>195</v>
      </c>
      <c r="R12">
        <v>0.28170000000000001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0.14470807434386934</v>
      </c>
      <c r="P13">
        <v>2020</v>
      </c>
      <c r="Q13" t="s">
        <v>196</v>
      </c>
      <c r="R13">
        <v>0.3746666666666667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0.31960371987094316</v>
      </c>
      <c r="P14">
        <v>2020</v>
      </c>
      <c r="Q14" t="s">
        <v>197</v>
      </c>
      <c r="R14">
        <v>0.30306666666666665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0.13894544319476232</v>
      </c>
      <c r="P15">
        <v>2021</v>
      </c>
      <c r="Q15" t="s">
        <v>193</v>
      </c>
      <c r="R15">
        <v>0.26756666666666667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0.22217175692533431</v>
      </c>
      <c r="P16">
        <v>2021</v>
      </c>
      <c r="Q16" t="s">
        <v>195</v>
      </c>
      <c r="R16">
        <v>0.24306666666666668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0.23045253458036474</v>
      </c>
      <c r="P17">
        <v>2021</v>
      </c>
      <c r="Q17" t="s">
        <v>196</v>
      </c>
      <c r="R17">
        <v>0.4190666666666667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0.11939115181148918</v>
      </c>
      <c r="P18">
        <v>2021</v>
      </c>
      <c r="Q18" t="s">
        <v>197</v>
      </c>
      <c r="R18">
        <v>0.25446666666666667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0.15645787748465811</v>
      </c>
      <c r="P19">
        <v>2022</v>
      </c>
      <c r="Q19" t="s">
        <v>193</v>
      </c>
      <c r="R19">
        <v>0.22466666666666668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0.35546445242925517</v>
      </c>
      <c r="P20">
        <v>2022</v>
      </c>
      <c r="Q20" t="s">
        <v>195</v>
      </c>
      <c r="R20">
        <v>0.23303333333333334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0.17008380134397516</v>
      </c>
      <c r="P21">
        <v>2022</v>
      </c>
      <c r="Q21" t="s">
        <v>196</v>
      </c>
      <c r="R21">
        <v>0.31319999999999998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0.24446928922653788</v>
      </c>
      <c r="P22">
        <v>2022</v>
      </c>
      <c r="Q22" t="s">
        <v>197</v>
      </c>
      <c r="R22">
        <v>0.22989999999999999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0.26369999999999999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0.25206666666666666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0.37946666666666662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0.27790000000000004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0.23240000000000002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0.26023333333333337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0.3891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0.26973333333333332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0.24993333333333334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0.25436666666666669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0.36630000000000001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0.32746666666666663</v>
      </c>
      <c r="S34" t="s">
        <v>194</v>
      </c>
    </row>
    <row r="35" spans="8:19" x14ac:dyDescent="0.45">
      <c r="P35">
        <v>2028</v>
      </c>
      <c r="Q35" t="s">
        <v>193</v>
      </c>
      <c r="R35">
        <v>0.29683333333333334</v>
      </c>
      <c r="S35" t="s">
        <v>194</v>
      </c>
    </row>
    <row r="36" spans="8:19" x14ac:dyDescent="0.45">
      <c r="P36">
        <v>2028</v>
      </c>
      <c r="Q36" t="s">
        <v>195</v>
      </c>
      <c r="R36">
        <v>0.29469999999999996</v>
      </c>
      <c r="S36" t="s">
        <v>194</v>
      </c>
    </row>
    <row r="37" spans="8:19" x14ac:dyDescent="0.45">
      <c r="P37">
        <v>2028</v>
      </c>
      <c r="Q37" t="s">
        <v>196</v>
      </c>
      <c r="R37">
        <v>0.47143333333333332</v>
      </c>
      <c r="S37" t="s">
        <v>194</v>
      </c>
    </row>
    <row r="38" spans="8:19" x14ac:dyDescent="0.45">
      <c r="P38">
        <v>2028</v>
      </c>
      <c r="Q38" t="s">
        <v>197</v>
      </c>
      <c r="R38">
        <v>0.31273333333333336</v>
      </c>
      <c r="S38" t="s">
        <v>194</v>
      </c>
    </row>
    <row r="39" spans="8:19" x14ac:dyDescent="0.45">
      <c r="P39">
        <v>2029</v>
      </c>
      <c r="Q39" t="s">
        <v>193</v>
      </c>
      <c r="R39">
        <v>0.30913333333333332</v>
      </c>
      <c r="S39" t="s">
        <v>194</v>
      </c>
    </row>
    <row r="40" spans="8:19" x14ac:dyDescent="0.45">
      <c r="P40">
        <v>2029</v>
      </c>
      <c r="Q40" t="s">
        <v>195</v>
      </c>
      <c r="R40">
        <v>0.27963333333333334</v>
      </c>
      <c r="S40" t="s">
        <v>194</v>
      </c>
    </row>
    <row r="41" spans="8:19" x14ac:dyDescent="0.45">
      <c r="P41">
        <v>2029</v>
      </c>
      <c r="Q41" t="s">
        <v>196</v>
      </c>
      <c r="R41">
        <v>0.43053333333333327</v>
      </c>
      <c r="S41" t="s">
        <v>194</v>
      </c>
    </row>
    <row r="42" spans="8:19" x14ac:dyDescent="0.45">
      <c r="P42">
        <v>2029</v>
      </c>
      <c r="Q42" t="s">
        <v>197</v>
      </c>
      <c r="R42">
        <v>0.32423333333333337</v>
      </c>
      <c r="S42" t="s">
        <v>194</v>
      </c>
    </row>
    <row r="43" spans="8:19" x14ac:dyDescent="0.45">
      <c r="P43">
        <v>2030</v>
      </c>
      <c r="Q43" t="s">
        <v>193</v>
      </c>
      <c r="R43">
        <v>0.31393333333333334</v>
      </c>
      <c r="S43" t="s">
        <v>194</v>
      </c>
    </row>
    <row r="44" spans="8:19" x14ac:dyDescent="0.45">
      <c r="P44">
        <v>2030</v>
      </c>
      <c r="Q44" t="s">
        <v>195</v>
      </c>
      <c r="R44">
        <v>0.3274333333333333</v>
      </c>
      <c r="S44" t="s">
        <v>194</v>
      </c>
    </row>
    <row r="45" spans="8:19" x14ac:dyDescent="0.45">
      <c r="P45">
        <v>2030</v>
      </c>
      <c r="Q45" t="s">
        <v>196</v>
      </c>
      <c r="R45">
        <v>0.46556666666666668</v>
      </c>
      <c r="S45" t="s">
        <v>194</v>
      </c>
    </row>
    <row r="46" spans="8:19" x14ac:dyDescent="0.45">
      <c r="P46">
        <v>2030</v>
      </c>
      <c r="Q46" t="s">
        <v>197</v>
      </c>
      <c r="R46">
        <v>0.32099999999999995</v>
      </c>
      <c r="S46" t="s">
        <v>194</v>
      </c>
    </row>
    <row r="47" spans="8:19" x14ac:dyDescent="0.45">
      <c r="P47">
        <v>2031</v>
      </c>
      <c r="Q47" t="s">
        <v>193</v>
      </c>
      <c r="R47">
        <v>0.31513333333333332</v>
      </c>
      <c r="S47" t="s">
        <v>194</v>
      </c>
    </row>
    <row r="48" spans="8:19" x14ac:dyDescent="0.45">
      <c r="P48">
        <v>2031</v>
      </c>
      <c r="Q48" t="s">
        <v>195</v>
      </c>
      <c r="R48">
        <v>0.27993333333333331</v>
      </c>
      <c r="S48" t="s">
        <v>194</v>
      </c>
    </row>
    <row r="49" spans="16:19" x14ac:dyDescent="0.45">
      <c r="P49">
        <v>2031</v>
      </c>
      <c r="Q49" t="s">
        <v>196</v>
      </c>
      <c r="R49">
        <v>0.45293333333333335</v>
      </c>
      <c r="S49" t="s">
        <v>194</v>
      </c>
    </row>
    <row r="50" spans="16:19" x14ac:dyDescent="0.45">
      <c r="P50">
        <v>2031</v>
      </c>
      <c r="Q50" t="s">
        <v>197</v>
      </c>
      <c r="R50">
        <v>0.31756666666666672</v>
      </c>
      <c r="S50" t="s">
        <v>194</v>
      </c>
    </row>
    <row r="51" spans="16:19" x14ac:dyDescent="0.45">
      <c r="P51">
        <v>2032</v>
      </c>
      <c r="Q51" t="s">
        <v>193</v>
      </c>
      <c r="R51">
        <v>0.32116666666666666</v>
      </c>
      <c r="S51" t="s">
        <v>194</v>
      </c>
    </row>
    <row r="52" spans="16:19" x14ac:dyDescent="0.45">
      <c r="P52">
        <v>2032</v>
      </c>
      <c r="Q52" t="s">
        <v>195</v>
      </c>
      <c r="R52">
        <v>0.32406666666666667</v>
      </c>
      <c r="S52" t="s">
        <v>194</v>
      </c>
    </row>
    <row r="53" spans="16:19" x14ac:dyDescent="0.45">
      <c r="P53">
        <v>2032</v>
      </c>
      <c r="Q53" t="s">
        <v>196</v>
      </c>
      <c r="R53">
        <v>0.46383333333333332</v>
      </c>
      <c r="S53" t="s">
        <v>194</v>
      </c>
    </row>
    <row r="54" spans="16:19" x14ac:dyDescent="0.45">
      <c r="P54">
        <v>2032</v>
      </c>
      <c r="Q54" t="s">
        <v>197</v>
      </c>
      <c r="R54">
        <v>0.32050000000000001</v>
      </c>
      <c r="S54" t="s">
        <v>194</v>
      </c>
    </row>
    <row r="55" spans="16:19" x14ac:dyDescent="0.45">
      <c r="P55">
        <v>2033</v>
      </c>
      <c r="Q55" t="s">
        <v>193</v>
      </c>
      <c r="R55">
        <v>0.28553333333333336</v>
      </c>
      <c r="S55" t="s">
        <v>194</v>
      </c>
    </row>
    <row r="56" spans="16:19" x14ac:dyDescent="0.45">
      <c r="P56">
        <v>2033</v>
      </c>
      <c r="Q56" t="s">
        <v>195</v>
      </c>
      <c r="R56">
        <v>0.29236666666666666</v>
      </c>
      <c r="S56" t="s">
        <v>194</v>
      </c>
    </row>
    <row r="57" spans="16:19" x14ac:dyDescent="0.45">
      <c r="P57">
        <v>2033</v>
      </c>
      <c r="Q57" t="s">
        <v>196</v>
      </c>
      <c r="R57">
        <v>0.44373333333333331</v>
      </c>
      <c r="S57" t="s">
        <v>194</v>
      </c>
    </row>
    <row r="58" spans="16:19" x14ac:dyDescent="0.45">
      <c r="P58">
        <v>2033</v>
      </c>
      <c r="Q58" t="s">
        <v>197</v>
      </c>
      <c r="R58">
        <v>0.30050000000000004</v>
      </c>
      <c r="S58" t="s">
        <v>194</v>
      </c>
    </row>
    <row r="59" spans="16:19" x14ac:dyDescent="0.45">
      <c r="P59">
        <v>2034</v>
      </c>
      <c r="Q59" t="s">
        <v>193</v>
      </c>
      <c r="R59">
        <v>0.30433333333333334</v>
      </c>
      <c r="S59" t="s">
        <v>194</v>
      </c>
    </row>
    <row r="60" spans="16:19" x14ac:dyDescent="0.45">
      <c r="P60">
        <v>2034</v>
      </c>
      <c r="Q60" t="s">
        <v>195</v>
      </c>
      <c r="R60">
        <v>0.32886666666666664</v>
      </c>
      <c r="S60" t="s">
        <v>194</v>
      </c>
    </row>
    <row r="61" spans="16:19" x14ac:dyDescent="0.45">
      <c r="P61">
        <v>2034</v>
      </c>
      <c r="Q61" t="s">
        <v>196</v>
      </c>
      <c r="R61">
        <v>0.44026666666666675</v>
      </c>
      <c r="S61" t="s">
        <v>194</v>
      </c>
    </row>
    <row r="62" spans="16:19" x14ac:dyDescent="0.45">
      <c r="P62">
        <v>2034</v>
      </c>
      <c r="Q62" t="s">
        <v>197</v>
      </c>
      <c r="R62">
        <v>0.3301</v>
      </c>
      <c r="S62" t="s">
        <v>194</v>
      </c>
    </row>
    <row r="63" spans="16:19" x14ac:dyDescent="0.45">
      <c r="P63">
        <v>2035</v>
      </c>
      <c r="Q63" t="s">
        <v>193</v>
      </c>
      <c r="R63">
        <v>0.27323333333333333</v>
      </c>
      <c r="S63" t="s">
        <v>194</v>
      </c>
    </row>
    <row r="64" spans="16:19" x14ac:dyDescent="0.45">
      <c r="P64">
        <v>2035</v>
      </c>
      <c r="Q64" t="s">
        <v>195</v>
      </c>
      <c r="R64">
        <v>0.27489999999999998</v>
      </c>
      <c r="S64" t="s">
        <v>194</v>
      </c>
    </row>
    <row r="65" spans="16:19" x14ac:dyDescent="0.45">
      <c r="P65">
        <v>2035</v>
      </c>
      <c r="Q65" t="s">
        <v>196</v>
      </c>
      <c r="R65">
        <v>0.38610000000000005</v>
      </c>
      <c r="S65" t="s">
        <v>194</v>
      </c>
    </row>
    <row r="66" spans="16:19" x14ac:dyDescent="0.45">
      <c r="P66">
        <v>2035</v>
      </c>
      <c r="Q66" t="s">
        <v>197</v>
      </c>
      <c r="R66">
        <v>0.29493333333333333</v>
      </c>
      <c r="S66" t="s">
        <v>194</v>
      </c>
    </row>
    <row r="67" spans="16:19" x14ac:dyDescent="0.45">
      <c r="P67">
        <v>2036</v>
      </c>
      <c r="Q67" t="s">
        <v>193</v>
      </c>
      <c r="R67">
        <v>0.25030000000000002</v>
      </c>
      <c r="S67" t="s">
        <v>194</v>
      </c>
    </row>
    <row r="68" spans="16:19" x14ac:dyDescent="0.45">
      <c r="P68">
        <v>2036</v>
      </c>
      <c r="Q68" t="s">
        <v>195</v>
      </c>
      <c r="R68">
        <v>0.2442</v>
      </c>
      <c r="S68" t="s">
        <v>194</v>
      </c>
    </row>
    <row r="69" spans="16:19" x14ac:dyDescent="0.45">
      <c r="P69">
        <v>2036</v>
      </c>
      <c r="Q69" t="s">
        <v>196</v>
      </c>
      <c r="R69">
        <v>0.35400000000000004</v>
      </c>
      <c r="S69" t="s">
        <v>194</v>
      </c>
    </row>
    <row r="70" spans="16:19" x14ac:dyDescent="0.45">
      <c r="P70">
        <v>2036</v>
      </c>
      <c r="Q70" t="s">
        <v>197</v>
      </c>
      <c r="R70">
        <v>0.21916666666666665</v>
      </c>
      <c r="S70" t="s">
        <v>194</v>
      </c>
    </row>
    <row r="71" spans="16:19" x14ac:dyDescent="0.45">
      <c r="P71">
        <v>2037</v>
      </c>
      <c r="Q71" t="s">
        <v>193</v>
      </c>
      <c r="R71">
        <v>0.22456666666666666</v>
      </c>
      <c r="S71" t="s">
        <v>194</v>
      </c>
    </row>
    <row r="72" spans="16:19" x14ac:dyDescent="0.45">
      <c r="P72">
        <v>2037</v>
      </c>
      <c r="Q72" t="s">
        <v>195</v>
      </c>
      <c r="R72">
        <v>0.23803333333333332</v>
      </c>
      <c r="S72" t="s">
        <v>194</v>
      </c>
    </row>
    <row r="73" spans="16:19" x14ac:dyDescent="0.45">
      <c r="P73">
        <v>2037</v>
      </c>
      <c r="Q73" t="s">
        <v>196</v>
      </c>
      <c r="R73">
        <v>0.32946666666666669</v>
      </c>
      <c r="S73" t="s">
        <v>194</v>
      </c>
    </row>
    <row r="74" spans="16:19" x14ac:dyDescent="0.45">
      <c r="P74">
        <v>2037</v>
      </c>
      <c r="Q74" t="s">
        <v>197</v>
      </c>
      <c r="R74">
        <v>0.23236666666666664</v>
      </c>
      <c r="S74" t="s">
        <v>194</v>
      </c>
    </row>
    <row r="75" spans="16:19" x14ac:dyDescent="0.45">
      <c r="P75">
        <v>2038</v>
      </c>
      <c r="Q75" t="s">
        <v>193</v>
      </c>
      <c r="R75">
        <v>0.22999999999999998</v>
      </c>
      <c r="S75" t="s">
        <v>194</v>
      </c>
    </row>
    <row r="76" spans="16:19" x14ac:dyDescent="0.45">
      <c r="P76">
        <v>2038</v>
      </c>
      <c r="Q76" t="s">
        <v>195</v>
      </c>
      <c r="R76">
        <v>0.22103333333333333</v>
      </c>
      <c r="S76" t="s">
        <v>194</v>
      </c>
    </row>
    <row r="77" spans="16:19" x14ac:dyDescent="0.45">
      <c r="P77">
        <v>2038</v>
      </c>
      <c r="Q77" t="s">
        <v>196</v>
      </c>
      <c r="R77">
        <v>0.34933333333333333</v>
      </c>
      <c r="S77" t="s">
        <v>194</v>
      </c>
    </row>
    <row r="78" spans="16:19" x14ac:dyDescent="0.45">
      <c r="P78">
        <v>2038</v>
      </c>
      <c r="Q78" t="s">
        <v>197</v>
      </c>
      <c r="R78">
        <v>0.2732666666666666</v>
      </c>
      <c r="S78" t="s">
        <v>194</v>
      </c>
    </row>
    <row r="79" spans="16:19" x14ac:dyDescent="0.45">
      <c r="P79">
        <v>2039</v>
      </c>
      <c r="Q79" t="s">
        <v>193</v>
      </c>
      <c r="R79">
        <v>0.26860000000000001</v>
      </c>
      <c r="S79" t="s">
        <v>194</v>
      </c>
    </row>
    <row r="80" spans="16:19" x14ac:dyDescent="0.45">
      <c r="P80">
        <v>2039</v>
      </c>
      <c r="Q80" t="s">
        <v>195</v>
      </c>
      <c r="R80">
        <v>0.24006666666666665</v>
      </c>
      <c r="S80" t="s">
        <v>194</v>
      </c>
    </row>
    <row r="81" spans="16:19" x14ac:dyDescent="0.45">
      <c r="P81">
        <v>2039</v>
      </c>
      <c r="Q81" t="s">
        <v>196</v>
      </c>
      <c r="R81">
        <v>0.34749999999999998</v>
      </c>
      <c r="S81" t="s">
        <v>194</v>
      </c>
    </row>
    <row r="82" spans="16:19" x14ac:dyDescent="0.45">
      <c r="P82">
        <v>2039</v>
      </c>
      <c r="Q82" t="s">
        <v>197</v>
      </c>
      <c r="R82">
        <v>0.22003333333333333</v>
      </c>
      <c r="S82" t="s">
        <v>194</v>
      </c>
    </row>
    <row r="83" spans="16:19" x14ac:dyDescent="0.45">
      <c r="P83">
        <v>2040</v>
      </c>
      <c r="Q83" t="s">
        <v>193</v>
      </c>
      <c r="R83">
        <v>0.22606666666666667</v>
      </c>
      <c r="S83" t="s">
        <v>194</v>
      </c>
    </row>
    <row r="84" spans="16:19" x14ac:dyDescent="0.45">
      <c r="P84">
        <v>2040</v>
      </c>
      <c r="Q84" t="s">
        <v>195</v>
      </c>
      <c r="R84">
        <v>0.23170000000000002</v>
      </c>
      <c r="S84" t="s">
        <v>194</v>
      </c>
    </row>
    <row r="85" spans="16:19" x14ac:dyDescent="0.45">
      <c r="P85">
        <v>2040</v>
      </c>
      <c r="Q85" t="s">
        <v>196</v>
      </c>
      <c r="R85">
        <v>0.32396666666666668</v>
      </c>
      <c r="S85" t="s">
        <v>194</v>
      </c>
    </row>
    <row r="86" spans="16:19" x14ac:dyDescent="0.45">
      <c r="P86">
        <v>2040</v>
      </c>
      <c r="Q86" t="s">
        <v>197</v>
      </c>
      <c r="R86">
        <v>0.24803333333333333</v>
      </c>
      <c r="S86" t="s">
        <v>194</v>
      </c>
    </row>
    <row r="87" spans="16:19" x14ac:dyDescent="0.45">
      <c r="P87">
        <v>2041</v>
      </c>
      <c r="Q87" t="s">
        <v>193</v>
      </c>
      <c r="R87">
        <v>0.22059999999999999</v>
      </c>
      <c r="S87" t="s">
        <v>194</v>
      </c>
    </row>
    <row r="88" spans="16:19" x14ac:dyDescent="0.45">
      <c r="P88">
        <v>2041</v>
      </c>
      <c r="Q88" t="s">
        <v>195</v>
      </c>
      <c r="R88">
        <v>0.21913333333333332</v>
      </c>
      <c r="S88" t="s">
        <v>194</v>
      </c>
    </row>
    <row r="89" spans="16:19" x14ac:dyDescent="0.45">
      <c r="P89">
        <v>2041</v>
      </c>
      <c r="Q89" t="s">
        <v>196</v>
      </c>
      <c r="R89">
        <v>0.33816666666666667</v>
      </c>
      <c r="S89" t="s">
        <v>194</v>
      </c>
    </row>
    <row r="90" spans="16:19" x14ac:dyDescent="0.45">
      <c r="P90">
        <v>2041</v>
      </c>
      <c r="Q90" t="s">
        <v>197</v>
      </c>
      <c r="R90">
        <v>0.23656666666666668</v>
      </c>
      <c r="S90" t="s">
        <v>194</v>
      </c>
    </row>
    <row r="91" spans="16:19" x14ac:dyDescent="0.45">
      <c r="P91">
        <v>2042</v>
      </c>
      <c r="Q91" t="s">
        <v>193</v>
      </c>
      <c r="R91">
        <v>0.23663333333333333</v>
      </c>
      <c r="S91" t="s">
        <v>194</v>
      </c>
    </row>
    <row r="92" spans="16:19" x14ac:dyDescent="0.45">
      <c r="P92">
        <v>2042</v>
      </c>
      <c r="Q92" t="s">
        <v>195</v>
      </c>
      <c r="R92">
        <v>0.19523333333333334</v>
      </c>
      <c r="S92" t="s">
        <v>194</v>
      </c>
    </row>
    <row r="93" spans="16:19" x14ac:dyDescent="0.45">
      <c r="P93">
        <v>2042</v>
      </c>
      <c r="Q93" t="s">
        <v>196</v>
      </c>
      <c r="R93">
        <v>0.32773333333333332</v>
      </c>
      <c r="S93" t="s">
        <v>194</v>
      </c>
    </row>
    <row r="94" spans="16:19" x14ac:dyDescent="0.45">
      <c r="P94">
        <v>2042</v>
      </c>
      <c r="Q94" t="s">
        <v>197</v>
      </c>
      <c r="R94">
        <v>0.2389</v>
      </c>
      <c r="S94" t="s">
        <v>194</v>
      </c>
    </row>
    <row r="95" spans="16:19" x14ac:dyDescent="0.45">
      <c r="P95">
        <v>2043</v>
      </c>
      <c r="Q95" t="s">
        <v>193</v>
      </c>
      <c r="R95">
        <v>0.23946666666666663</v>
      </c>
      <c r="S95" t="s">
        <v>194</v>
      </c>
    </row>
    <row r="96" spans="16:19" x14ac:dyDescent="0.45">
      <c r="P96">
        <v>2043</v>
      </c>
      <c r="Q96" t="s">
        <v>195</v>
      </c>
      <c r="R96">
        <v>0.23140000000000002</v>
      </c>
      <c r="S96" t="s">
        <v>194</v>
      </c>
    </row>
    <row r="97" spans="16:19" x14ac:dyDescent="0.45">
      <c r="P97">
        <v>2043</v>
      </c>
      <c r="Q97" t="s">
        <v>196</v>
      </c>
      <c r="R97">
        <v>0.34713333333333335</v>
      </c>
      <c r="S97" t="s">
        <v>194</v>
      </c>
    </row>
    <row r="98" spans="16:19" x14ac:dyDescent="0.45">
      <c r="P98">
        <v>2043</v>
      </c>
      <c r="Q98" t="s">
        <v>197</v>
      </c>
      <c r="R98">
        <v>0.19986666666666664</v>
      </c>
      <c r="S98" t="s">
        <v>194</v>
      </c>
    </row>
    <row r="99" spans="16:19" x14ac:dyDescent="0.45">
      <c r="P99">
        <v>2044</v>
      </c>
      <c r="Q99" t="s">
        <v>193</v>
      </c>
      <c r="R99">
        <v>0.21883333333333332</v>
      </c>
      <c r="S99" t="s">
        <v>194</v>
      </c>
    </row>
    <row r="100" spans="16:19" x14ac:dyDescent="0.45">
      <c r="P100">
        <v>2044</v>
      </c>
      <c r="Q100" t="s">
        <v>195</v>
      </c>
      <c r="R100">
        <v>0.1986</v>
      </c>
      <c r="S100" t="s">
        <v>194</v>
      </c>
    </row>
    <row r="101" spans="16:19" x14ac:dyDescent="0.45">
      <c r="P101">
        <v>2044</v>
      </c>
      <c r="Q101" t="s">
        <v>196</v>
      </c>
      <c r="R101">
        <v>0.33260000000000001</v>
      </c>
      <c r="S101" t="s">
        <v>194</v>
      </c>
    </row>
    <row r="102" spans="16:19" x14ac:dyDescent="0.45">
      <c r="P102">
        <v>2044</v>
      </c>
      <c r="Q102" t="s">
        <v>197</v>
      </c>
      <c r="R102">
        <v>0.24843333333333337</v>
      </c>
      <c r="S102" t="s">
        <v>194</v>
      </c>
    </row>
    <row r="103" spans="16:19" x14ac:dyDescent="0.45">
      <c r="P103">
        <v>2045</v>
      </c>
      <c r="Q103" t="s">
        <v>193</v>
      </c>
      <c r="R103">
        <v>0.25269999999999998</v>
      </c>
      <c r="S103" t="s">
        <v>194</v>
      </c>
    </row>
    <row r="104" spans="16:19" x14ac:dyDescent="0.45">
      <c r="P104">
        <v>2045</v>
      </c>
      <c r="Q104" t="s">
        <v>195</v>
      </c>
      <c r="R104">
        <v>0.25806666666666667</v>
      </c>
      <c r="S104" t="s">
        <v>194</v>
      </c>
    </row>
    <row r="105" spans="16:19" x14ac:dyDescent="0.45">
      <c r="P105">
        <v>2045</v>
      </c>
      <c r="Q105" t="s">
        <v>196</v>
      </c>
      <c r="R105">
        <v>0.35620000000000002</v>
      </c>
      <c r="S105" t="s">
        <v>194</v>
      </c>
    </row>
    <row r="106" spans="16:19" x14ac:dyDescent="0.45">
      <c r="P106">
        <v>2045</v>
      </c>
      <c r="Q106" t="s">
        <v>197</v>
      </c>
      <c r="R106">
        <v>0.24856666666666669</v>
      </c>
      <c r="S106" t="s">
        <v>194</v>
      </c>
    </row>
    <row r="107" spans="16:19" x14ac:dyDescent="0.45">
      <c r="P107">
        <v>2046</v>
      </c>
      <c r="Q107" t="s">
        <v>193</v>
      </c>
      <c r="R107">
        <v>0.24723333333333333</v>
      </c>
      <c r="S107" t="s">
        <v>194</v>
      </c>
    </row>
    <row r="108" spans="16:19" x14ac:dyDescent="0.45">
      <c r="P108">
        <v>2046</v>
      </c>
      <c r="Q108" t="s">
        <v>195</v>
      </c>
      <c r="R108">
        <v>0.24366666666666661</v>
      </c>
      <c r="S108" t="s">
        <v>194</v>
      </c>
    </row>
    <row r="109" spans="16:19" x14ac:dyDescent="0.45">
      <c r="P109">
        <v>2046</v>
      </c>
      <c r="Q109" t="s">
        <v>196</v>
      </c>
      <c r="R109">
        <v>0.36276666666666668</v>
      </c>
      <c r="S109" t="s">
        <v>194</v>
      </c>
    </row>
    <row r="110" spans="16:19" x14ac:dyDescent="0.45">
      <c r="P110">
        <v>2046</v>
      </c>
      <c r="Q110" t="s">
        <v>197</v>
      </c>
      <c r="R110">
        <v>0.30499999999999999</v>
      </c>
      <c r="S110" t="s">
        <v>194</v>
      </c>
    </row>
    <row r="111" spans="16:19" x14ac:dyDescent="0.45">
      <c r="P111">
        <v>2047</v>
      </c>
      <c r="Q111" t="s">
        <v>193</v>
      </c>
      <c r="R111">
        <v>0.30596666666666666</v>
      </c>
      <c r="S111" t="s">
        <v>194</v>
      </c>
    </row>
    <row r="112" spans="16:19" x14ac:dyDescent="0.45">
      <c r="P112">
        <v>2047</v>
      </c>
      <c r="Q112" t="s">
        <v>195</v>
      </c>
      <c r="R112">
        <v>0.28420000000000001</v>
      </c>
      <c r="S112" t="s">
        <v>194</v>
      </c>
    </row>
    <row r="113" spans="16:19" x14ac:dyDescent="0.45">
      <c r="P113">
        <v>2047</v>
      </c>
      <c r="Q113" t="s">
        <v>196</v>
      </c>
      <c r="R113">
        <v>0.41599999999999998</v>
      </c>
      <c r="S113" t="s">
        <v>194</v>
      </c>
    </row>
    <row r="114" spans="16:19" x14ac:dyDescent="0.45">
      <c r="P114">
        <v>2047</v>
      </c>
      <c r="Q114" t="s">
        <v>197</v>
      </c>
      <c r="R114">
        <v>0.31583333333333335</v>
      </c>
      <c r="S114" t="s">
        <v>194</v>
      </c>
    </row>
    <row r="115" spans="16:19" x14ac:dyDescent="0.45">
      <c r="P115">
        <v>2048</v>
      </c>
      <c r="Q115" t="s">
        <v>193</v>
      </c>
      <c r="R115">
        <v>0.28606666666666664</v>
      </c>
      <c r="S115" t="s">
        <v>194</v>
      </c>
    </row>
    <row r="116" spans="16:19" x14ac:dyDescent="0.45">
      <c r="P116">
        <v>2048</v>
      </c>
      <c r="Q116" t="s">
        <v>195</v>
      </c>
      <c r="R116">
        <v>0.23243333333333335</v>
      </c>
      <c r="S116" t="s">
        <v>194</v>
      </c>
    </row>
    <row r="117" spans="16:19" x14ac:dyDescent="0.45">
      <c r="P117">
        <v>2048</v>
      </c>
      <c r="Q117" t="s">
        <v>196</v>
      </c>
      <c r="R117">
        <v>0.39143333333333336</v>
      </c>
      <c r="S117" t="s">
        <v>194</v>
      </c>
    </row>
    <row r="118" spans="16:19" x14ac:dyDescent="0.45">
      <c r="P118">
        <v>2048</v>
      </c>
      <c r="Q118" t="s">
        <v>197</v>
      </c>
      <c r="R118">
        <v>0.27330000000000004</v>
      </c>
      <c r="S118" t="s">
        <v>194</v>
      </c>
    </row>
    <row r="119" spans="16:19" x14ac:dyDescent="0.45">
      <c r="P119">
        <v>2049</v>
      </c>
      <c r="Q119" t="s">
        <v>193</v>
      </c>
      <c r="R119">
        <v>0.31286666666666668</v>
      </c>
      <c r="S119" t="s">
        <v>194</v>
      </c>
    </row>
    <row r="120" spans="16:19" x14ac:dyDescent="0.45">
      <c r="P120">
        <v>2049</v>
      </c>
      <c r="Q120" t="s">
        <v>195</v>
      </c>
      <c r="R120">
        <v>0.29499999999999998</v>
      </c>
      <c r="S120" t="s">
        <v>194</v>
      </c>
    </row>
    <row r="121" spans="16:19" x14ac:dyDescent="0.45">
      <c r="P121">
        <v>2049</v>
      </c>
      <c r="Q121" t="s">
        <v>196</v>
      </c>
      <c r="R121">
        <v>0.40406666666666663</v>
      </c>
      <c r="S121" t="s">
        <v>194</v>
      </c>
    </row>
    <row r="122" spans="16:19" x14ac:dyDescent="0.45">
      <c r="P122">
        <v>2049</v>
      </c>
      <c r="Q122" t="s">
        <v>197</v>
      </c>
      <c r="R122">
        <v>0.28286666666666666</v>
      </c>
      <c r="S122" t="s">
        <v>194</v>
      </c>
    </row>
    <row r="123" spans="16:19" x14ac:dyDescent="0.45">
      <c r="P123">
        <v>2050</v>
      </c>
      <c r="Q123" t="s">
        <v>193</v>
      </c>
      <c r="R123">
        <v>0.23450000000000001</v>
      </c>
      <c r="S123" t="s">
        <v>194</v>
      </c>
    </row>
    <row r="124" spans="16:19" x14ac:dyDescent="0.45">
      <c r="P124">
        <v>2050</v>
      </c>
      <c r="Q124" t="s">
        <v>195</v>
      </c>
      <c r="R124">
        <v>0.31490000000000001</v>
      </c>
      <c r="S124" t="s">
        <v>194</v>
      </c>
    </row>
    <row r="125" spans="16:19" x14ac:dyDescent="0.45">
      <c r="P125">
        <v>2050</v>
      </c>
      <c r="Q125" t="s">
        <v>196</v>
      </c>
      <c r="R125">
        <v>0.37279999999999996</v>
      </c>
      <c r="S125" t="s">
        <v>194</v>
      </c>
    </row>
    <row r="126" spans="16:19" x14ac:dyDescent="0.45">
      <c r="P126">
        <v>2050</v>
      </c>
      <c r="Q126" t="s">
        <v>197</v>
      </c>
      <c r="R126">
        <v>0.25059999999999999</v>
      </c>
      <c r="S126" t="s">
        <v>194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B0AF-8CA0-4996-8E14-B0CDF3B3950E}">
  <dimension ref="B9:O2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583</v>
      </c>
      <c r="C11" t="s">
        <v>5</v>
      </c>
      <c r="D11">
        <v>0</v>
      </c>
      <c r="E11" t="s">
        <v>6</v>
      </c>
      <c r="G11" t="s">
        <v>584</v>
      </c>
      <c r="H11" t="s">
        <v>5</v>
      </c>
      <c r="I11">
        <v>0.10397343109064092</v>
      </c>
      <c r="J11" t="s">
        <v>6</v>
      </c>
      <c r="L11" t="s">
        <v>585</v>
      </c>
      <c r="M11" t="s">
        <v>5</v>
      </c>
      <c r="N11">
        <v>0.10518005995774261</v>
      </c>
      <c r="O11" t="s">
        <v>6</v>
      </c>
    </row>
    <row r="12" spans="2:15" x14ac:dyDescent="0.45">
      <c r="B12" t="s">
        <v>583</v>
      </c>
      <c r="C12" t="s">
        <v>9</v>
      </c>
      <c r="D12">
        <v>0.1734058808172774</v>
      </c>
      <c r="E12" t="s">
        <v>6</v>
      </c>
      <c r="G12" t="s">
        <v>584</v>
      </c>
      <c r="H12" t="s">
        <v>9</v>
      </c>
      <c r="I12">
        <v>0.10876697000005589</v>
      </c>
      <c r="J12" t="s">
        <v>6</v>
      </c>
      <c r="L12" t="s">
        <v>585</v>
      </c>
      <c r="M12" t="s">
        <v>9</v>
      </c>
      <c r="N12">
        <v>0.13718587136046387</v>
      </c>
      <c r="O12" t="s">
        <v>6</v>
      </c>
    </row>
    <row r="13" spans="2:15" x14ac:dyDescent="0.45">
      <c r="B13" t="s">
        <v>583</v>
      </c>
      <c r="C13" t="s">
        <v>10</v>
      </c>
      <c r="D13">
        <v>1.0673684574312259E-3</v>
      </c>
      <c r="E13" t="s">
        <v>6</v>
      </c>
      <c r="G13" t="s">
        <v>584</v>
      </c>
      <c r="H13" t="s">
        <v>10</v>
      </c>
      <c r="I13">
        <v>7.3360876001975883E-2</v>
      </c>
      <c r="J13" t="s">
        <v>6</v>
      </c>
      <c r="L13" t="s">
        <v>585</v>
      </c>
      <c r="M13" t="s">
        <v>10</v>
      </c>
      <c r="N13">
        <v>8.2434618176057156E-2</v>
      </c>
      <c r="O13" t="s">
        <v>6</v>
      </c>
    </row>
    <row r="14" spans="2:15" x14ac:dyDescent="0.45">
      <c r="B14" t="s">
        <v>583</v>
      </c>
      <c r="C14" t="s">
        <v>11</v>
      </c>
      <c r="D14">
        <v>1.9869558448409666E-3</v>
      </c>
      <c r="E14" t="s">
        <v>6</v>
      </c>
      <c r="G14" t="s">
        <v>584</v>
      </c>
      <c r="H14" t="s">
        <v>11</v>
      </c>
      <c r="I14">
        <v>9.150904456317957E-2</v>
      </c>
      <c r="J14" t="s">
        <v>6</v>
      </c>
      <c r="L14" t="s">
        <v>585</v>
      </c>
      <c r="M14" t="s">
        <v>11</v>
      </c>
      <c r="N14">
        <v>0.10021046488545038</v>
      </c>
      <c r="O14" t="s">
        <v>6</v>
      </c>
    </row>
    <row r="15" spans="2:15" x14ac:dyDescent="0.45">
      <c r="B15" t="s">
        <v>583</v>
      </c>
      <c r="C15" t="s">
        <v>12</v>
      </c>
      <c r="D15">
        <v>0.27004239471892866</v>
      </c>
      <c r="E15" t="s">
        <v>6</v>
      </c>
      <c r="G15" t="s">
        <v>584</v>
      </c>
      <c r="H15" t="s">
        <v>12</v>
      </c>
      <c r="I15">
        <v>0.10248281265606757</v>
      </c>
      <c r="J15" t="s">
        <v>6</v>
      </c>
      <c r="L15" t="s">
        <v>585</v>
      </c>
      <c r="M15" t="s">
        <v>12</v>
      </c>
      <c r="N15">
        <v>0.13174465906344773</v>
      </c>
      <c r="O15" t="s">
        <v>6</v>
      </c>
    </row>
    <row r="16" spans="2:15" x14ac:dyDescent="0.45">
      <c r="B16" t="s">
        <v>583</v>
      </c>
      <c r="C16" t="s">
        <v>13</v>
      </c>
      <c r="D16">
        <v>9.119149228339913E-3</v>
      </c>
      <c r="E16" t="s">
        <v>6</v>
      </c>
      <c r="G16" t="s">
        <v>584</v>
      </c>
      <c r="H16" t="s">
        <v>13</v>
      </c>
      <c r="I16">
        <v>6.3766776823707669E-2</v>
      </c>
      <c r="J16" t="s">
        <v>6</v>
      </c>
      <c r="L16" t="s">
        <v>585</v>
      </c>
      <c r="M16" t="s">
        <v>13</v>
      </c>
      <c r="N16">
        <v>8.1887211166007293E-2</v>
      </c>
      <c r="O16" t="s">
        <v>6</v>
      </c>
    </row>
    <row r="17" spans="2:15" x14ac:dyDescent="0.45">
      <c r="B17" t="s">
        <v>583</v>
      </c>
      <c r="C17" t="s">
        <v>14</v>
      </c>
      <c r="D17">
        <v>3.4791011143110741E-3</v>
      </c>
      <c r="E17" t="s">
        <v>6</v>
      </c>
      <c r="G17" t="s">
        <v>584</v>
      </c>
      <c r="H17" t="s">
        <v>14</v>
      </c>
      <c r="I17">
        <v>6.3242556606384767E-2</v>
      </c>
      <c r="J17" t="s">
        <v>6</v>
      </c>
      <c r="L17" t="s">
        <v>585</v>
      </c>
      <c r="M17" t="s">
        <v>14</v>
      </c>
      <c r="N17">
        <v>6.5844608776512395E-2</v>
      </c>
      <c r="O17" t="s">
        <v>6</v>
      </c>
    </row>
    <row r="18" spans="2:15" x14ac:dyDescent="0.45">
      <c r="B18" t="s">
        <v>583</v>
      </c>
      <c r="C18" t="s">
        <v>15</v>
      </c>
      <c r="D18">
        <v>0.29877838477782748</v>
      </c>
      <c r="E18" t="s">
        <v>6</v>
      </c>
      <c r="G18" t="s">
        <v>584</v>
      </c>
      <c r="H18" t="s">
        <v>15</v>
      </c>
      <c r="I18">
        <v>5.636263629386843E-2</v>
      </c>
      <c r="J18" t="s">
        <v>6</v>
      </c>
      <c r="L18" t="s">
        <v>585</v>
      </c>
      <c r="M18" t="s">
        <v>15</v>
      </c>
      <c r="N18">
        <v>5.7731213370957248E-2</v>
      </c>
      <c r="O18" t="s">
        <v>6</v>
      </c>
    </row>
    <row r="19" spans="2:15" x14ac:dyDescent="0.45">
      <c r="B19" t="s">
        <v>583</v>
      </c>
      <c r="C19" t="s">
        <v>16</v>
      </c>
      <c r="D19">
        <v>1.3802395715145497E-2</v>
      </c>
      <c r="E19" t="s">
        <v>6</v>
      </c>
      <c r="G19" t="s">
        <v>584</v>
      </c>
      <c r="H19" t="s">
        <v>16</v>
      </c>
      <c r="I19">
        <v>2.8996066812507146E-2</v>
      </c>
      <c r="J19" t="s">
        <v>6</v>
      </c>
      <c r="L19" t="s">
        <v>585</v>
      </c>
      <c r="M19" t="s">
        <v>16</v>
      </c>
      <c r="N19">
        <v>4.1851268485643946E-2</v>
      </c>
      <c r="O19" t="s">
        <v>6</v>
      </c>
    </row>
    <row r="20" spans="2:15" x14ac:dyDescent="0.45">
      <c r="B20" t="s">
        <v>583</v>
      </c>
      <c r="C20" t="s">
        <v>17</v>
      </c>
      <c r="D20">
        <v>2.7997142976719103E-4</v>
      </c>
      <c r="E20" t="s">
        <v>6</v>
      </c>
      <c r="G20" t="s">
        <v>584</v>
      </c>
      <c r="H20" t="s">
        <v>17</v>
      </c>
      <c r="I20">
        <v>0.11120045156049115</v>
      </c>
      <c r="J20" t="s">
        <v>6</v>
      </c>
      <c r="L20" t="s">
        <v>585</v>
      </c>
      <c r="M20" t="s">
        <v>17</v>
      </c>
      <c r="N20">
        <v>6.2506725555112524E-2</v>
      </c>
      <c r="O20" t="s">
        <v>6</v>
      </c>
    </row>
    <row r="21" spans="2:15" x14ac:dyDescent="0.45">
      <c r="B21" t="s">
        <v>583</v>
      </c>
      <c r="C21" t="s">
        <v>18</v>
      </c>
      <c r="D21">
        <v>0.22590655725715036</v>
      </c>
      <c r="E21" t="s">
        <v>6</v>
      </c>
      <c r="G21" t="s">
        <v>584</v>
      </c>
      <c r="H21" t="s">
        <v>18</v>
      </c>
      <c r="I21">
        <v>0.12002443838878475</v>
      </c>
      <c r="J21" t="s">
        <v>6</v>
      </c>
      <c r="L21" t="s">
        <v>585</v>
      </c>
      <c r="M21" t="s">
        <v>18</v>
      </c>
      <c r="N21">
        <v>8.3014540736177533E-2</v>
      </c>
      <c r="O21" t="s">
        <v>6</v>
      </c>
    </row>
    <row r="22" spans="2:15" x14ac:dyDescent="0.45">
      <c r="B22" t="s">
        <v>583</v>
      </c>
      <c r="C22" t="s">
        <v>19</v>
      </c>
      <c r="D22">
        <v>2.1318406389814718E-3</v>
      </c>
      <c r="E22" t="s">
        <v>6</v>
      </c>
      <c r="G22" t="s">
        <v>584</v>
      </c>
      <c r="H22" t="s">
        <v>19</v>
      </c>
      <c r="I22">
        <v>7.6313939202334244E-2</v>
      </c>
      <c r="J22" t="s">
        <v>6</v>
      </c>
      <c r="L22" t="s">
        <v>585</v>
      </c>
      <c r="M22" t="s">
        <v>19</v>
      </c>
      <c r="N22">
        <v>5.0408758466431537E-2</v>
      </c>
      <c r="O22" t="s">
        <v>6</v>
      </c>
    </row>
    <row r="23" spans="2:15" x14ac:dyDescent="0.45">
      <c r="B23" t="s">
        <v>586</v>
      </c>
      <c r="C23" t="s">
        <v>5</v>
      </c>
      <c r="D23">
        <v>0</v>
      </c>
      <c r="E23" t="s">
        <v>6</v>
      </c>
      <c r="G23" t="s">
        <v>587</v>
      </c>
      <c r="H23" t="s">
        <v>5</v>
      </c>
      <c r="I23">
        <v>9.0679054755281527E-2</v>
      </c>
      <c r="J23" t="s">
        <v>6</v>
      </c>
      <c r="L23" t="s">
        <v>588</v>
      </c>
      <c r="M23" t="s">
        <v>5</v>
      </c>
      <c r="N23">
        <v>0.10105324954959309</v>
      </c>
      <c r="O23" t="s">
        <v>6</v>
      </c>
    </row>
    <row r="24" spans="2:15" x14ac:dyDescent="0.45">
      <c r="B24" t="s">
        <v>586</v>
      </c>
      <c r="C24" t="s">
        <v>9</v>
      </c>
      <c r="D24">
        <v>0.17395035811154508</v>
      </c>
      <c r="E24" t="s">
        <v>6</v>
      </c>
      <c r="G24" t="s">
        <v>587</v>
      </c>
      <c r="H24" t="s">
        <v>9</v>
      </c>
      <c r="I24">
        <v>9.5173420751244991E-2</v>
      </c>
      <c r="J24" t="s">
        <v>6</v>
      </c>
      <c r="L24" t="s">
        <v>588</v>
      </c>
      <c r="M24" t="s">
        <v>9</v>
      </c>
      <c r="N24">
        <v>0.12272540504291871</v>
      </c>
      <c r="O24" t="s">
        <v>6</v>
      </c>
    </row>
    <row r="25" spans="2:15" x14ac:dyDescent="0.45">
      <c r="B25" t="s">
        <v>586</v>
      </c>
      <c r="C25" t="s">
        <v>10</v>
      </c>
      <c r="D25">
        <v>1.0094264235466024E-3</v>
      </c>
      <c r="E25" t="s">
        <v>6</v>
      </c>
      <c r="G25" t="s">
        <v>587</v>
      </c>
      <c r="H25" t="s">
        <v>10</v>
      </c>
      <c r="I25">
        <v>6.8772359731613789E-2</v>
      </c>
      <c r="J25" t="s">
        <v>6</v>
      </c>
      <c r="L25" t="s">
        <v>588</v>
      </c>
      <c r="M25" t="s">
        <v>10</v>
      </c>
      <c r="N25">
        <v>7.9535567139522992E-2</v>
      </c>
      <c r="O25" t="s">
        <v>6</v>
      </c>
    </row>
    <row r="26" spans="2:15" x14ac:dyDescent="0.45">
      <c r="B26" t="s">
        <v>586</v>
      </c>
      <c r="C26" t="s">
        <v>11</v>
      </c>
      <c r="D26">
        <v>1.971037750149964E-3</v>
      </c>
      <c r="E26" t="s">
        <v>6</v>
      </c>
      <c r="G26" t="s">
        <v>587</v>
      </c>
      <c r="H26" t="s">
        <v>11</v>
      </c>
      <c r="I26">
        <v>0.11161636894295476</v>
      </c>
      <c r="J26" t="s">
        <v>6</v>
      </c>
      <c r="L26" t="s">
        <v>588</v>
      </c>
      <c r="M26" t="s">
        <v>11</v>
      </c>
      <c r="N26">
        <v>0.10090525870364692</v>
      </c>
      <c r="O26" t="s">
        <v>6</v>
      </c>
    </row>
    <row r="27" spans="2:15" x14ac:dyDescent="0.45">
      <c r="B27" t="s">
        <v>586</v>
      </c>
      <c r="C27" t="s">
        <v>12</v>
      </c>
      <c r="D27">
        <v>0.26533459585707769</v>
      </c>
      <c r="E27" t="s">
        <v>6</v>
      </c>
      <c r="G27" t="s">
        <v>587</v>
      </c>
      <c r="H27" t="s">
        <v>12</v>
      </c>
      <c r="I27">
        <v>0.10547439095497792</v>
      </c>
      <c r="J27" t="s">
        <v>6</v>
      </c>
      <c r="L27" t="s">
        <v>588</v>
      </c>
      <c r="M27" t="s">
        <v>12</v>
      </c>
      <c r="N27">
        <v>0.1118547200475449</v>
      </c>
      <c r="O27" t="s">
        <v>6</v>
      </c>
    </row>
    <row r="28" spans="2:15" x14ac:dyDescent="0.45">
      <c r="B28" t="s">
        <v>586</v>
      </c>
      <c r="C28" t="s">
        <v>13</v>
      </c>
      <c r="D28">
        <v>8.8853128930218E-3</v>
      </c>
      <c r="E28" t="s">
        <v>6</v>
      </c>
      <c r="G28" t="s">
        <v>587</v>
      </c>
      <c r="H28" t="s">
        <v>13</v>
      </c>
      <c r="I28">
        <v>8.9140846136406215E-2</v>
      </c>
      <c r="J28" t="s">
        <v>6</v>
      </c>
      <c r="L28" t="s">
        <v>588</v>
      </c>
      <c r="M28" t="s">
        <v>13</v>
      </c>
      <c r="N28">
        <v>7.7560769636157934E-2</v>
      </c>
      <c r="O28" t="s">
        <v>6</v>
      </c>
    </row>
    <row r="29" spans="2:15" x14ac:dyDescent="0.45">
      <c r="B29" t="s">
        <v>586</v>
      </c>
      <c r="C29" t="s">
        <v>14</v>
      </c>
      <c r="D29">
        <v>3.7064672654539398E-3</v>
      </c>
      <c r="E29" t="s">
        <v>6</v>
      </c>
      <c r="G29" t="s">
        <v>587</v>
      </c>
      <c r="H29" t="s">
        <v>14</v>
      </c>
      <c r="I29">
        <v>6.3428417441500906E-2</v>
      </c>
      <c r="J29" t="s">
        <v>6</v>
      </c>
      <c r="L29" t="s">
        <v>588</v>
      </c>
      <c r="M29" t="s">
        <v>14</v>
      </c>
      <c r="N29">
        <v>7.3519147863391934E-2</v>
      </c>
      <c r="O29" t="s">
        <v>6</v>
      </c>
    </row>
    <row r="30" spans="2:15" x14ac:dyDescent="0.45">
      <c r="B30" t="s">
        <v>586</v>
      </c>
      <c r="C30" t="s">
        <v>15</v>
      </c>
      <c r="D30">
        <v>0.30650598397975415</v>
      </c>
      <c r="E30" t="s">
        <v>6</v>
      </c>
      <c r="G30" t="s">
        <v>587</v>
      </c>
      <c r="H30" t="s">
        <v>15</v>
      </c>
      <c r="I30">
        <v>4.8572261066692095E-2</v>
      </c>
      <c r="J30" t="s">
        <v>6</v>
      </c>
      <c r="L30" t="s">
        <v>588</v>
      </c>
      <c r="M30" t="s">
        <v>15</v>
      </c>
      <c r="N30">
        <v>7.245857818615431E-2</v>
      </c>
      <c r="O30" t="s">
        <v>6</v>
      </c>
    </row>
    <row r="31" spans="2:15" x14ac:dyDescent="0.45">
      <c r="B31" t="s">
        <v>586</v>
      </c>
      <c r="C31" t="s">
        <v>16</v>
      </c>
      <c r="D31">
        <v>1.4146948397174969E-2</v>
      </c>
      <c r="E31" t="s">
        <v>6</v>
      </c>
      <c r="G31" t="s">
        <v>587</v>
      </c>
      <c r="H31" t="s">
        <v>16</v>
      </c>
      <c r="I31">
        <v>4.6728051139079775E-2</v>
      </c>
      <c r="J31" t="s">
        <v>6</v>
      </c>
      <c r="L31" t="s">
        <v>588</v>
      </c>
      <c r="M31" t="s">
        <v>16</v>
      </c>
      <c r="N31">
        <v>4.6619096880811027E-2</v>
      </c>
      <c r="O31" t="s">
        <v>6</v>
      </c>
    </row>
    <row r="32" spans="2:15" x14ac:dyDescent="0.45">
      <c r="B32" t="s">
        <v>586</v>
      </c>
      <c r="C32" t="s">
        <v>17</v>
      </c>
      <c r="D32">
        <v>2.8604910328177178E-4</v>
      </c>
      <c r="E32" t="s">
        <v>6</v>
      </c>
      <c r="G32" t="s">
        <v>587</v>
      </c>
      <c r="H32" t="s">
        <v>17</v>
      </c>
      <c r="I32">
        <v>0.10143196151085039</v>
      </c>
      <c r="J32" t="s">
        <v>6</v>
      </c>
      <c r="L32" t="s">
        <v>588</v>
      </c>
      <c r="M32" t="s">
        <v>17</v>
      </c>
      <c r="N32">
        <v>7.1329112523615665E-2</v>
      </c>
      <c r="O32" t="s">
        <v>6</v>
      </c>
    </row>
    <row r="33" spans="2:15" x14ac:dyDescent="0.45">
      <c r="B33" t="s">
        <v>586</v>
      </c>
      <c r="C33" t="s">
        <v>18</v>
      </c>
      <c r="D33">
        <v>0.22202929215057998</v>
      </c>
      <c r="E33" t="s">
        <v>6</v>
      </c>
      <c r="G33" t="s">
        <v>587</v>
      </c>
      <c r="H33" t="s">
        <v>18</v>
      </c>
      <c r="I33">
        <v>9.5030486489021682E-2</v>
      </c>
      <c r="J33" t="s">
        <v>6</v>
      </c>
      <c r="L33" t="s">
        <v>588</v>
      </c>
      <c r="M33" t="s">
        <v>18</v>
      </c>
      <c r="N33">
        <v>8.4796847300355291E-2</v>
      </c>
      <c r="O33" t="s">
        <v>6</v>
      </c>
    </row>
    <row r="34" spans="2:15" x14ac:dyDescent="0.45">
      <c r="B34" t="s">
        <v>586</v>
      </c>
      <c r="C34" t="s">
        <v>19</v>
      </c>
      <c r="D34">
        <v>2.1745280684122631E-3</v>
      </c>
      <c r="E34" t="s">
        <v>6</v>
      </c>
      <c r="G34" t="s">
        <v>587</v>
      </c>
      <c r="H34" t="s">
        <v>19</v>
      </c>
      <c r="I34">
        <v>8.395238108037302E-2</v>
      </c>
      <c r="J34" t="s">
        <v>6</v>
      </c>
      <c r="L34" t="s">
        <v>588</v>
      </c>
      <c r="M34" t="s">
        <v>19</v>
      </c>
      <c r="N34">
        <v>5.7642247126285816E-2</v>
      </c>
      <c r="O34" t="s">
        <v>6</v>
      </c>
    </row>
    <row r="35" spans="2:15" x14ac:dyDescent="0.45">
      <c r="B35" t="s">
        <v>589</v>
      </c>
      <c r="C35" t="s">
        <v>5</v>
      </c>
      <c r="D35">
        <v>0</v>
      </c>
      <c r="E35" t="s">
        <v>6</v>
      </c>
      <c r="G35" t="s">
        <v>590</v>
      </c>
      <c r="H35" t="s">
        <v>5</v>
      </c>
      <c r="I35">
        <v>9.5967993014826156E-2</v>
      </c>
      <c r="J35" t="s">
        <v>6</v>
      </c>
      <c r="L35" t="s">
        <v>591</v>
      </c>
      <c r="M35" t="s">
        <v>5</v>
      </c>
      <c r="N35">
        <v>9.4905577217910861E-2</v>
      </c>
      <c r="O35" t="s">
        <v>6</v>
      </c>
    </row>
    <row r="36" spans="2:15" x14ac:dyDescent="0.45">
      <c r="B36" t="s">
        <v>589</v>
      </c>
      <c r="C36" t="s">
        <v>9</v>
      </c>
      <c r="D36">
        <v>0.17459402854714751</v>
      </c>
      <c r="E36" t="s">
        <v>6</v>
      </c>
      <c r="G36" t="s">
        <v>590</v>
      </c>
      <c r="H36" t="s">
        <v>9</v>
      </c>
      <c r="I36">
        <v>0.13119799094605267</v>
      </c>
      <c r="J36" t="s">
        <v>6</v>
      </c>
      <c r="L36" t="s">
        <v>591</v>
      </c>
      <c r="M36" t="s">
        <v>9</v>
      </c>
      <c r="N36">
        <v>0.11825178892907381</v>
      </c>
      <c r="O36" t="s">
        <v>6</v>
      </c>
    </row>
    <row r="37" spans="2:15" x14ac:dyDescent="0.45">
      <c r="B37" t="s">
        <v>589</v>
      </c>
      <c r="C37" t="s">
        <v>10</v>
      </c>
      <c r="D37">
        <v>5.6038568483030048E-4</v>
      </c>
      <c r="E37" t="s">
        <v>6</v>
      </c>
      <c r="G37" t="s">
        <v>590</v>
      </c>
      <c r="H37" t="s">
        <v>10</v>
      </c>
      <c r="I37">
        <v>7.7393764934179987E-2</v>
      </c>
      <c r="J37" t="s">
        <v>6</v>
      </c>
      <c r="L37" t="s">
        <v>591</v>
      </c>
      <c r="M37" t="s">
        <v>10</v>
      </c>
      <c r="N37">
        <v>7.1087617068964673E-2</v>
      </c>
      <c r="O37" t="s">
        <v>6</v>
      </c>
    </row>
    <row r="38" spans="2:15" x14ac:dyDescent="0.45">
      <c r="B38" t="s">
        <v>589</v>
      </c>
      <c r="C38" t="s">
        <v>11</v>
      </c>
      <c r="D38">
        <v>3.2899264816670186E-3</v>
      </c>
      <c r="E38" t="s">
        <v>6</v>
      </c>
      <c r="G38" t="s">
        <v>590</v>
      </c>
      <c r="H38" t="s">
        <v>11</v>
      </c>
      <c r="I38">
        <v>9.2467039600516776E-2</v>
      </c>
      <c r="J38" t="s">
        <v>6</v>
      </c>
      <c r="L38" t="s">
        <v>591</v>
      </c>
      <c r="M38" t="s">
        <v>11</v>
      </c>
      <c r="N38">
        <v>9.5790461484019276E-2</v>
      </c>
      <c r="O38" t="s">
        <v>6</v>
      </c>
    </row>
    <row r="39" spans="2:15" x14ac:dyDescent="0.45">
      <c r="B39" t="s">
        <v>589</v>
      </c>
      <c r="C39" t="s">
        <v>12</v>
      </c>
      <c r="D39">
        <v>0.28034607702178721</v>
      </c>
      <c r="E39" t="s">
        <v>6</v>
      </c>
      <c r="G39" t="s">
        <v>590</v>
      </c>
      <c r="H39" t="s">
        <v>12</v>
      </c>
      <c r="I39">
        <v>0.16103539960770755</v>
      </c>
      <c r="J39" t="s">
        <v>6</v>
      </c>
      <c r="L39" t="s">
        <v>591</v>
      </c>
      <c r="M39" t="s">
        <v>12</v>
      </c>
      <c r="N39">
        <v>0.11159004779868049</v>
      </c>
      <c r="O39" t="s">
        <v>6</v>
      </c>
    </row>
    <row r="40" spans="2:15" x14ac:dyDescent="0.45">
      <c r="B40" t="s">
        <v>589</v>
      </c>
      <c r="C40" t="s">
        <v>13</v>
      </c>
      <c r="D40">
        <v>6.3971827633595331E-3</v>
      </c>
      <c r="E40" t="s">
        <v>6</v>
      </c>
      <c r="G40" t="s">
        <v>590</v>
      </c>
      <c r="H40" t="s">
        <v>13</v>
      </c>
      <c r="I40">
        <v>8.6399946636783062E-2</v>
      </c>
      <c r="J40" t="s">
        <v>6</v>
      </c>
      <c r="L40" t="s">
        <v>591</v>
      </c>
      <c r="M40" t="s">
        <v>13</v>
      </c>
      <c r="N40">
        <v>8.2861922500150093E-2</v>
      </c>
      <c r="O40" t="s">
        <v>6</v>
      </c>
    </row>
    <row r="41" spans="2:15" x14ac:dyDescent="0.45">
      <c r="B41" t="s">
        <v>589</v>
      </c>
      <c r="C41" t="s">
        <v>14</v>
      </c>
      <c r="D41">
        <v>5.2206654889910761E-3</v>
      </c>
      <c r="E41" t="s">
        <v>6</v>
      </c>
      <c r="G41" t="s">
        <v>590</v>
      </c>
      <c r="H41" t="s">
        <v>14</v>
      </c>
      <c r="I41">
        <v>2.6723952013822699E-2</v>
      </c>
      <c r="J41" t="s">
        <v>6</v>
      </c>
      <c r="L41" t="s">
        <v>591</v>
      </c>
      <c r="M41" t="s">
        <v>14</v>
      </c>
      <c r="N41">
        <v>5.8012540888633446E-2</v>
      </c>
      <c r="O41" t="s">
        <v>6</v>
      </c>
    </row>
    <row r="42" spans="2:15" x14ac:dyDescent="0.45">
      <c r="B42" t="s">
        <v>589</v>
      </c>
      <c r="C42" t="s">
        <v>15</v>
      </c>
      <c r="D42">
        <v>0.30018560447539427</v>
      </c>
      <c r="E42" t="s">
        <v>6</v>
      </c>
      <c r="G42" t="s">
        <v>590</v>
      </c>
      <c r="H42" t="s">
        <v>15</v>
      </c>
      <c r="I42">
        <v>5.7060373844531519E-2</v>
      </c>
      <c r="J42" t="s">
        <v>6</v>
      </c>
      <c r="L42" t="s">
        <v>591</v>
      </c>
      <c r="M42" t="s">
        <v>15</v>
      </c>
      <c r="N42">
        <v>7.2197870400792258E-2</v>
      </c>
      <c r="O42" t="s">
        <v>6</v>
      </c>
    </row>
    <row r="43" spans="2:15" x14ac:dyDescent="0.45">
      <c r="B43" t="s">
        <v>589</v>
      </c>
      <c r="C43" t="s">
        <v>16</v>
      </c>
      <c r="D43">
        <v>9.782095768113612E-3</v>
      </c>
      <c r="E43" t="s">
        <v>6</v>
      </c>
      <c r="G43" t="s">
        <v>590</v>
      </c>
      <c r="H43" t="s">
        <v>16</v>
      </c>
      <c r="I43">
        <v>2.9221104604820122E-2</v>
      </c>
      <c r="J43" t="s">
        <v>6</v>
      </c>
      <c r="L43" t="s">
        <v>591</v>
      </c>
      <c r="M43" t="s">
        <v>16</v>
      </c>
      <c r="N43">
        <v>5.4806666531251526E-2</v>
      </c>
      <c r="O43" t="s">
        <v>6</v>
      </c>
    </row>
    <row r="44" spans="2:15" x14ac:dyDescent="0.45">
      <c r="B44" t="s">
        <v>589</v>
      </c>
      <c r="C44" t="s">
        <v>17</v>
      </c>
      <c r="D44">
        <v>8.5805028103018964E-4</v>
      </c>
      <c r="E44" t="s">
        <v>6</v>
      </c>
      <c r="G44" t="s">
        <v>590</v>
      </c>
      <c r="H44" t="s">
        <v>17</v>
      </c>
      <c r="I44">
        <v>6.9151585165924317E-2</v>
      </c>
      <c r="J44" t="s">
        <v>6</v>
      </c>
      <c r="L44" t="s">
        <v>591</v>
      </c>
      <c r="M44" t="s">
        <v>17</v>
      </c>
      <c r="N44">
        <v>7.5187039132378147E-2</v>
      </c>
      <c r="O44" t="s">
        <v>6</v>
      </c>
    </row>
    <row r="45" spans="2:15" x14ac:dyDescent="0.45">
      <c r="B45" t="s">
        <v>589</v>
      </c>
      <c r="C45" t="s">
        <v>18</v>
      </c>
      <c r="D45">
        <v>0.21765215560396786</v>
      </c>
      <c r="E45" t="s">
        <v>6</v>
      </c>
      <c r="G45" t="s">
        <v>590</v>
      </c>
      <c r="H45" t="s">
        <v>18</v>
      </c>
      <c r="I45">
        <v>0.10728643936986436</v>
      </c>
      <c r="J45" t="s">
        <v>6</v>
      </c>
      <c r="L45" t="s">
        <v>591</v>
      </c>
      <c r="M45" t="s">
        <v>18</v>
      </c>
      <c r="N45">
        <v>9.6516491339622618E-2</v>
      </c>
      <c r="O45" t="s">
        <v>6</v>
      </c>
    </row>
    <row r="46" spans="2:15" x14ac:dyDescent="0.45">
      <c r="B46" t="s">
        <v>589</v>
      </c>
      <c r="C46" t="s">
        <v>19</v>
      </c>
      <c r="D46">
        <v>1.1138278837096805E-3</v>
      </c>
      <c r="E46" t="s">
        <v>6</v>
      </c>
      <c r="G46" t="s">
        <v>590</v>
      </c>
      <c r="H46" t="s">
        <v>19</v>
      </c>
      <c r="I46">
        <v>6.6094410260968392E-2</v>
      </c>
      <c r="J46" t="s">
        <v>6</v>
      </c>
      <c r="L46" t="s">
        <v>591</v>
      </c>
      <c r="M46" t="s">
        <v>19</v>
      </c>
      <c r="N46">
        <v>6.8791976708526478E-2</v>
      </c>
      <c r="O46" t="s">
        <v>6</v>
      </c>
    </row>
    <row r="47" spans="2:15" x14ac:dyDescent="0.45">
      <c r="B47" t="s">
        <v>592</v>
      </c>
      <c r="C47" t="s">
        <v>5</v>
      </c>
      <c r="D47">
        <v>0</v>
      </c>
      <c r="E47" t="s">
        <v>6</v>
      </c>
      <c r="G47" t="s">
        <v>593</v>
      </c>
      <c r="H47" t="s">
        <v>5</v>
      </c>
      <c r="I47">
        <v>0.10760304388374936</v>
      </c>
      <c r="J47" t="s">
        <v>6</v>
      </c>
      <c r="L47" t="s">
        <v>594</v>
      </c>
      <c r="M47" t="s">
        <v>5</v>
      </c>
      <c r="N47">
        <v>9.296740338073807E-2</v>
      </c>
      <c r="O47" t="s">
        <v>6</v>
      </c>
    </row>
    <row r="48" spans="2:15" x14ac:dyDescent="0.45">
      <c r="B48" t="s">
        <v>592</v>
      </c>
      <c r="C48" t="s">
        <v>9</v>
      </c>
      <c r="D48">
        <v>0.18386742934031039</v>
      </c>
      <c r="E48" t="s">
        <v>6</v>
      </c>
      <c r="G48" t="s">
        <v>593</v>
      </c>
      <c r="H48" t="s">
        <v>9</v>
      </c>
      <c r="I48">
        <v>0.12943499699680394</v>
      </c>
      <c r="J48" t="s">
        <v>6</v>
      </c>
      <c r="L48" t="s">
        <v>594</v>
      </c>
      <c r="M48" t="s">
        <v>9</v>
      </c>
      <c r="N48">
        <v>0.10987350603743472</v>
      </c>
      <c r="O48" t="s">
        <v>6</v>
      </c>
    </row>
    <row r="49" spans="2:15" x14ac:dyDescent="0.45">
      <c r="B49" t="s">
        <v>592</v>
      </c>
      <c r="C49" t="s">
        <v>10</v>
      </c>
      <c r="D49">
        <v>2.7662864805721619E-4</v>
      </c>
      <c r="E49" t="s">
        <v>6</v>
      </c>
      <c r="G49" t="s">
        <v>593</v>
      </c>
      <c r="H49" t="s">
        <v>10</v>
      </c>
      <c r="I49">
        <v>7.3978657166839074E-2</v>
      </c>
      <c r="J49" t="s">
        <v>6</v>
      </c>
      <c r="L49" t="s">
        <v>594</v>
      </c>
      <c r="M49" t="s">
        <v>10</v>
      </c>
      <c r="N49">
        <v>7.0091878340274485E-2</v>
      </c>
      <c r="O49" t="s">
        <v>6</v>
      </c>
    </row>
    <row r="50" spans="2:15" x14ac:dyDescent="0.45">
      <c r="B50" t="s">
        <v>592</v>
      </c>
      <c r="C50" t="s">
        <v>11</v>
      </c>
      <c r="D50">
        <v>4.4543380305560173E-3</v>
      </c>
      <c r="E50" t="s">
        <v>6</v>
      </c>
      <c r="G50" t="s">
        <v>593</v>
      </c>
      <c r="H50" t="s">
        <v>11</v>
      </c>
      <c r="I50">
        <v>8.5941398509683797E-2</v>
      </c>
      <c r="J50" t="s">
        <v>6</v>
      </c>
      <c r="L50" t="s">
        <v>594</v>
      </c>
      <c r="M50" t="s">
        <v>11</v>
      </c>
      <c r="N50">
        <v>0.10325404508997191</v>
      </c>
      <c r="O50" t="s">
        <v>6</v>
      </c>
    </row>
    <row r="51" spans="2:15" x14ac:dyDescent="0.45">
      <c r="B51" t="s">
        <v>592</v>
      </c>
      <c r="C51" t="s">
        <v>12</v>
      </c>
      <c r="D51">
        <v>0.28009231218319219</v>
      </c>
      <c r="E51" t="s">
        <v>6</v>
      </c>
      <c r="G51" t="s">
        <v>593</v>
      </c>
      <c r="H51" t="s">
        <v>12</v>
      </c>
      <c r="I51">
        <v>0.13031679491695408</v>
      </c>
      <c r="J51" t="s">
        <v>6</v>
      </c>
      <c r="L51" t="s">
        <v>594</v>
      </c>
      <c r="M51" t="s">
        <v>12</v>
      </c>
      <c r="N51">
        <v>0.11064324925220149</v>
      </c>
      <c r="O51" t="s">
        <v>6</v>
      </c>
    </row>
    <row r="52" spans="2:15" x14ac:dyDescent="0.45">
      <c r="B52" t="s">
        <v>592</v>
      </c>
      <c r="C52" t="s">
        <v>13</v>
      </c>
      <c r="D52">
        <v>5.0427524518318724E-3</v>
      </c>
      <c r="E52" t="s">
        <v>6</v>
      </c>
      <c r="G52" t="s">
        <v>593</v>
      </c>
      <c r="H52" t="s">
        <v>13</v>
      </c>
      <c r="I52">
        <v>6.884997531496212E-2</v>
      </c>
      <c r="J52" t="s">
        <v>6</v>
      </c>
      <c r="L52" t="s">
        <v>594</v>
      </c>
      <c r="M52" t="s">
        <v>13</v>
      </c>
      <c r="N52">
        <v>8.0660105209906047E-2</v>
      </c>
      <c r="O52" t="s">
        <v>6</v>
      </c>
    </row>
    <row r="53" spans="2:15" x14ac:dyDescent="0.45">
      <c r="B53" t="s">
        <v>592</v>
      </c>
      <c r="C53" t="s">
        <v>14</v>
      </c>
      <c r="D53">
        <v>6.7243520044931015E-3</v>
      </c>
      <c r="E53" t="s">
        <v>6</v>
      </c>
      <c r="G53" t="s">
        <v>593</v>
      </c>
      <c r="H53" t="s">
        <v>14</v>
      </c>
      <c r="I53">
        <v>3.7831286007483304E-2</v>
      </c>
      <c r="J53" t="s">
        <v>6</v>
      </c>
      <c r="L53" t="s">
        <v>594</v>
      </c>
      <c r="M53" t="s">
        <v>14</v>
      </c>
      <c r="N53">
        <v>7.1602096305801263E-2</v>
      </c>
      <c r="O53" t="s">
        <v>6</v>
      </c>
    </row>
    <row r="54" spans="2:15" x14ac:dyDescent="0.45">
      <c r="B54" t="s">
        <v>592</v>
      </c>
      <c r="C54" t="s">
        <v>15</v>
      </c>
      <c r="D54">
        <v>0.29126513052506081</v>
      </c>
      <c r="E54" t="s">
        <v>6</v>
      </c>
      <c r="G54" t="s">
        <v>593</v>
      </c>
      <c r="H54" t="s">
        <v>15</v>
      </c>
      <c r="I54">
        <v>4.8972530739444818E-2</v>
      </c>
      <c r="J54" t="s">
        <v>6</v>
      </c>
      <c r="L54" t="s">
        <v>594</v>
      </c>
      <c r="M54" t="s">
        <v>15</v>
      </c>
      <c r="N54">
        <v>7.9078873558979801E-2</v>
      </c>
      <c r="O54" t="s">
        <v>6</v>
      </c>
    </row>
    <row r="55" spans="2:15" x14ac:dyDescent="0.45">
      <c r="B55" t="s">
        <v>592</v>
      </c>
      <c r="C55" t="s">
        <v>16</v>
      </c>
      <c r="D55">
        <v>7.8627679839963164E-3</v>
      </c>
      <c r="E55" t="s">
        <v>6</v>
      </c>
      <c r="G55" t="s">
        <v>593</v>
      </c>
      <c r="H55" t="s">
        <v>16</v>
      </c>
      <c r="I55">
        <v>3.2571120084238479E-2</v>
      </c>
      <c r="J55" t="s">
        <v>6</v>
      </c>
      <c r="L55" t="s">
        <v>594</v>
      </c>
      <c r="M55" t="s">
        <v>16</v>
      </c>
      <c r="N55">
        <v>5.4184602772105309E-2</v>
      </c>
      <c r="O55" t="s">
        <v>6</v>
      </c>
    </row>
    <row r="56" spans="2:15" x14ac:dyDescent="0.45">
      <c r="B56" t="s">
        <v>592</v>
      </c>
      <c r="C56" t="s">
        <v>17</v>
      </c>
      <c r="D56">
        <v>1.4314865912044934E-3</v>
      </c>
      <c r="E56" t="s">
        <v>6</v>
      </c>
      <c r="G56" t="s">
        <v>593</v>
      </c>
      <c r="H56" t="s">
        <v>17</v>
      </c>
      <c r="I56">
        <v>9.1090284477778893E-2</v>
      </c>
      <c r="J56" t="s">
        <v>6</v>
      </c>
      <c r="L56" t="s">
        <v>594</v>
      </c>
      <c r="M56" t="s">
        <v>17</v>
      </c>
      <c r="N56">
        <v>7.5171864725322182E-2</v>
      </c>
      <c r="O56" t="s">
        <v>6</v>
      </c>
    </row>
    <row r="57" spans="2:15" x14ac:dyDescent="0.45">
      <c r="B57" t="s">
        <v>592</v>
      </c>
      <c r="C57" t="s">
        <v>18</v>
      </c>
      <c r="D57">
        <v>0.21823544681566973</v>
      </c>
      <c r="E57" t="s">
        <v>6</v>
      </c>
      <c r="G57" t="s">
        <v>593</v>
      </c>
      <c r="H57" t="s">
        <v>18</v>
      </c>
      <c r="I57">
        <v>0.12015179061867405</v>
      </c>
      <c r="J57" t="s">
        <v>6</v>
      </c>
      <c r="L57" t="s">
        <v>594</v>
      </c>
      <c r="M57" t="s">
        <v>18</v>
      </c>
      <c r="N57">
        <v>9.1267634933489911E-2</v>
      </c>
      <c r="O57" t="s">
        <v>6</v>
      </c>
    </row>
    <row r="58" spans="2:15" x14ac:dyDescent="0.45">
      <c r="B58" t="s">
        <v>592</v>
      </c>
      <c r="C58" t="s">
        <v>19</v>
      </c>
      <c r="D58">
        <v>7.473554256267102E-4</v>
      </c>
      <c r="E58" t="s">
        <v>6</v>
      </c>
      <c r="G58" t="s">
        <v>593</v>
      </c>
      <c r="H58" t="s">
        <v>19</v>
      </c>
      <c r="I58">
        <v>7.325812128339225E-2</v>
      </c>
      <c r="J58" t="s">
        <v>6</v>
      </c>
      <c r="L58" t="s">
        <v>594</v>
      </c>
      <c r="M58" t="s">
        <v>19</v>
      </c>
      <c r="N58">
        <v>6.1204740393772245E-2</v>
      </c>
      <c r="O58" t="s">
        <v>6</v>
      </c>
    </row>
    <row r="59" spans="2:15" x14ac:dyDescent="0.45">
      <c r="B59" t="s">
        <v>595</v>
      </c>
      <c r="C59" t="s">
        <v>5</v>
      </c>
      <c r="D59">
        <v>0</v>
      </c>
      <c r="E59" t="s">
        <v>6</v>
      </c>
      <c r="G59" t="s">
        <v>596</v>
      </c>
      <c r="H59" t="s">
        <v>5</v>
      </c>
      <c r="I59">
        <v>0.10789399072763815</v>
      </c>
      <c r="J59" t="s">
        <v>6</v>
      </c>
      <c r="L59" t="s">
        <v>597</v>
      </c>
      <c r="M59" t="s">
        <v>5</v>
      </c>
      <c r="N59">
        <v>9.6672948207143047E-2</v>
      </c>
      <c r="O59" t="s">
        <v>6</v>
      </c>
    </row>
    <row r="60" spans="2:15" x14ac:dyDescent="0.45">
      <c r="B60" t="s">
        <v>595</v>
      </c>
      <c r="C60" t="s">
        <v>9</v>
      </c>
      <c r="D60">
        <v>0.1766400428554008</v>
      </c>
      <c r="E60" t="s">
        <v>6</v>
      </c>
      <c r="G60" t="s">
        <v>596</v>
      </c>
      <c r="H60" t="s">
        <v>9</v>
      </c>
      <c r="I60">
        <v>0.12675002487727471</v>
      </c>
      <c r="J60" t="s">
        <v>6</v>
      </c>
      <c r="L60" t="s">
        <v>597</v>
      </c>
      <c r="M60" t="s">
        <v>9</v>
      </c>
      <c r="N60">
        <v>0.11583652729557635</v>
      </c>
      <c r="O60" t="s">
        <v>6</v>
      </c>
    </row>
    <row r="61" spans="2:15" x14ac:dyDescent="0.45">
      <c r="B61" t="s">
        <v>595</v>
      </c>
      <c r="C61" t="s">
        <v>10</v>
      </c>
      <c r="D61">
        <v>1.1749436708571826E-4</v>
      </c>
      <c r="E61" t="s">
        <v>6</v>
      </c>
      <c r="G61" t="s">
        <v>596</v>
      </c>
      <c r="H61" t="s">
        <v>10</v>
      </c>
      <c r="I61">
        <v>8.149769720458036E-2</v>
      </c>
      <c r="J61" t="s">
        <v>6</v>
      </c>
      <c r="L61" t="s">
        <v>597</v>
      </c>
      <c r="M61" t="s">
        <v>10</v>
      </c>
      <c r="N61">
        <v>7.1544342334924182E-2</v>
      </c>
      <c r="O61" t="s">
        <v>6</v>
      </c>
    </row>
    <row r="62" spans="2:15" x14ac:dyDescent="0.45">
      <c r="B62" t="s">
        <v>595</v>
      </c>
      <c r="C62" t="s">
        <v>11</v>
      </c>
      <c r="D62">
        <v>5.5987104287463039E-3</v>
      </c>
      <c r="E62" t="s">
        <v>6</v>
      </c>
      <c r="G62" t="s">
        <v>596</v>
      </c>
      <c r="H62" t="s">
        <v>11</v>
      </c>
      <c r="I62">
        <v>9.1534234577730342E-2</v>
      </c>
      <c r="J62" t="s">
        <v>6</v>
      </c>
      <c r="L62" t="s">
        <v>597</v>
      </c>
      <c r="M62" t="s">
        <v>11</v>
      </c>
      <c r="N62">
        <v>9.783374057005198E-2</v>
      </c>
      <c r="O62" t="s">
        <v>6</v>
      </c>
    </row>
    <row r="63" spans="2:15" x14ac:dyDescent="0.45">
      <c r="B63" t="s">
        <v>595</v>
      </c>
      <c r="C63" t="s">
        <v>12</v>
      </c>
      <c r="D63">
        <v>0.28174672081199642</v>
      </c>
      <c r="E63" t="s">
        <v>6</v>
      </c>
      <c r="G63" t="s">
        <v>596</v>
      </c>
      <c r="H63" t="s">
        <v>12</v>
      </c>
      <c r="I63">
        <v>0.12231941671797764</v>
      </c>
      <c r="J63" t="s">
        <v>6</v>
      </c>
      <c r="L63" t="s">
        <v>597</v>
      </c>
      <c r="M63" t="s">
        <v>12</v>
      </c>
      <c r="N63">
        <v>0.11436633322873813</v>
      </c>
      <c r="O63" t="s">
        <v>6</v>
      </c>
    </row>
    <row r="64" spans="2:15" x14ac:dyDescent="0.45">
      <c r="B64" t="s">
        <v>595</v>
      </c>
      <c r="C64" t="s">
        <v>13</v>
      </c>
      <c r="D64">
        <v>4.0470465102856821E-3</v>
      </c>
      <c r="E64" t="s">
        <v>6</v>
      </c>
      <c r="G64" t="s">
        <v>596</v>
      </c>
      <c r="H64" t="s">
        <v>13</v>
      </c>
      <c r="I64">
        <v>6.788836959794306E-2</v>
      </c>
      <c r="J64" t="s">
        <v>6</v>
      </c>
      <c r="L64" t="s">
        <v>597</v>
      </c>
      <c r="M64" t="s">
        <v>13</v>
      </c>
      <c r="N64">
        <v>7.8025764972309647E-2</v>
      </c>
      <c r="O64" t="s">
        <v>6</v>
      </c>
    </row>
    <row r="65" spans="2:15" x14ac:dyDescent="0.45">
      <c r="B65" t="s">
        <v>595</v>
      </c>
      <c r="C65" t="s">
        <v>14</v>
      </c>
      <c r="D65">
        <v>8.2667230781165897E-3</v>
      </c>
      <c r="E65" t="s">
        <v>6</v>
      </c>
      <c r="G65" t="s">
        <v>596</v>
      </c>
      <c r="H65" t="s">
        <v>14</v>
      </c>
      <c r="I65">
        <v>3.5120473751819058E-2</v>
      </c>
      <c r="J65" t="s">
        <v>6</v>
      </c>
      <c r="L65" t="s">
        <v>597</v>
      </c>
      <c r="M65" t="s">
        <v>14</v>
      </c>
      <c r="N65">
        <v>5.6419032090625314E-2</v>
      </c>
      <c r="O65" t="s">
        <v>6</v>
      </c>
    </row>
    <row r="66" spans="2:15" x14ac:dyDescent="0.45">
      <c r="B66" t="s">
        <v>595</v>
      </c>
      <c r="C66" t="s">
        <v>15</v>
      </c>
      <c r="D66">
        <v>0.29866755197262151</v>
      </c>
      <c r="E66" t="s">
        <v>6</v>
      </c>
      <c r="G66" t="s">
        <v>596</v>
      </c>
      <c r="H66" t="s">
        <v>15</v>
      </c>
      <c r="I66">
        <v>4.9075776451174349E-2</v>
      </c>
      <c r="J66" t="s">
        <v>6</v>
      </c>
      <c r="L66" t="s">
        <v>597</v>
      </c>
      <c r="M66" t="s">
        <v>15</v>
      </c>
      <c r="N66">
        <v>6.3274212040145078E-2</v>
      </c>
      <c r="O66" t="s">
        <v>6</v>
      </c>
    </row>
    <row r="67" spans="2:15" x14ac:dyDescent="0.45">
      <c r="B67" t="s">
        <v>595</v>
      </c>
      <c r="C67" t="s">
        <v>16</v>
      </c>
      <c r="D67">
        <v>7.0153755732018453E-3</v>
      </c>
      <c r="E67" t="s">
        <v>6</v>
      </c>
      <c r="G67" t="s">
        <v>596</v>
      </c>
      <c r="H67" t="s">
        <v>16</v>
      </c>
      <c r="I67">
        <v>2.072499379810646E-2</v>
      </c>
      <c r="J67" t="s">
        <v>6</v>
      </c>
      <c r="L67" t="s">
        <v>597</v>
      </c>
      <c r="M67" t="s">
        <v>16</v>
      </c>
      <c r="N67">
        <v>4.7155345985708905E-2</v>
      </c>
      <c r="O67" t="s">
        <v>6</v>
      </c>
    </row>
    <row r="68" spans="2:15" x14ac:dyDescent="0.45">
      <c r="B68" t="s">
        <v>595</v>
      </c>
      <c r="C68" t="s">
        <v>17</v>
      </c>
      <c r="D68">
        <v>2.1353308209265081E-3</v>
      </c>
      <c r="E68" t="s">
        <v>6</v>
      </c>
      <c r="G68" t="s">
        <v>596</v>
      </c>
      <c r="H68" t="s">
        <v>17</v>
      </c>
      <c r="I68">
        <v>9.7483984134081561E-2</v>
      </c>
      <c r="J68" t="s">
        <v>6</v>
      </c>
      <c r="L68" t="s">
        <v>597</v>
      </c>
      <c r="M68" t="s">
        <v>17</v>
      </c>
      <c r="N68">
        <v>8.5098830488218799E-2</v>
      </c>
      <c r="O68" t="s">
        <v>6</v>
      </c>
    </row>
    <row r="69" spans="2:15" x14ac:dyDescent="0.45">
      <c r="B69" t="s">
        <v>595</v>
      </c>
      <c r="C69" t="s">
        <v>18</v>
      </c>
      <c r="D69">
        <v>0.21526831678770744</v>
      </c>
      <c r="E69" t="s">
        <v>6</v>
      </c>
      <c r="G69" t="s">
        <v>596</v>
      </c>
      <c r="H69" t="s">
        <v>18</v>
      </c>
      <c r="I69">
        <v>0.12306436808765364</v>
      </c>
      <c r="J69" t="s">
        <v>6</v>
      </c>
      <c r="L69" t="s">
        <v>597</v>
      </c>
      <c r="M69" t="s">
        <v>18</v>
      </c>
      <c r="N69">
        <v>0.10544536736290241</v>
      </c>
      <c r="O69" t="s">
        <v>6</v>
      </c>
    </row>
    <row r="70" spans="2:15" x14ac:dyDescent="0.45">
      <c r="B70" t="s">
        <v>595</v>
      </c>
      <c r="C70" t="s">
        <v>19</v>
      </c>
      <c r="D70">
        <v>4.9668679391339269E-4</v>
      </c>
      <c r="E70" t="s">
        <v>6</v>
      </c>
      <c r="G70" t="s">
        <v>596</v>
      </c>
      <c r="H70" t="s">
        <v>19</v>
      </c>
      <c r="I70">
        <v>7.6646670074018972E-2</v>
      </c>
      <c r="J70" t="s">
        <v>6</v>
      </c>
      <c r="L70" t="s">
        <v>597</v>
      </c>
      <c r="M70" t="s">
        <v>19</v>
      </c>
      <c r="N70">
        <v>6.8327555423654512E-2</v>
      </c>
      <c r="O70" t="s">
        <v>6</v>
      </c>
    </row>
    <row r="71" spans="2:15" x14ac:dyDescent="0.45">
      <c r="B71" t="s">
        <v>598</v>
      </c>
      <c r="C71" t="s">
        <v>5</v>
      </c>
      <c r="D71">
        <v>0</v>
      </c>
      <c r="E71" t="s">
        <v>6</v>
      </c>
      <c r="G71" t="s">
        <v>599</v>
      </c>
      <c r="H71" t="s">
        <v>5</v>
      </c>
      <c r="I71">
        <v>9.9649046041480616E-2</v>
      </c>
      <c r="J71" t="s">
        <v>6</v>
      </c>
      <c r="L71" t="s">
        <v>600</v>
      </c>
      <c r="M71" t="s">
        <v>5</v>
      </c>
      <c r="N71">
        <v>0.10075402892407202</v>
      </c>
      <c r="O71" t="s">
        <v>6</v>
      </c>
    </row>
    <row r="72" spans="2:15" x14ac:dyDescent="0.45">
      <c r="B72" t="s">
        <v>598</v>
      </c>
      <c r="C72" t="s">
        <v>9</v>
      </c>
      <c r="D72">
        <v>0.16824985024116709</v>
      </c>
      <c r="E72" t="s">
        <v>6</v>
      </c>
      <c r="G72" t="s">
        <v>599</v>
      </c>
      <c r="H72" t="s">
        <v>9</v>
      </c>
      <c r="I72">
        <v>0.11733457494965924</v>
      </c>
      <c r="J72" t="s">
        <v>6</v>
      </c>
      <c r="L72" t="s">
        <v>600</v>
      </c>
      <c r="M72" t="s">
        <v>9</v>
      </c>
      <c r="N72">
        <v>0.12035275767525379</v>
      </c>
      <c r="O72" t="s">
        <v>6</v>
      </c>
    </row>
    <row r="73" spans="2:15" x14ac:dyDescent="0.45">
      <c r="B73" t="s">
        <v>598</v>
      </c>
      <c r="C73" t="s">
        <v>10</v>
      </c>
      <c r="D73">
        <v>2.0032050306634144E-4</v>
      </c>
      <c r="E73" t="s">
        <v>6</v>
      </c>
      <c r="G73" t="s">
        <v>599</v>
      </c>
      <c r="H73" t="s">
        <v>10</v>
      </c>
      <c r="I73">
        <v>6.2907239660897854E-2</v>
      </c>
      <c r="J73" t="s">
        <v>6</v>
      </c>
      <c r="L73" t="s">
        <v>600</v>
      </c>
      <c r="M73" t="s">
        <v>10</v>
      </c>
      <c r="N73">
        <v>7.2954426339655667E-2</v>
      </c>
      <c r="O73" t="s">
        <v>6</v>
      </c>
    </row>
    <row r="74" spans="2:15" x14ac:dyDescent="0.45">
      <c r="B74" t="s">
        <v>598</v>
      </c>
      <c r="C74" t="s">
        <v>11</v>
      </c>
      <c r="D74">
        <v>4.5317449230986295E-3</v>
      </c>
      <c r="E74" t="s">
        <v>6</v>
      </c>
      <c r="G74" t="s">
        <v>599</v>
      </c>
      <c r="H74" t="s">
        <v>11</v>
      </c>
      <c r="I74">
        <v>9.0151283155982462E-2</v>
      </c>
      <c r="J74" t="s">
        <v>6</v>
      </c>
      <c r="L74" t="s">
        <v>600</v>
      </c>
      <c r="M74" t="s">
        <v>11</v>
      </c>
      <c r="N74">
        <v>9.1673332888011064E-2</v>
      </c>
      <c r="O74" t="s">
        <v>6</v>
      </c>
    </row>
    <row r="75" spans="2:15" x14ac:dyDescent="0.45">
      <c r="B75" t="s">
        <v>598</v>
      </c>
      <c r="C75" t="s">
        <v>12</v>
      </c>
      <c r="D75">
        <v>0.27901142929099643</v>
      </c>
      <c r="E75" t="s">
        <v>6</v>
      </c>
      <c r="G75" t="s">
        <v>599</v>
      </c>
      <c r="H75" t="s">
        <v>12</v>
      </c>
      <c r="I75">
        <v>0.14264369449547179</v>
      </c>
      <c r="J75" t="s">
        <v>6</v>
      </c>
      <c r="L75" t="s">
        <v>600</v>
      </c>
      <c r="M75" t="s">
        <v>12</v>
      </c>
      <c r="N75">
        <v>0.13539156682778758</v>
      </c>
      <c r="O75" t="s">
        <v>6</v>
      </c>
    </row>
    <row r="76" spans="2:15" x14ac:dyDescent="0.45">
      <c r="B76" t="s">
        <v>598</v>
      </c>
      <c r="C76" t="s">
        <v>13</v>
      </c>
      <c r="D76">
        <v>5.1498954808346592E-3</v>
      </c>
      <c r="E76" t="s">
        <v>6</v>
      </c>
      <c r="G76" t="s">
        <v>599</v>
      </c>
      <c r="H76" t="s">
        <v>13</v>
      </c>
      <c r="I76">
        <v>6.3565417653339354E-2</v>
      </c>
      <c r="J76" t="s">
        <v>6</v>
      </c>
      <c r="L76" t="s">
        <v>600</v>
      </c>
      <c r="M76" t="s">
        <v>13</v>
      </c>
      <c r="N76">
        <v>7.7192852500823014E-2</v>
      </c>
      <c r="O76" t="s">
        <v>6</v>
      </c>
    </row>
    <row r="77" spans="2:15" x14ac:dyDescent="0.45">
      <c r="B77" t="s">
        <v>598</v>
      </c>
      <c r="C77" t="s">
        <v>14</v>
      </c>
      <c r="D77">
        <v>7.6955302050192437E-3</v>
      </c>
      <c r="E77" t="s">
        <v>6</v>
      </c>
      <c r="G77" t="s">
        <v>599</v>
      </c>
      <c r="H77" t="s">
        <v>14</v>
      </c>
      <c r="I77">
        <v>2.697097366153129E-2</v>
      </c>
      <c r="J77" t="s">
        <v>6</v>
      </c>
      <c r="L77" t="s">
        <v>600</v>
      </c>
      <c r="M77" t="s">
        <v>14</v>
      </c>
      <c r="N77">
        <v>3.7255358154438548E-2</v>
      </c>
      <c r="O77" t="s">
        <v>6</v>
      </c>
    </row>
    <row r="78" spans="2:15" x14ac:dyDescent="0.45">
      <c r="B78" t="s">
        <v>598</v>
      </c>
      <c r="C78" t="s">
        <v>15</v>
      </c>
      <c r="D78">
        <v>0.3098390799358649</v>
      </c>
      <c r="E78" t="s">
        <v>6</v>
      </c>
      <c r="G78" t="s">
        <v>599</v>
      </c>
      <c r="H78" t="s">
        <v>15</v>
      </c>
      <c r="I78">
        <v>5.6138539170256255E-2</v>
      </c>
      <c r="J78" t="s">
        <v>6</v>
      </c>
      <c r="L78" t="s">
        <v>600</v>
      </c>
      <c r="M78" t="s">
        <v>15</v>
      </c>
      <c r="N78">
        <v>4.4652014493685901E-2</v>
      </c>
      <c r="O78" t="s">
        <v>6</v>
      </c>
    </row>
    <row r="79" spans="2:15" x14ac:dyDescent="0.45">
      <c r="B79" t="s">
        <v>598</v>
      </c>
      <c r="C79" t="s">
        <v>16</v>
      </c>
      <c r="D79">
        <v>8.6191496844159124E-3</v>
      </c>
      <c r="E79" t="s">
        <v>6</v>
      </c>
      <c r="G79" t="s">
        <v>599</v>
      </c>
      <c r="H79" t="s">
        <v>16</v>
      </c>
      <c r="I79">
        <v>3.5455223164935011E-2</v>
      </c>
      <c r="J79" t="s">
        <v>6</v>
      </c>
      <c r="L79" t="s">
        <v>600</v>
      </c>
      <c r="M79" t="s">
        <v>16</v>
      </c>
      <c r="N79">
        <v>3.6268678378244261E-2</v>
      </c>
      <c r="O79" t="s">
        <v>6</v>
      </c>
    </row>
    <row r="80" spans="2:15" x14ac:dyDescent="0.45">
      <c r="B80" t="s">
        <v>598</v>
      </c>
      <c r="C80" t="s">
        <v>17</v>
      </c>
      <c r="D80">
        <v>1.3869361795724763E-3</v>
      </c>
      <c r="E80" t="s">
        <v>6</v>
      </c>
      <c r="G80" t="s">
        <v>599</v>
      </c>
      <c r="H80" t="s">
        <v>17</v>
      </c>
      <c r="I80">
        <v>9.7354758443471481E-2</v>
      </c>
      <c r="J80" t="s">
        <v>6</v>
      </c>
      <c r="L80" t="s">
        <v>600</v>
      </c>
      <c r="M80" t="s">
        <v>17</v>
      </c>
      <c r="N80">
        <v>9.1699063381875487E-2</v>
      </c>
      <c r="O80" t="s">
        <v>6</v>
      </c>
    </row>
    <row r="81" spans="2:15" x14ac:dyDescent="0.45">
      <c r="B81" t="s">
        <v>598</v>
      </c>
      <c r="C81" t="s">
        <v>18</v>
      </c>
      <c r="D81">
        <v>0.21449098677494774</v>
      </c>
      <c r="E81" t="s">
        <v>6</v>
      </c>
      <c r="G81" t="s">
        <v>599</v>
      </c>
      <c r="H81" t="s">
        <v>18</v>
      </c>
      <c r="I81">
        <v>0.12892744107482362</v>
      </c>
      <c r="J81" t="s">
        <v>6</v>
      </c>
      <c r="L81" t="s">
        <v>600</v>
      </c>
      <c r="M81" t="s">
        <v>18</v>
      </c>
      <c r="N81">
        <v>0.11731008933829369</v>
      </c>
      <c r="O81" t="s">
        <v>6</v>
      </c>
    </row>
    <row r="82" spans="2:15" x14ac:dyDescent="0.45">
      <c r="B82" t="s">
        <v>598</v>
      </c>
      <c r="C82" t="s">
        <v>19</v>
      </c>
      <c r="D82">
        <v>8.2507678101368081E-4</v>
      </c>
      <c r="E82" t="s">
        <v>6</v>
      </c>
      <c r="G82" t="s">
        <v>599</v>
      </c>
      <c r="H82" t="s">
        <v>19</v>
      </c>
      <c r="I82">
        <v>7.8901808528148321E-2</v>
      </c>
      <c r="J82" t="s">
        <v>6</v>
      </c>
      <c r="L82" t="s">
        <v>600</v>
      </c>
      <c r="M82" t="s">
        <v>19</v>
      </c>
      <c r="N82">
        <v>7.4495831097859885E-2</v>
      </c>
      <c r="O82" t="s">
        <v>6</v>
      </c>
    </row>
    <row r="83" spans="2:15" x14ac:dyDescent="0.45">
      <c r="B83" t="s">
        <v>601</v>
      </c>
      <c r="C83" t="s">
        <v>5</v>
      </c>
      <c r="D83">
        <v>0</v>
      </c>
      <c r="E83" t="s">
        <v>6</v>
      </c>
      <c r="G83" t="s">
        <v>602</v>
      </c>
      <c r="H83" t="s">
        <v>5</v>
      </c>
      <c r="I83">
        <v>0.10637707102295835</v>
      </c>
      <c r="J83" t="s">
        <v>6</v>
      </c>
      <c r="L83" t="s">
        <v>603</v>
      </c>
      <c r="M83" t="s">
        <v>5</v>
      </c>
      <c r="N83">
        <v>9.4133799672351234E-2</v>
      </c>
      <c r="O83" t="s">
        <v>6</v>
      </c>
    </row>
    <row r="84" spans="2:15" x14ac:dyDescent="0.45">
      <c r="B84" t="s">
        <v>601</v>
      </c>
      <c r="C84" t="s">
        <v>9</v>
      </c>
      <c r="D84">
        <v>0.16987434272258037</v>
      </c>
      <c r="E84" t="s">
        <v>6</v>
      </c>
      <c r="G84" t="s">
        <v>602</v>
      </c>
      <c r="H84" t="s">
        <v>9</v>
      </c>
      <c r="I84">
        <v>0.1238320244049282</v>
      </c>
      <c r="J84" t="s">
        <v>6</v>
      </c>
      <c r="L84" t="s">
        <v>603</v>
      </c>
      <c r="M84" t="s">
        <v>9</v>
      </c>
      <c r="N84">
        <v>0.11464811663374565</v>
      </c>
      <c r="O84" t="s">
        <v>6</v>
      </c>
    </row>
    <row r="85" spans="2:15" x14ac:dyDescent="0.45">
      <c r="B85" t="s">
        <v>601</v>
      </c>
      <c r="C85" t="s">
        <v>10</v>
      </c>
      <c r="D85">
        <v>4.9229141066608426E-5</v>
      </c>
      <c r="E85" t="s">
        <v>6</v>
      </c>
      <c r="G85" t="s">
        <v>602</v>
      </c>
      <c r="H85" t="s">
        <v>10</v>
      </c>
      <c r="I85">
        <v>6.5282438205489846E-2</v>
      </c>
      <c r="J85" t="s">
        <v>6</v>
      </c>
      <c r="L85" t="s">
        <v>603</v>
      </c>
      <c r="M85" t="s">
        <v>10</v>
      </c>
      <c r="N85">
        <v>7.4378977333440899E-2</v>
      </c>
      <c r="O85" t="s">
        <v>6</v>
      </c>
    </row>
    <row r="86" spans="2:15" x14ac:dyDescent="0.45">
      <c r="B86" t="s">
        <v>601</v>
      </c>
      <c r="C86" t="s">
        <v>11</v>
      </c>
      <c r="D86">
        <v>6.007192287846937E-3</v>
      </c>
      <c r="E86" t="s">
        <v>6</v>
      </c>
      <c r="G86" t="s">
        <v>602</v>
      </c>
      <c r="H86" t="s">
        <v>11</v>
      </c>
      <c r="I86">
        <v>0.10268549343600439</v>
      </c>
      <c r="J86" t="s">
        <v>6</v>
      </c>
      <c r="L86" t="s">
        <v>603</v>
      </c>
      <c r="M86" t="s">
        <v>11</v>
      </c>
      <c r="N86">
        <v>0.10528037995437903</v>
      </c>
      <c r="O86" t="s">
        <v>6</v>
      </c>
    </row>
    <row r="87" spans="2:15" x14ac:dyDescent="0.45">
      <c r="B87" t="s">
        <v>601</v>
      </c>
      <c r="C87" t="s">
        <v>12</v>
      </c>
      <c r="D87">
        <v>0.28406828760140973</v>
      </c>
      <c r="E87" t="s">
        <v>6</v>
      </c>
      <c r="G87" t="s">
        <v>602</v>
      </c>
      <c r="H87" t="s">
        <v>12</v>
      </c>
      <c r="I87">
        <v>0.13257910865716005</v>
      </c>
      <c r="J87" t="s">
        <v>6</v>
      </c>
      <c r="L87" t="s">
        <v>603</v>
      </c>
      <c r="M87" t="s">
        <v>12</v>
      </c>
      <c r="N87">
        <v>0.1404313918471094</v>
      </c>
      <c r="O87" t="s">
        <v>6</v>
      </c>
    </row>
    <row r="88" spans="2:15" x14ac:dyDescent="0.45">
      <c r="B88" t="s">
        <v>601</v>
      </c>
      <c r="C88" t="s">
        <v>13</v>
      </c>
      <c r="D88">
        <v>4.0047752518835439E-3</v>
      </c>
      <c r="E88" t="s">
        <v>6</v>
      </c>
      <c r="G88" t="s">
        <v>602</v>
      </c>
      <c r="H88" t="s">
        <v>13</v>
      </c>
      <c r="I88">
        <v>7.5065314754842835E-2</v>
      </c>
      <c r="J88" t="s">
        <v>6</v>
      </c>
      <c r="L88" t="s">
        <v>603</v>
      </c>
      <c r="M88" t="s">
        <v>13</v>
      </c>
      <c r="N88">
        <v>8.7993593504438722E-2</v>
      </c>
      <c r="O88" t="s">
        <v>6</v>
      </c>
    </row>
    <row r="89" spans="2:15" x14ac:dyDescent="0.45">
      <c r="B89" t="s">
        <v>601</v>
      </c>
      <c r="C89" t="s">
        <v>14</v>
      </c>
      <c r="D89">
        <v>9.1465243712205192E-3</v>
      </c>
      <c r="E89" t="s">
        <v>6</v>
      </c>
      <c r="G89" t="s">
        <v>602</v>
      </c>
      <c r="H89" t="s">
        <v>14</v>
      </c>
      <c r="I89">
        <v>5.3778172410486491E-2</v>
      </c>
      <c r="J89" t="s">
        <v>6</v>
      </c>
      <c r="L89" t="s">
        <v>603</v>
      </c>
      <c r="M89" t="s">
        <v>14</v>
      </c>
      <c r="N89">
        <v>3.7513596829267748E-2</v>
      </c>
      <c r="O89" t="s">
        <v>6</v>
      </c>
    </row>
    <row r="90" spans="2:15" x14ac:dyDescent="0.45">
      <c r="B90" t="s">
        <v>601</v>
      </c>
      <c r="C90" t="s">
        <v>15</v>
      </c>
      <c r="D90">
        <v>0.30242223179279804</v>
      </c>
      <c r="E90" t="s">
        <v>6</v>
      </c>
      <c r="G90" t="s">
        <v>602</v>
      </c>
      <c r="H90" t="s">
        <v>15</v>
      </c>
      <c r="I90">
        <v>5.4780535200887187E-2</v>
      </c>
      <c r="J90" t="s">
        <v>6</v>
      </c>
      <c r="L90" t="s">
        <v>603</v>
      </c>
      <c r="M90" t="s">
        <v>15</v>
      </c>
      <c r="N90">
        <v>4.3123715465982475E-2</v>
      </c>
      <c r="O90" t="s">
        <v>6</v>
      </c>
    </row>
    <row r="91" spans="2:15" x14ac:dyDescent="0.45">
      <c r="B91" t="s">
        <v>601</v>
      </c>
      <c r="C91" t="s">
        <v>16</v>
      </c>
      <c r="D91">
        <v>6.9880778205361005E-3</v>
      </c>
      <c r="E91" t="s">
        <v>6</v>
      </c>
      <c r="G91" t="s">
        <v>602</v>
      </c>
      <c r="H91" t="s">
        <v>16</v>
      </c>
      <c r="I91">
        <v>3.1274374189313725E-2</v>
      </c>
      <c r="J91" t="s">
        <v>6</v>
      </c>
      <c r="L91" t="s">
        <v>603</v>
      </c>
      <c r="M91" t="s">
        <v>16</v>
      </c>
      <c r="N91">
        <v>3.3858909214952583E-2</v>
      </c>
      <c r="O91" t="s">
        <v>6</v>
      </c>
    </row>
    <row r="92" spans="2:15" x14ac:dyDescent="0.45">
      <c r="B92" t="s">
        <v>601</v>
      </c>
      <c r="C92" t="s">
        <v>17</v>
      </c>
      <c r="D92">
        <v>2.1920356613344995E-3</v>
      </c>
      <c r="E92" t="s">
        <v>6</v>
      </c>
      <c r="G92" t="s">
        <v>602</v>
      </c>
      <c r="H92" t="s">
        <v>17</v>
      </c>
      <c r="I92">
        <v>8.497608771149702E-2</v>
      </c>
      <c r="J92" t="s">
        <v>6</v>
      </c>
      <c r="L92" t="s">
        <v>603</v>
      </c>
      <c r="M92" t="s">
        <v>17</v>
      </c>
      <c r="N92">
        <v>8.7737371574434966E-2</v>
      </c>
      <c r="O92" t="s">
        <v>6</v>
      </c>
    </row>
    <row r="93" spans="2:15" x14ac:dyDescent="0.45">
      <c r="B93" t="s">
        <v>601</v>
      </c>
      <c r="C93" t="s">
        <v>18</v>
      </c>
      <c r="D93">
        <v>0.21473323147772261</v>
      </c>
      <c r="E93" t="s">
        <v>6</v>
      </c>
      <c r="G93" t="s">
        <v>602</v>
      </c>
      <c r="H93" t="s">
        <v>18</v>
      </c>
      <c r="I93">
        <v>0.10596196502029014</v>
      </c>
      <c r="J93" t="s">
        <v>6</v>
      </c>
      <c r="L93" t="s">
        <v>603</v>
      </c>
      <c r="M93" t="s">
        <v>18</v>
      </c>
      <c r="N93">
        <v>0.10972883526392078</v>
      </c>
      <c r="O93" t="s">
        <v>6</v>
      </c>
    </row>
    <row r="94" spans="2:15" x14ac:dyDescent="0.45">
      <c r="B94" t="s">
        <v>601</v>
      </c>
      <c r="C94" t="s">
        <v>19</v>
      </c>
      <c r="D94">
        <v>5.1407187160021578E-4</v>
      </c>
      <c r="E94" t="s">
        <v>6</v>
      </c>
      <c r="G94" t="s">
        <v>602</v>
      </c>
      <c r="H94" t="s">
        <v>19</v>
      </c>
      <c r="I94">
        <v>6.3407414986144536E-2</v>
      </c>
      <c r="J94" t="s">
        <v>6</v>
      </c>
      <c r="L94" t="s">
        <v>603</v>
      </c>
      <c r="M94" t="s">
        <v>19</v>
      </c>
      <c r="N94">
        <v>7.1171312705972406E-2</v>
      </c>
      <c r="O94" t="s">
        <v>6</v>
      </c>
    </row>
    <row r="95" spans="2:15" x14ac:dyDescent="0.45">
      <c r="B95" t="s">
        <v>604</v>
      </c>
      <c r="C95" t="s">
        <v>5</v>
      </c>
      <c r="D95">
        <v>0</v>
      </c>
      <c r="E95" t="s">
        <v>6</v>
      </c>
      <c r="G95" t="s">
        <v>605</v>
      </c>
      <c r="H95" t="s">
        <v>5</v>
      </c>
      <c r="I95">
        <v>9.2840575703095091E-2</v>
      </c>
      <c r="J95" t="s">
        <v>6</v>
      </c>
      <c r="L95" t="s">
        <v>606</v>
      </c>
      <c r="M95" t="s">
        <v>5</v>
      </c>
      <c r="N95">
        <v>0.10024648629798316</v>
      </c>
      <c r="O95" t="s">
        <v>6</v>
      </c>
    </row>
    <row r="96" spans="2:15" x14ac:dyDescent="0.45">
      <c r="B96" t="s">
        <v>604</v>
      </c>
      <c r="C96" t="s">
        <v>9</v>
      </c>
      <c r="D96">
        <v>0.17746255108565437</v>
      </c>
      <c r="E96" t="s">
        <v>6</v>
      </c>
      <c r="G96" t="s">
        <v>605</v>
      </c>
      <c r="H96" t="s">
        <v>9</v>
      </c>
      <c r="I96">
        <v>0.10765091719061236</v>
      </c>
      <c r="J96" t="s">
        <v>6</v>
      </c>
      <c r="L96" t="s">
        <v>606</v>
      </c>
      <c r="M96" t="s">
        <v>9</v>
      </c>
      <c r="N96">
        <v>0.12405195417847108</v>
      </c>
      <c r="O96" t="s">
        <v>6</v>
      </c>
    </row>
    <row r="97" spans="2:15" x14ac:dyDescent="0.45">
      <c r="B97" t="s">
        <v>604</v>
      </c>
      <c r="C97" t="s">
        <v>10</v>
      </c>
      <c r="D97">
        <v>3.7461042606175911E-4</v>
      </c>
      <c r="E97" t="s">
        <v>6</v>
      </c>
      <c r="G97" t="s">
        <v>605</v>
      </c>
      <c r="H97" t="s">
        <v>10</v>
      </c>
      <c r="I97">
        <v>6.1595858552840395E-2</v>
      </c>
      <c r="J97" t="s">
        <v>6</v>
      </c>
      <c r="L97" t="s">
        <v>606</v>
      </c>
      <c r="M97" t="s">
        <v>10</v>
      </c>
      <c r="N97">
        <v>7.5854616775715603E-2</v>
      </c>
      <c r="O97" t="s">
        <v>6</v>
      </c>
    </row>
    <row r="98" spans="2:15" x14ac:dyDescent="0.45">
      <c r="B98" t="s">
        <v>604</v>
      </c>
      <c r="C98" t="s">
        <v>11</v>
      </c>
      <c r="D98">
        <v>3.6276126026163584E-3</v>
      </c>
      <c r="E98" t="s">
        <v>6</v>
      </c>
      <c r="G98" t="s">
        <v>605</v>
      </c>
      <c r="H98" t="s">
        <v>11</v>
      </c>
      <c r="I98">
        <v>8.105679642123205E-2</v>
      </c>
      <c r="J98" t="s">
        <v>6</v>
      </c>
      <c r="L98" t="s">
        <v>606</v>
      </c>
      <c r="M98" t="s">
        <v>11</v>
      </c>
      <c r="N98">
        <v>9.3625124071686244E-2</v>
      </c>
      <c r="O98" t="s">
        <v>6</v>
      </c>
    </row>
    <row r="99" spans="2:15" x14ac:dyDescent="0.45">
      <c r="B99" t="s">
        <v>604</v>
      </c>
      <c r="C99" t="s">
        <v>12</v>
      </c>
      <c r="D99">
        <v>0.26883738964053644</v>
      </c>
      <c r="E99" t="s">
        <v>6</v>
      </c>
      <c r="G99" t="s">
        <v>605</v>
      </c>
      <c r="H99" t="s">
        <v>12</v>
      </c>
      <c r="I99">
        <v>0.1454519066178255</v>
      </c>
      <c r="J99" t="s">
        <v>6</v>
      </c>
      <c r="L99" t="s">
        <v>606</v>
      </c>
      <c r="M99" t="s">
        <v>12</v>
      </c>
      <c r="N99">
        <v>0.12619514131266737</v>
      </c>
      <c r="O99" t="s">
        <v>6</v>
      </c>
    </row>
    <row r="100" spans="2:15" x14ac:dyDescent="0.45">
      <c r="B100" t="s">
        <v>604</v>
      </c>
      <c r="C100" t="s">
        <v>13</v>
      </c>
      <c r="D100">
        <v>6.1312034294237231E-3</v>
      </c>
      <c r="E100" t="s">
        <v>6</v>
      </c>
      <c r="G100" t="s">
        <v>605</v>
      </c>
      <c r="H100" t="s">
        <v>13</v>
      </c>
      <c r="I100">
        <v>6.5649846093632072E-2</v>
      </c>
      <c r="J100" t="s">
        <v>6</v>
      </c>
      <c r="L100" t="s">
        <v>606</v>
      </c>
      <c r="M100" t="s">
        <v>13</v>
      </c>
      <c r="N100">
        <v>7.1737482939484037E-2</v>
      </c>
      <c r="O100" t="s">
        <v>6</v>
      </c>
    </row>
    <row r="101" spans="2:15" x14ac:dyDescent="0.45">
      <c r="B101" t="s">
        <v>604</v>
      </c>
      <c r="C101" t="s">
        <v>14</v>
      </c>
      <c r="D101">
        <v>6.5384036467204098E-3</v>
      </c>
      <c r="E101" t="s">
        <v>6</v>
      </c>
      <c r="G101" t="s">
        <v>605</v>
      </c>
      <c r="H101" t="s">
        <v>14</v>
      </c>
      <c r="I101">
        <v>3.7862996668710312E-2</v>
      </c>
      <c r="J101" t="s">
        <v>6</v>
      </c>
      <c r="L101" t="s">
        <v>606</v>
      </c>
      <c r="M101" t="s">
        <v>14</v>
      </c>
      <c r="N101">
        <v>3.3317294385845818E-2</v>
      </c>
      <c r="O101" t="s">
        <v>6</v>
      </c>
    </row>
    <row r="102" spans="2:15" x14ac:dyDescent="0.45">
      <c r="B102" t="s">
        <v>604</v>
      </c>
      <c r="C102" t="s">
        <v>15</v>
      </c>
      <c r="D102">
        <v>0.30934730514230901</v>
      </c>
      <c r="E102" t="s">
        <v>6</v>
      </c>
      <c r="G102" t="s">
        <v>605</v>
      </c>
      <c r="H102" t="s">
        <v>15</v>
      </c>
      <c r="I102">
        <v>6.328416848703633E-2</v>
      </c>
      <c r="J102" t="s">
        <v>6</v>
      </c>
      <c r="L102" t="s">
        <v>606</v>
      </c>
      <c r="M102" t="s">
        <v>15</v>
      </c>
      <c r="N102">
        <v>4.2336635196915974E-2</v>
      </c>
      <c r="O102" t="s">
        <v>6</v>
      </c>
    </row>
    <row r="103" spans="2:15" x14ac:dyDescent="0.45">
      <c r="B103" t="s">
        <v>604</v>
      </c>
      <c r="C103" t="s">
        <v>16</v>
      </c>
      <c r="D103">
        <v>1.0291860813560694E-2</v>
      </c>
      <c r="E103" t="s">
        <v>6</v>
      </c>
      <c r="G103" t="s">
        <v>605</v>
      </c>
      <c r="H103" t="s">
        <v>16</v>
      </c>
      <c r="I103">
        <v>3.3335057333045405E-2</v>
      </c>
      <c r="J103" t="s">
        <v>6</v>
      </c>
      <c r="L103" t="s">
        <v>606</v>
      </c>
      <c r="M103" t="s">
        <v>16</v>
      </c>
      <c r="N103">
        <v>1.7358395595862441E-2</v>
      </c>
      <c r="O103" t="s">
        <v>6</v>
      </c>
    </row>
    <row r="104" spans="2:15" x14ac:dyDescent="0.45">
      <c r="B104" t="s">
        <v>604</v>
      </c>
      <c r="C104" t="s">
        <v>17</v>
      </c>
      <c r="D104">
        <v>9.1974393189756226E-4</v>
      </c>
      <c r="E104" t="s">
        <v>6</v>
      </c>
      <c r="G104" t="s">
        <v>605</v>
      </c>
      <c r="H104" t="s">
        <v>17</v>
      </c>
      <c r="I104">
        <v>9.8240267773559764E-2</v>
      </c>
      <c r="J104" t="s">
        <v>6</v>
      </c>
      <c r="L104" t="s">
        <v>606</v>
      </c>
      <c r="M104" t="s">
        <v>17</v>
      </c>
      <c r="N104">
        <v>0.10320241191556243</v>
      </c>
      <c r="O104" t="s">
        <v>6</v>
      </c>
    </row>
    <row r="105" spans="2:15" x14ac:dyDescent="0.45">
      <c r="B105" t="s">
        <v>604</v>
      </c>
      <c r="C105" t="s">
        <v>18</v>
      </c>
      <c r="D105">
        <v>0.2153252247871083</v>
      </c>
      <c r="E105" t="s">
        <v>6</v>
      </c>
      <c r="G105" t="s">
        <v>605</v>
      </c>
      <c r="H105" t="s">
        <v>18</v>
      </c>
      <c r="I105">
        <v>0.13690888588918312</v>
      </c>
      <c r="J105" t="s">
        <v>6</v>
      </c>
      <c r="L105" t="s">
        <v>606</v>
      </c>
      <c r="M105" t="s">
        <v>18</v>
      </c>
      <c r="N105">
        <v>0.13106319220828852</v>
      </c>
      <c r="O105" t="s">
        <v>6</v>
      </c>
    </row>
    <row r="106" spans="2:15" x14ac:dyDescent="0.45">
      <c r="B106" t="s">
        <v>604</v>
      </c>
      <c r="C106" t="s">
        <v>19</v>
      </c>
      <c r="D106">
        <v>1.1440944941088749E-3</v>
      </c>
      <c r="E106" t="s">
        <v>6</v>
      </c>
      <c r="G106" t="s">
        <v>605</v>
      </c>
      <c r="H106" t="s">
        <v>19</v>
      </c>
      <c r="I106">
        <v>7.6122723269224479E-2</v>
      </c>
      <c r="J106" t="s">
        <v>6</v>
      </c>
      <c r="L106" t="s">
        <v>606</v>
      </c>
      <c r="M106" t="s">
        <v>19</v>
      </c>
      <c r="N106">
        <v>8.1011265121519835E-2</v>
      </c>
      <c r="O106" t="s">
        <v>6</v>
      </c>
    </row>
    <row r="107" spans="2:15" x14ac:dyDescent="0.45">
      <c r="B107" t="s">
        <v>607</v>
      </c>
      <c r="C107" t="s">
        <v>5</v>
      </c>
      <c r="D107">
        <v>0</v>
      </c>
      <c r="E107" t="s">
        <v>6</v>
      </c>
      <c r="G107" t="s">
        <v>608</v>
      </c>
      <c r="H107" t="s">
        <v>5</v>
      </c>
      <c r="I107">
        <v>0.10650109827571386</v>
      </c>
      <c r="J107" t="s">
        <v>6</v>
      </c>
      <c r="L107" t="s">
        <v>609</v>
      </c>
      <c r="M107" t="s">
        <v>5</v>
      </c>
      <c r="N107">
        <v>8.4529911476893441E-2</v>
      </c>
      <c r="O107" t="s">
        <v>6</v>
      </c>
    </row>
    <row r="108" spans="2:15" x14ac:dyDescent="0.45">
      <c r="B108" t="s">
        <v>607</v>
      </c>
      <c r="C108" t="s">
        <v>9</v>
      </c>
      <c r="D108">
        <v>0.15987653152200884</v>
      </c>
      <c r="E108" t="s">
        <v>6</v>
      </c>
      <c r="G108" t="s">
        <v>608</v>
      </c>
      <c r="H108" t="s">
        <v>9</v>
      </c>
      <c r="I108">
        <v>0.13368194739287953</v>
      </c>
      <c r="J108" t="s">
        <v>6</v>
      </c>
      <c r="L108" t="s">
        <v>609</v>
      </c>
      <c r="M108" t="s">
        <v>9</v>
      </c>
      <c r="N108">
        <v>0.10628999396698917</v>
      </c>
      <c r="O108" t="s">
        <v>6</v>
      </c>
    </row>
    <row r="109" spans="2:15" x14ac:dyDescent="0.45">
      <c r="B109" t="s">
        <v>607</v>
      </c>
      <c r="C109" t="s">
        <v>10</v>
      </c>
      <c r="D109">
        <v>2.1230672996564053E-4</v>
      </c>
      <c r="E109" t="s">
        <v>6</v>
      </c>
      <c r="G109" t="s">
        <v>608</v>
      </c>
      <c r="H109" t="s">
        <v>10</v>
      </c>
      <c r="I109">
        <v>7.2092328742811684E-2</v>
      </c>
      <c r="J109" t="s">
        <v>6</v>
      </c>
      <c r="L109" t="s">
        <v>609</v>
      </c>
      <c r="M109" t="s">
        <v>10</v>
      </c>
      <c r="N109">
        <v>6.3048515729074384E-2</v>
      </c>
      <c r="O109" t="s">
        <v>6</v>
      </c>
    </row>
    <row r="110" spans="2:15" x14ac:dyDescent="0.45">
      <c r="B110" t="s">
        <v>607</v>
      </c>
      <c r="C110" t="s">
        <v>11</v>
      </c>
      <c r="D110">
        <v>4.0932190674265465E-3</v>
      </c>
      <c r="E110" t="s">
        <v>6</v>
      </c>
      <c r="G110" t="s">
        <v>608</v>
      </c>
      <c r="H110" t="s">
        <v>11</v>
      </c>
      <c r="I110">
        <v>7.9016735036465544E-2</v>
      </c>
      <c r="J110" t="s">
        <v>6</v>
      </c>
      <c r="L110" t="s">
        <v>609</v>
      </c>
      <c r="M110" t="s">
        <v>11</v>
      </c>
      <c r="N110">
        <v>0.10682383861699028</v>
      </c>
      <c r="O110" t="s">
        <v>6</v>
      </c>
    </row>
    <row r="111" spans="2:15" x14ac:dyDescent="0.45">
      <c r="B111" t="s">
        <v>607</v>
      </c>
      <c r="C111" t="s">
        <v>12</v>
      </c>
      <c r="D111">
        <v>0.27437832923414995</v>
      </c>
      <c r="E111" t="s">
        <v>6</v>
      </c>
      <c r="G111" t="s">
        <v>608</v>
      </c>
      <c r="H111" t="s">
        <v>12</v>
      </c>
      <c r="I111">
        <v>0.14386423727912229</v>
      </c>
      <c r="J111" t="s">
        <v>6</v>
      </c>
      <c r="L111" t="s">
        <v>609</v>
      </c>
      <c r="M111" t="s">
        <v>12</v>
      </c>
      <c r="N111">
        <v>0.13655959949454569</v>
      </c>
      <c r="O111" t="s">
        <v>6</v>
      </c>
    </row>
    <row r="112" spans="2:15" x14ac:dyDescent="0.45">
      <c r="B112" t="s">
        <v>607</v>
      </c>
      <c r="C112" t="s">
        <v>13</v>
      </c>
      <c r="D112">
        <v>5.8600787596059844E-3</v>
      </c>
      <c r="E112" t="s">
        <v>6</v>
      </c>
      <c r="G112" t="s">
        <v>608</v>
      </c>
      <c r="H112" t="s">
        <v>13</v>
      </c>
      <c r="I112">
        <v>6.5262978265153898E-2</v>
      </c>
      <c r="J112" t="s">
        <v>6</v>
      </c>
      <c r="L112" t="s">
        <v>609</v>
      </c>
      <c r="M112" t="s">
        <v>13</v>
      </c>
      <c r="N112">
        <v>7.8984177710466855E-2</v>
      </c>
      <c r="O112" t="s">
        <v>6</v>
      </c>
    </row>
    <row r="113" spans="2:15" x14ac:dyDescent="0.45">
      <c r="B113" t="s">
        <v>607</v>
      </c>
      <c r="C113" t="s">
        <v>14</v>
      </c>
      <c r="D113">
        <v>7.2245768444961491E-3</v>
      </c>
      <c r="E113" t="s">
        <v>6</v>
      </c>
      <c r="G113" t="s">
        <v>608</v>
      </c>
      <c r="H113" t="s">
        <v>14</v>
      </c>
      <c r="I113">
        <v>3.2331237714140683E-2</v>
      </c>
      <c r="J113" t="s">
        <v>6</v>
      </c>
      <c r="L113" t="s">
        <v>609</v>
      </c>
      <c r="M113" t="s">
        <v>14</v>
      </c>
      <c r="N113">
        <v>3.4836044077330923E-2</v>
      </c>
      <c r="O113" t="s">
        <v>6</v>
      </c>
    </row>
    <row r="114" spans="2:15" x14ac:dyDescent="0.45">
      <c r="B114" t="s">
        <v>607</v>
      </c>
      <c r="C114" t="s">
        <v>15</v>
      </c>
      <c r="D114">
        <v>0.32335942550065383</v>
      </c>
      <c r="E114" t="s">
        <v>6</v>
      </c>
      <c r="G114" t="s">
        <v>608</v>
      </c>
      <c r="H114" t="s">
        <v>15</v>
      </c>
      <c r="I114">
        <v>5.6237991663241955E-2</v>
      </c>
      <c r="J114" t="s">
        <v>6</v>
      </c>
      <c r="L114" t="s">
        <v>609</v>
      </c>
      <c r="M114" t="s">
        <v>15</v>
      </c>
      <c r="N114">
        <v>4.2709100204303456E-2</v>
      </c>
      <c r="O114" t="s">
        <v>6</v>
      </c>
    </row>
    <row r="115" spans="2:15" x14ac:dyDescent="0.45">
      <c r="B115" t="s">
        <v>607</v>
      </c>
      <c r="C115" t="s">
        <v>16</v>
      </c>
      <c r="D115">
        <v>1.0626693364169999E-2</v>
      </c>
      <c r="E115" t="s">
        <v>6</v>
      </c>
      <c r="G115" t="s">
        <v>608</v>
      </c>
      <c r="H115" t="s">
        <v>16</v>
      </c>
      <c r="I115">
        <v>3.13075547534915E-2</v>
      </c>
      <c r="J115" t="s">
        <v>6</v>
      </c>
      <c r="L115" t="s">
        <v>609</v>
      </c>
      <c r="M115" t="s">
        <v>16</v>
      </c>
      <c r="N115">
        <v>3.1985374029558318E-2</v>
      </c>
      <c r="O115" t="s">
        <v>6</v>
      </c>
    </row>
    <row r="116" spans="2:15" x14ac:dyDescent="0.45">
      <c r="B116" t="s">
        <v>607</v>
      </c>
      <c r="C116" t="s">
        <v>17</v>
      </c>
      <c r="D116">
        <v>1.06634446877304E-3</v>
      </c>
      <c r="E116" t="s">
        <v>6</v>
      </c>
      <c r="G116" t="s">
        <v>608</v>
      </c>
      <c r="H116" t="s">
        <v>17</v>
      </c>
      <c r="I116">
        <v>8.1456217235939196E-2</v>
      </c>
      <c r="J116" t="s">
        <v>6</v>
      </c>
      <c r="L116" t="s">
        <v>609</v>
      </c>
      <c r="M116" t="s">
        <v>17</v>
      </c>
      <c r="N116">
        <v>0.10738834836746268</v>
      </c>
      <c r="O116" t="s">
        <v>6</v>
      </c>
    </row>
    <row r="117" spans="2:15" x14ac:dyDescent="0.45">
      <c r="B117" t="s">
        <v>607</v>
      </c>
      <c r="C117" t="s">
        <v>18</v>
      </c>
      <c r="D117">
        <v>0.21222348560521931</v>
      </c>
      <c r="E117" t="s">
        <v>6</v>
      </c>
      <c r="G117" t="s">
        <v>608</v>
      </c>
      <c r="H117" t="s">
        <v>18</v>
      </c>
      <c r="I117">
        <v>0.1275482353995343</v>
      </c>
      <c r="J117" t="s">
        <v>6</v>
      </c>
      <c r="L117" t="s">
        <v>609</v>
      </c>
      <c r="M117" t="s">
        <v>18</v>
      </c>
      <c r="N117">
        <v>0.12427949333748062</v>
      </c>
      <c r="O117" t="s">
        <v>6</v>
      </c>
    </row>
    <row r="118" spans="2:15" x14ac:dyDescent="0.45">
      <c r="B118" t="s">
        <v>607</v>
      </c>
      <c r="C118" t="s">
        <v>19</v>
      </c>
      <c r="D118">
        <v>1.0790089035320497E-3</v>
      </c>
      <c r="E118" t="s">
        <v>6</v>
      </c>
      <c r="G118" t="s">
        <v>608</v>
      </c>
      <c r="H118" t="s">
        <v>19</v>
      </c>
      <c r="I118">
        <v>7.0699438241506998E-2</v>
      </c>
      <c r="J118" t="s">
        <v>6</v>
      </c>
      <c r="L118" t="s">
        <v>609</v>
      </c>
      <c r="M118" t="s">
        <v>19</v>
      </c>
      <c r="N118">
        <v>8.2565602988905473E-2</v>
      </c>
      <c r="O118" t="s">
        <v>6</v>
      </c>
    </row>
    <row r="119" spans="2:15" x14ac:dyDescent="0.45">
      <c r="B119" t="s">
        <v>610</v>
      </c>
      <c r="C119" t="s">
        <v>5</v>
      </c>
      <c r="D119">
        <v>0</v>
      </c>
      <c r="E119" t="s">
        <v>6</v>
      </c>
      <c r="G119" t="s">
        <v>611</v>
      </c>
      <c r="H119" t="s">
        <v>5</v>
      </c>
      <c r="I119">
        <v>0.10014263956541122</v>
      </c>
      <c r="J119" t="s">
        <v>6</v>
      </c>
      <c r="L119" t="s">
        <v>612</v>
      </c>
      <c r="M119" t="s">
        <v>5</v>
      </c>
      <c r="N119">
        <v>0.1034836364449892</v>
      </c>
      <c r="O119" t="s">
        <v>6</v>
      </c>
    </row>
    <row r="120" spans="2:15" x14ac:dyDescent="0.45">
      <c r="B120" t="s">
        <v>610</v>
      </c>
      <c r="C120" t="s">
        <v>9</v>
      </c>
      <c r="D120">
        <v>0.16669668375957186</v>
      </c>
      <c r="E120" t="s">
        <v>6</v>
      </c>
      <c r="G120" t="s">
        <v>611</v>
      </c>
      <c r="H120" t="s">
        <v>9</v>
      </c>
      <c r="I120">
        <v>0.12223239866717776</v>
      </c>
      <c r="J120" t="s">
        <v>6</v>
      </c>
      <c r="L120" t="s">
        <v>612</v>
      </c>
      <c r="M120" t="s">
        <v>9</v>
      </c>
      <c r="N120">
        <v>0.14220651268479306</v>
      </c>
      <c r="O120" t="s">
        <v>6</v>
      </c>
    </row>
    <row r="121" spans="2:15" x14ac:dyDescent="0.45">
      <c r="B121" t="s">
        <v>610</v>
      </c>
      <c r="C121" t="s">
        <v>10</v>
      </c>
      <c r="D121">
        <v>1.520617312554299E-4</v>
      </c>
      <c r="E121" t="s">
        <v>6</v>
      </c>
      <c r="G121" t="s">
        <v>611</v>
      </c>
      <c r="H121" t="s">
        <v>10</v>
      </c>
      <c r="I121">
        <v>7.5905910726487835E-2</v>
      </c>
      <c r="J121" t="s">
        <v>6</v>
      </c>
      <c r="L121" t="s">
        <v>612</v>
      </c>
      <c r="M121" t="s">
        <v>10</v>
      </c>
      <c r="N121">
        <v>7.2755577006410901E-2</v>
      </c>
      <c r="O121" t="s">
        <v>6</v>
      </c>
    </row>
    <row r="122" spans="2:15" x14ac:dyDescent="0.45">
      <c r="B122" t="s">
        <v>610</v>
      </c>
      <c r="C122" t="s">
        <v>11</v>
      </c>
      <c r="D122">
        <v>4.7367612261780502E-3</v>
      </c>
      <c r="E122" t="s">
        <v>6</v>
      </c>
      <c r="G122" t="s">
        <v>611</v>
      </c>
      <c r="H122" t="s">
        <v>11</v>
      </c>
      <c r="I122">
        <v>9.8482919199318633E-2</v>
      </c>
      <c r="J122" t="s">
        <v>6</v>
      </c>
      <c r="L122" t="s">
        <v>612</v>
      </c>
      <c r="M122" t="s">
        <v>11</v>
      </c>
      <c r="N122">
        <v>0.12599665843380078</v>
      </c>
      <c r="O122" t="s">
        <v>6</v>
      </c>
    </row>
    <row r="123" spans="2:15" x14ac:dyDescent="0.45">
      <c r="B123" t="s">
        <v>610</v>
      </c>
      <c r="C123" t="s">
        <v>12</v>
      </c>
      <c r="D123">
        <v>0.28250462697222073</v>
      </c>
      <c r="E123" t="s">
        <v>6</v>
      </c>
      <c r="G123" t="s">
        <v>611</v>
      </c>
      <c r="H123" t="s">
        <v>12</v>
      </c>
      <c r="I123">
        <v>0.12673338456496899</v>
      </c>
      <c r="J123" t="s">
        <v>6</v>
      </c>
      <c r="L123" t="s">
        <v>612</v>
      </c>
      <c r="M123" t="s">
        <v>12</v>
      </c>
      <c r="N123">
        <v>0.15256679328855924</v>
      </c>
      <c r="O123" t="s">
        <v>6</v>
      </c>
    </row>
    <row r="124" spans="2:15" x14ac:dyDescent="0.45">
      <c r="B124" t="s">
        <v>610</v>
      </c>
      <c r="C124" t="s">
        <v>13</v>
      </c>
      <c r="D124">
        <v>5.1058580596077385E-3</v>
      </c>
      <c r="E124" t="s">
        <v>6</v>
      </c>
      <c r="G124" t="s">
        <v>611</v>
      </c>
      <c r="H124" t="s">
        <v>13</v>
      </c>
      <c r="I124">
        <v>7.860010406400586E-2</v>
      </c>
      <c r="J124" t="s">
        <v>6</v>
      </c>
      <c r="L124" t="s">
        <v>612</v>
      </c>
      <c r="M124" t="s">
        <v>13</v>
      </c>
      <c r="N124">
        <v>9.5299871401539865E-2</v>
      </c>
      <c r="O124" t="s">
        <v>6</v>
      </c>
    </row>
    <row r="125" spans="2:15" x14ac:dyDescent="0.45">
      <c r="B125" t="s">
        <v>610</v>
      </c>
      <c r="C125" t="s">
        <v>14</v>
      </c>
      <c r="D125">
        <v>7.8400772859604333E-3</v>
      </c>
      <c r="E125" t="s">
        <v>6</v>
      </c>
      <c r="G125" t="s">
        <v>611</v>
      </c>
      <c r="H125" t="s">
        <v>14</v>
      </c>
      <c r="I125">
        <v>7.1341274822960835E-2</v>
      </c>
      <c r="J125" t="s">
        <v>6</v>
      </c>
      <c r="L125" t="s">
        <v>612</v>
      </c>
      <c r="M125" t="s">
        <v>14</v>
      </c>
      <c r="N125">
        <v>3.0003284729730396E-2</v>
      </c>
      <c r="O125" t="s">
        <v>6</v>
      </c>
    </row>
    <row r="126" spans="2:15" x14ac:dyDescent="0.45">
      <c r="B126" t="s">
        <v>610</v>
      </c>
      <c r="C126" t="s">
        <v>15</v>
      </c>
      <c r="D126">
        <v>0.30438680771535187</v>
      </c>
      <c r="E126" t="s">
        <v>6</v>
      </c>
      <c r="G126" t="s">
        <v>611</v>
      </c>
      <c r="H126" t="s">
        <v>15</v>
      </c>
      <c r="I126">
        <v>7.5877221706637327E-2</v>
      </c>
      <c r="J126" t="s">
        <v>6</v>
      </c>
      <c r="L126" t="s">
        <v>612</v>
      </c>
      <c r="M126" t="s">
        <v>15</v>
      </c>
      <c r="N126">
        <v>4.4463545600784971E-2</v>
      </c>
      <c r="O126" t="s">
        <v>6</v>
      </c>
    </row>
    <row r="127" spans="2:15" x14ac:dyDescent="0.45">
      <c r="B127" t="s">
        <v>610</v>
      </c>
      <c r="C127" t="s">
        <v>16</v>
      </c>
      <c r="D127">
        <v>8.7408111641754521E-3</v>
      </c>
      <c r="E127" t="s">
        <v>6</v>
      </c>
      <c r="G127" t="s">
        <v>611</v>
      </c>
      <c r="H127" t="s">
        <v>16</v>
      </c>
      <c r="I127">
        <v>4.2253592377770356E-2</v>
      </c>
      <c r="J127" t="s">
        <v>6</v>
      </c>
      <c r="L127" t="s">
        <v>612</v>
      </c>
      <c r="M127" t="s">
        <v>16</v>
      </c>
      <c r="N127">
        <v>2.4771917550208869E-2</v>
      </c>
      <c r="O127" t="s">
        <v>6</v>
      </c>
    </row>
    <row r="128" spans="2:15" x14ac:dyDescent="0.45">
      <c r="B128" t="s">
        <v>610</v>
      </c>
      <c r="C128" t="s">
        <v>17</v>
      </c>
      <c r="D128">
        <v>1.468558587076559E-3</v>
      </c>
      <c r="E128" t="s">
        <v>6</v>
      </c>
      <c r="G128" t="s">
        <v>611</v>
      </c>
      <c r="H128" t="s">
        <v>17</v>
      </c>
      <c r="I128">
        <v>6.7627875582680311E-2</v>
      </c>
      <c r="J128" t="s">
        <v>6</v>
      </c>
      <c r="L128" t="s">
        <v>612</v>
      </c>
      <c r="M128" t="s">
        <v>17</v>
      </c>
      <c r="N128">
        <v>6.9076821946479641E-2</v>
      </c>
      <c r="O128" t="s">
        <v>6</v>
      </c>
    </row>
    <row r="129" spans="2:15" x14ac:dyDescent="0.45">
      <c r="B129" t="s">
        <v>610</v>
      </c>
      <c r="C129" t="s">
        <v>18</v>
      </c>
      <c r="D129">
        <v>0.21755636734765216</v>
      </c>
      <c r="E129" t="s">
        <v>6</v>
      </c>
      <c r="G129" t="s">
        <v>611</v>
      </c>
      <c r="H129" t="s">
        <v>18</v>
      </c>
      <c r="I129">
        <v>8.6647497715816035E-2</v>
      </c>
      <c r="J129" t="s">
        <v>6</v>
      </c>
      <c r="L129" t="s">
        <v>612</v>
      </c>
      <c r="M129" t="s">
        <v>18</v>
      </c>
      <c r="N129">
        <v>8.9340920533701434E-2</v>
      </c>
      <c r="O129" t="s">
        <v>6</v>
      </c>
    </row>
    <row r="130" spans="2:15" x14ac:dyDescent="0.45">
      <c r="B130" t="s">
        <v>610</v>
      </c>
      <c r="C130" t="s">
        <v>19</v>
      </c>
      <c r="D130">
        <v>8.1138615094790011E-4</v>
      </c>
      <c r="E130" t="s">
        <v>6</v>
      </c>
      <c r="G130" t="s">
        <v>611</v>
      </c>
      <c r="H130" t="s">
        <v>19</v>
      </c>
      <c r="I130">
        <v>5.415518100676605E-2</v>
      </c>
      <c r="J130" t="s">
        <v>6</v>
      </c>
      <c r="L130" t="s">
        <v>612</v>
      </c>
      <c r="M130" t="s">
        <v>19</v>
      </c>
      <c r="N130">
        <v>5.0034460379003706E-2</v>
      </c>
      <c r="O130" t="s">
        <v>6</v>
      </c>
    </row>
    <row r="131" spans="2:15" x14ac:dyDescent="0.45">
      <c r="B131" t="s">
        <v>613</v>
      </c>
      <c r="C131" t="s">
        <v>5</v>
      </c>
      <c r="D131">
        <v>0</v>
      </c>
      <c r="E131" t="s">
        <v>6</v>
      </c>
      <c r="G131" t="s">
        <v>614</v>
      </c>
      <c r="H131" t="s">
        <v>5</v>
      </c>
      <c r="I131">
        <v>9.2395029740679369E-2</v>
      </c>
      <c r="J131" t="s">
        <v>6</v>
      </c>
      <c r="L131" t="s">
        <v>615</v>
      </c>
      <c r="M131" t="s">
        <v>5</v>
      </c>
      <c r="N131">
        <v>0.10410625417152768</v>
      </c>
      <c r="O131" t="s">
        <v>6</v>
      </c>
    </row>
    <row r="132" spans="2:15" x14ac:dyDescent="0.45">
      <c r="B132" t="s">
        <v>613</v>
      </c>
      <c r="C132" t="s">
        <v>9</v>
      </c>
      <c r="D132">
        <v>0.20461792996122757</v>
      </c>
      <c r="E132" t="s">
        <v>6</v>
      </c>
      <c r="G132" t="s">
        <v>614</v>
      </c>
      <c r="H132" t="s">
        <v>9</v>
      </c>
      <c r="I132">
        <v>0.1281421036291005</v>
      </c>
      <c r="J132" t="s">
        <v>6</v>
      </c>
      <c r="L132" t="s">
        <v>615</v>
      </c>
      <c r="M132" t="s">
        <v>9</v>
      </c>
      <c r="N132">
        <v>0.13185362562661046</v>
      </c>
      <c r="O132" t="s">
        <v>6</v>
      </c>
    </row>
    <row r="133" spans="2:15" x14ac:dyDescent="0.45">
      <c r="B133" t="s">
        <v>613</v>
      </c>
      <c r="C133" t="s">
        <v>10</v>
      </c>
      <c r="D133">
        <v>1.2802527398806146E-3</v>
      </c>
      <c r="E133" t="s">
        <v>6</v>
      </c>
      <c r="G133" t="s">
        <v>614</v>
      </c>
      <c r="H133" t="s">
        <v>10</v>
      </c>
      <c r="I133">
        <v>7.455995665350329E-2</v>
      </c>
      <c r="J133" t="s">
        <v>6</v>
      </c>
      <c r="L133" t="s">
        <v>615</v>
      </c>
      <c r="M133" t="s">
        <v>10</v>
      </c>
      <c r="N133">
        <v>8.1282140413258569E-2</v>
      </c>
      <c r="O133" t="s">
        <v>6</v>
      </c>
    </row>
    <row r="134" spans="2:15" x14ac:dyDescent="0.45">
      <c r="B134" t="s">
        <v>613</v>
      </c>
      <c r="C134" t="s">
        <v>11</v>
      </c>
      <c r="D134">
        <v>2.120230626470813E-3</v>
      </c>
      <c r="E134" t="s">
        <v>6</v>
      </c>
      <c r="G134" t="s">
        <v>614</v>
      </c>
      <c r="H134" t="s">
        <v>11</v>
      </c>
      <c r="I134">
        <v>0.11828067565251429</v>
      </c>
      <c r="J134" t="s">
        <v>6</v>
      </c>
      <c r="L134" t="s">
        <v>615</v>
      </c>
      <c r="M134" t="s">
        <v>11</v>
      </c>
      <c r="N134">
        <v>0.1367005390968207</v>
      </c>
      <c r="O134" t="s">
        <v>6</v>
      </c>
    </row>
    <row r="135" spans="2:15" x14ac:dyDescent="0.45">
      <c r="B135" t="s">
        <v>613</v>
      </c>
      <c r="C135" t="s">
        <v>12</v>
      </c>
      <c r="D135">
        <v>0.28119877017997152</v>
      </c>
      <c r="E135" t="s">
        <v>6</v>
      </c>
      <c r="G135" t="s">
        <v>614</v>
      </c>
      <c r="H135" t="s">
        <v>12</v>
      </c>
      <c r="I135">
        <v>0.16901577414346936</v>
      </c>
      <c r="J135" t="s">
        <v>6</v>
      </c>
      <c r="L135" t="s">
        <v>615</v>
      </c>
      <c r="M135" t="s">
        <v>12</v>
      </c>
      <c r="N135">
        <v>0.16195766021838162</v>
      </c>
      <c r="O135" t="s">
        <v>6</v>
      </c>
    </row>
    <row r="136" spans="2:15" x14ac:dyDescent="0.45">
      <c r="B136" t="s">
        <v>613</v>
      </c>
      <c r="C136" t="s">
        <v>13</v>
      </c>
      <c r="D136">
        <v>1.1834850720367553E-2</v>
      </c>
      <c r="E136" t="s">
        <v>6</v>
      </c>
      <c r="G136" t="s">
        <v>614</v>
      </c>
      <c r="H136" t="s">
        <v>13</v>
      </c>
      <c r="I136">
        <v>9.69837683809157E-2</v>
      </c>
      <c r="J136" t="s">
        <v>6</v>
      </c>
      <c r="L136" t="s">
        <v>615</v>
      </c>
      <c r="M136" t="s">
        <v>13</v>
      </c>
      <c r="N136">
        <v>0.10503005864025323</v>
      </c>
      <c r="O136" t="s">
        <v>6</v>
      </c>
    </row>
    <row r="137" spans="2:15" x14ac:dyDescent="0.45">
      <c r="B137" t="s">
        <v>613</v>
      </c>
      <c r="C137" t="s">
        <v>14</v>
      </c>
      <c r="D137">
        <v>3.7221051813868425E-3</v>
      </c>
      <c r="E137" t="s">
        <v>6</v>
      </c>
      <c r="G137" t="s">
        <v>614</v>
      </c>
      <c r="H137" t="s">
        <v>14</v>
      </c>
      <c r="I137">
        <v>1.9915706462645847E-2</v>
      </c>
      <c r="J137" t="s">
        <v>6</v>
      </c>
      <c r="L137" t="s">
        <v>615</v>
      </c>
      <c r="M137" t="s">
        <v>14</v>
      </c>
      <c r="N137">
        <v>2.4170376530989059E-2</v>
      </c>
      <c r="O137" t="s">
        <v>6</v>
      </c>
    </row>
    <row r="138" spans="2:15" x14ac:dyDescent="0.45">
      <c r="B138" t="s">
        <v>613</v>
      </c>
      <c r="C138" t="s">
        <v>15</v>
      </c>
      <c r="D138">
        <v>0.28106339276713144</v>
      </c>
      <c r="E138" t="s">
        <v>6</v>
      </c>
      <c r="G138" t="s">
        <v>614</v>
      </c>
      <c r="H138" t="s">
        <v>15</v>
      </c>
      <c r="I138">
        <v>5.3129328884641468E-2</v>
      </c>
      <c r="J138" t="s">
        <v>6</v>
      </c>
      <c r="L138" t="s">
        <v>615</v>
      </c>
      <c r="M138" t="s">
        <v>15</v>
      </c>
      <c r="N138">
        <v>3.741034395120179E-2</v>
      </c>
      <c r="O138" t="s">
        <v>6</v>
      </c>
    </row>
    <row r="139" spans="2:15" x14ac:dyDescent="0.45">
      <c r="B139" t="s">
        <v>613</v>
      </c>
      <c r="C139" t="s">
        <v>16</v>
      </c>
      <c r="D139">
        <v>1.5657331057541718E-2</v>
      </c>
      <c r="E139" t="s">
        <v>6</v>
      </c>
      <c r="G139" t="s">
        <v>614</v>
      </c>
      <c r="H139" t="s">
        <v>16</v>
      </c>
      <c r="I139">
        <v>2.9764893384548175E-2</v>
      </c>
      <c r="J139" t="s">
        <v>6</v>
      </c>
      <c r="L139" t="s">
        <v>615</v>
      </c>
      <c r="M139" t="s">
        <v>16</v>
      </c>
      <c r="N139">
        <v>2.4548132484797643E-2</v>
      </c>
      <c r="O139" t="s">
        <v>6</v>
      </c>
    </row>
    <row r="140" spans="2:15" x14ac:dyDescent="0.45">
      <c r="B140" t="s">
        <v>613</v>
      </c>
      <c r="C140" t="s">
        <v>17</v>
      </c>
      <c r="D140">
        <v>1.297916077513496E-4</v>
      </c>
      <c r="E140" t="s">
        <v>6</v>
      </c>
      <c r="G140" t="s">
        <v>614</v>
      </c>
      <c r="H140" t="s">
        <v>17</v>
      </c>
      <c r="I140">
        <v>7.0697231379833178E-2</v>
      </c>
      <c r="J140" t="s">
        <v>6</v>
      </c>
      <c r="L140" t="s">
        <v>615</v>
      </c>
      <c r="M140" t="s">
        <v>17</v>
      </c>
      <c r="N140">
        <v>6.1701351179396666E-2</v>
      </c>
      <c r="O140" t="s">
        <v>6</v>
      </c>
    </row>
    <row r="141" spans="2:15" x14ac:dyDescent="0.45">
      <c r="B141" t="s">
        <v>613</v>
      </c>
      <c r="C141" t="s">
        <v>18</v>
      </c>
      <c r="D141">
        <v>0.19603862202249131</v>
      </c>
      <c r="E141" t="s">
        <v>6</v>
      </c>
      <c r="G141" t="s">
        <v>614</v>
      </c>
      <c r="H141" t="s">
        <v>18</v>
      </c>
      <c r="I141">
        <v>8.9408286791074792E-2</v>
      </c>
      <c r="J141" t="s">
        <v>6</v>
      </c>
      <c r="L141" t="s">
        <v>615</v>
      </c>
      <c r="M141" t="s">
        <v>18</v>
      </c>
      <c r="N141">
        <v>8.2909757296289688E-2</v>
      </c>
      <c r="O141" t="s">
        <v>6</v>
      </c>
    </row>
    <row r="142" spans="2:15" x14ac:dyDescent="0.45">
      <c r="B142" t="s">
        <v>613</v>
      </c>
      <c r="C142" t="s">
        <v>19</v>
      </c>
      <c r="D142">
        <v>2.3367231357812553E-3</v>
      </c>
      <c r="E142" t="s">
        <v>6</v>
      </c>
      <c r="G142" t="s">
        <v>614</v>
      </c>
      <c r="H142" t="s">
        <v>19</v>
      </c>
      <c r="I142">
        <v>5.7707244897072629E-2</v>
      </c>
      <c r="J142" t="s">
        <v>6</v>
      </c>
      <c r="L142" t="s">
        <v>615</v>
      </c>
      <c r="M142" t="s">
        <v>19</v>
      </c>
      <c r="N142">
        <v>4.832976039046994E-2</v>
      </c>
      <c r="O142" t="s">
        <v>6</v>
      </c>
    </row>
    <row r="143" spans="2:15" x14ac:dyDescent="0.45">
      <c r="B143" t="s">
        <v>616</v>
      </c>
      <c r="C143" t="s">
        <v>5</v>
      </c>
      <c r="D143">
        <v>0</v>
      </c>
      <c r="E143" t="s">
        <v>6</v>
      </c>
      <c r="G143" t="s">
        <v>617</v>
      </c>
      <c r="H143" t="s">
        <v>5</v>
      </c>
      <c r="I143">
        <v>0.10130437260972595</v>
      </c>
      <c r="J143" t="s">
        <v>6</v>
      </c>
      <c r="L143" t="s">
        <v>618</v>
      </c>
      <c r="M143" t="s">
        <v>5</v>
      </c>
      <c r="N143">
        <v>8.192078982313851E-2</v>
      </c>
      <c r="O143" t="s">
        <v>6</v>
      </c>
    </row>
    <row r="144" spans="2:15" x14ac:dyDescent="0.45">
      <c r="B144" t="s">
        <v>616</v>
      </c>
      <c r="C144" t="s">
        <v>9</v>
      </c>
      <c r="D144">
        <v>0.19010360935290455</v>
      </c>
      <c r="E144" t="s">
        <v>6</v>
      </c>
      <c r="G144" t="s">
        <v>617</v>
      </c>
      <c r="H144" t="s">
        <v>9</v>
      </c>
      <c r="I144">
        <v>0.13020986354835959</v>
      </c>
      <c r="J144" t="s">
        <v>6</v>
      </c>
      <c r="L144" t="s">
        <v>618</v>
      </c>
      <c r="M144" t="s">
        <v>9</v>
      </c>
      <c r="N144">
        <v>0.11763294901780301</v>
      </c>
      <c r="O144" t="s">
        <v>6</v>
      </c>
    </row>
    <row r="145" spans="2:15" x14ac:dyDescent="0.45">
      <c r="B145" t="s">
        <v>616</v>
      </c>
      <c r="C145" t="s">
        <v>10</v>
      </c>
      <c r="D145">
        <v>8.4130860407294436E-4</v>
      </c>
      <c r="E145" t="s">
        <v>6</v>
      </c>
      <c r="G145" t="s">
        <v>617</v>
      </c>
      <c r="H145" t="s">
        <v>10</v>
      </c>
      <c r="I145">
        <v>7.4684923868206216E-2</v>
      </c>
      <c r="J145" t="s">
        <v>6</v>
      </c>
      <c r="L145" t="s">
        <v>618</v>
      </c>
      <c r="M145" t="s">
        <v>10</v>
      </c>
      <c r="N145">
        <v>7.1069359482008487E-2</v>
      </c>
      <c r="O145" t="s">
        <v>6</v>
      </c>
    </row>
    <row r="146" spans="2:15" x14ac:dyDescent="0.45">
      <c r="B146" t="s">
        <v>616</v>
      </c>
      <c r="C146" t="s">
        <v>11</v>
      </c>
      <c r="D146">
        <v>2.3696404053003052E-3</v>
      </c>
      <c r="E146" t="s">
        <v>6</v>
      </c>
      <c r="G146" t="s">
        <v>617</v>
      </c>
      <c r="H146" t="s">
        <v>11</v>
      </c>
      <c r="I146">
        <v>8.7676983209795556E-2</v>
      </c>
      <c r="J146" t="s">
        <v>6</v>
      </c>
      <c r="L146" t="s">
        <v>618</v>
      </c>
      <c r="M146" t="s">
        <v>11</v>
      </c>
      <c r="N146">
        <v>0.11968791397451131</v>
      </c>
      <c r="O146" t="s">
        <v>6</v>
      </c>
    </row>
    <row r="147" spans="2:15" x14ac:dyDescent="0.45">
      <c r="B147" t="s">
        <v>616</v>
      </c>
      <c r="C147" t="s">
        <v>12</v>
      </c>
      <c r="D147">
        <v>0.25912371305362242</v>
      </c>
      <c r="E147" t="s">
        <v>6</v>
      </c>
      <c r="G147" t="s">
        <v>617</v>
      </c>
      <c r="H147" t="s">
        <v>12</v>
      </c>
      <c r="I147">
        <v>0.13659568434113481</v>
      </c>
      <c r="J147" t="s">
        <v>6</v>
      </c>
      <c r="L147" t="s">
        <v>618</v>
      </c>
      <c r="M147" t="s">
        <v>12</v>
      </c>
      <c r="N147">
        <v>0.1634657973903603</v>
      </c>
      <c r="O147" t="s">
        <v>6</v>
      </c>
    </row>
    <row r="148" spans="2:15" x14ac:dyDescent="0.45">
      <c r="B148" t="s">
        <v>616</v>
      </c>
      <c r="C148" t="s">
        <v>13</v>
      </c>
      <c r="D148">
        <v>9.0160056814441031E-3</v>
      </c>
      <c r="E148" t="s">
        <v>6</v>
      </c>
      <c r="G148" t="s">
        <v>617</v>
      </c>
      <c r="H148" t="s">
        <v>13</v>
      </c>
      <c r="I148">
        <v>7.5033556973231261E-2</v>
      </c>
      <c r="J148" t="s">
        <v>6</v>
      </c>
      <c r="L148" t="s">
        <v>618</v>
      </c>
      <c r="M148" t="s">
        <v>13</v>
      </c>
      <c r="N148">
        <v>0.10254459494088612</v>
      </c>
      <c r="O148" t="s">
        <v>6</v>
      </c>
    </row>
    <row r="149" spans="2:15" x14ac:dyDescent="0.45">
      <c r="B149" t="s">
        <v>616</v>
      </c>
      <c r="C149" t="s">
        <v>14</v>
      </c>
      <c r="D149">
        <v>5.1154304711943707E-3</v>
      </c>
      <c r="E149" t="s">
        <v>6</v>
      </c>
      <c r="G149" t="s">
        <v>617</v>
      </c>
      <c r="H149" t="s">
        <v>14</v>
      </c>
      <c r="I149">
        <v>5.1904814362966671E-2</v>
      </c>
      <c r="J149" t="s">
        <v>6</v>
      </c>
      <c r="L149" t="s">
        <v>618</v>
      </c>
      <c r="M149" t="s">
        <v>14</v>
      </c>
      <c r="N149">
        <v>2.6288085500929627E-2</v>
      </c>
      <c r="O149" t="s">
        <v>6</v>
      </c>
    </row>
    <row r="150" spans="2:15" x14ac:dyDescent="0.45">
      <c r="B150" t="s">
        <v>616</v>
      </c>
      <c r="C150" t="s">
        <v>15</v>
      </c>
      <c r="D150">
        <v>0.32404349675867739</v>
      </c>
      <c r="E150" t="s">
        <v>6</v>
      </c>
      <c r="G150" t="s">
        <v>617</v>
      </c>
      <c r="H150" t="s">
        <v>15</v>
      </c>
      <c r="I150">
        <v>8.0904318181865331E-2</v>
      </c>
      <c r="J150" t="s">
        <v>6</v>
      </c>
      <c r="L150" t="s">
        <v>618</v>
      </c>
      <c r="M150" t="s">
        <v>15</v>
      </c>
      <c r="N150">
        <v>4.8114058237408684E-2</v>
      </c>
      <c r="O150" t="s">
        <v>6</v>
      </c>
    </row>
    <row r="151" spans="2:15" x14ac:dyDescent="0.45">
      <c r="B151" t="s">
        <v>616</v>
      </c>
      <c r="C151" t="s">
        <v>16</v>
      </c>
      <c r="D151">
        <v>1.5812084736667099E-2</v>
      </c>
      <c r="E151" t="s">
        <v>6</v>
      </c>
      <c r="G151" t="s">
        <v>617</v>
      </c>
      <c r="H151" t="s">
        <v>16</v>
      </c>
      <c r="I151">
        <v>3.6715121478197707E-2</v>
      </c>
      <c r="J151" t="s">
        <v>6</v>
      </c>
      <c r="L151" t="s">
        <v>618</v>
      </c>
      <c r="M151" t="s">
        <v>16</v>
      </c>
      <c r="N151">
        <v>3.418556205834463E-2</v>
      </c>
      <c r="O151" t="s">
        <v>6</v>
      </c>
    </row>
    <row r="152" spans="2:15" x14ac:dyDescent="0.45">
      <c r="B152" t="s">
        <v>616</v>
      </c>
      <c r="C152" t="s">
        <v>17</v>
      </c>
      <c r="D152">
        <v>3.157277173806382E-4</v>
      </c>
      <c r="E152" t="s">
        <v>6</v>
      </c>
      <c r="G152" t="s">
        <v>617</v>
      </c>
      <c r="H152" t="s">
        <v>17</v>
      </c>
      <c r="I152">
        <v>6.8490693510479053E-2</v>
      </c>
      <c r="J152" t="s">
        <v>6</v>
      </c>
      <c r="L152" t="s">
        <v>618</v>
      </c>
      <c r="M152" t="s">
        <v>17</v>
      </c>
      <c r="N152">
        <v>7.2751487902125073E-2</v>
      </c>
      <c r="O152" t="s">
        <v>6</v>
      </c>
    </row>
    <row r="153" spans="2:15" x14ac:dyDescent="0.45">
      <c r="B153" t="s">
        <v>616</v>
      </c>
      <c r="C153" t="s">
        <v>18</v>
      </c>
      <c r="D153">
        <v>0.19119407888879986</v>
      </c>
      <c r="E153" t="s">
        <v>6</v>
      </c>
      <c r="G153" t="s">
        <v>617</v>
      </c>
      <c r="H153" t="s">
        <v>18</v>
      </c>
      <c r="I153">
        <v>0.10004041118452416</v>
      </c>
      <c r="J153" t="s">
        <v>6</v>
      </c>
      <c r="L153" t="s">
        <v>618</v>
      </c>
      <c r="M153" t="s">
        <v>18</v>
      </c>
      <c r="N153">
        <v>9.9684263787018751E-2</v>
      </c>
      <c r="O153" t="s">
        <v>6</v>
      </c>
    </row>
    <row r="154" spans="2:15" x14ac:dyDescent="0.45">
      <c r="B154" t="s">
        <v>616</v>
      </c>
      <c r="C154" t="s">
        <v>19</v>
      </c>
      <c r="D154">
        <v>2.0649043299393278E-3</v>
      </c>
      <c r="E154" t="s">
        <v>6</v>
      </c>
      <c r="G154" t="s">
        <v>617</v>
      </c>
      <c r="H154" t="s">
        <v>19</v>
      </c>
      <c r="I154">
        <v>5.6439256731513746E-2</v>
      </c>
      <c r="J154" t="s">
        <v>6</v>
      </c>
      <c r="L154" t="s">
        <v>618</v>
      </c>
      <c r="M154" t="s">
        <v>19</v>
      </c>
      <c r="N154">
        <v>6.2655137885469281E-2</v>
      </c>
      <c r="O154" t="s">
        <v>6</v>
      </c>
    </row>
    <row r="155" spans="2:15" x14ac:dyDescent="0.45">
      <c r="B155" t="s">
        <v>619</v>
      </c>
      <c r="C155" t="s">
        <v>5</v>
      </c>
      <c r="D155">
        <v>0</v>
      </c>
      <c r="E155" t="s">
        <v>6</v>
      </c>
      <c r="G155" t="s">
        <v>620</v>
      </c>
      <c r="H155" t="s">
        <v>5</v>
      </c>
      <c r="I155">
        <v>9.5125294978188835E-2</v>
      </c>
      <c r="J155" t="s">
        <v>6</v>
      </c>
      <c r="L155" t="s">
        <v>621</v>
      </c>
      <c r="M155" t="s">
        <v>5</v>
      </c>
      <c r="N155">
        <v>9.631697845381279E-2</v>
      </c>
      <c r="O155" t="s">
        <v>6</v>
      </c>
    </row>
    <row r="156" spans="2:15" x14ac:dyDescent="0.45">
      <c r="B156" t="s">
        <v>619</v>
      </c>
      <c r="C156" t="s">
        <v>9</v>
      </c>
      <c r="D156">
        <v>0.17300852994695273</v>
      </c>
      <c r="E156" t="s">
        <v>6</v>
      </c>
      <c r="G156" t="s">
        <v>620</v>
      </c>
      <c r="H156" t="s">
        <v>9</v>
      </c>
      <c r="I156">
        <v>0.12719802235955491</v>
      </c>
      <c r="J156" t="s">
        <v>6</v>
      </c>
      <c r="L156" t="s">
        <v>621</v>
      </c>
      <c r="M156" t="s">
        <v>9</v>
      </c>
      <c r="N156">
        <v>0.12442294230072413</v>
      </c>
      <c r="O156" t="s">
        <v>6</v>
      </c>
    </row>
    <row r="157" spans="2:15" x14ac:dyDescent="0.45">
      <c r="B157" t="s">
        <v>619</v>
      </c>
      <c r="C157" t="s">
        <v>10</v>
      </c>
      <c r="D157">
        <v>7.8403472098374414E-4</v>
      </c>
      <c r="E157" t="s">
        <v>6</v>
      </c>
      <c r="G157" t="s">
        <v>620</v>
      </c>
      <c r="H157" t="s">
        <v>10</v>
      </c>
      <c r="I157">
        <v>6.9892440558327551E-2</v>
      </c>
      <c r="J157" t="s">
        <v>6</v>
      </c>
      <c r="L157" t="s">
        <v>621</v>
      </c>
      <c r="M157" t="s">
        <v>10</v>
      </c>
      <c r="N157">
        <v>7.602044725295666E-2</v>
      </c>
      <c r="O157" t="s">
        <v>6</v>
      </c>
    </row>
    <row r="158" spans="2:15" x14ac:dyDescent="0.45">
      <c r="B158" t="s">
        <v>619</v>
      </c>
      <c r="C158" t="s">
        <v>11</v>
      </c>
      <c r="D158">
        <v>2.377535195442558E-3</v>
      </c>
      <c r="E158" t="s">
        <v>6</v>
      </c>
      <c r="G158" t="s">
        <v>620</v>
      </c>
      <c r="H158" t="s">
        <v>11</v>
      </c>
      <c r="I158">
        <v>8.800156070713977E-2</v>
      </c>
      <c r="J158" t="s">
        <v>6</v>
      </c>
      <c r="L158" t="s">
        <v>621</v>
      </c>
      <c r="M158" t="s">
        <v>11</v>
      </c>
      <c r="N158">
        <v>0.12568578777386599</v>
      </c>
      <c r="O158" t="s">
        <v>6</v>
      </c>
    </row>
    <row r="159" spans="2:15" x14ac:dyDescent="0.45">
      <c r="B159" t="s">
        <v>619</v>
      </c>
      <c r="C159" t="s">
        <v>12</v>
      </c>
      <c r="D159">
        <v>0.2569184792814222</v>
      </c>
      <c r="E159" t="s">
        <v>6</v>
      </c>
      <c r="G159" t="s">
        <v>620</v>
      </c>
      <c r="H159" t="s">
        <v>12</v>
      </c>
      <c r="I159">
        <v>0.17818483361175178</v>
      </c>
      <c r="J159" t="s">
        <v>6</v>
      </c>
      <c r="L159" t="s">
        <v>621</v>
      </c>
      <c r="M159" t="s">
        <v>12</v>
      </c>
      <c r="N159">
        <v>0.15596756217604679</v>
      </c>
      <c r="O159" t="s">
        <v>6</v>
      </c>
    </row>
    <row r="160" spans="2:15" x14ac:dyDescent="0.45">
      <c r="B160" t="s">
        <v>619</v>
      </c>
      <c r="C160" t="s">
        <v>13</v>
      </c>
      <c r="D160">
        <v>8.8013807959573722E-3</v>
      </c>
      <c r="E160" t="s">
        <v>6</v>
      </c>
      <c r="G160" t="s">
        <v>620</v>
      </c>
      <c r="H160" t="s">
        <v>13</v>
      </c>
      <c r="I160">
        <v>7.8119376425271683E-2</v>
      </c>
      <c r="J160" t="s">
        <v>6</v>
      </c>
      <c r="L160" t="s">
        <v>621</v>
      </c>
      <c r="M160" t="s">
        <v>13</v>
      </c>
      <c r="N160">
        <v>0.10635421096499358</v>
      </c>
      <c r="O160" t="s">
        <v>6</v>
      </c>
    </row>
    <row r="161" spans="2:15" x14ac:dyDescent="0.45">
      <c r="B161" t="s">
        <v>619</v>
      </c>
      <c r="C161" t="s">
        <v>14</v>
      </c>
      <c r="D161">
        <v>5.0906259363433133E-3</v>
      </c>
      <c r="E161" t="s">
        <v>6</v>
      </c>
      <c r="G161" t="s">
        <v>620</v>
      </c>
      <c r="H161" t="s">
        <v>14</v>
      </c>
      <c r="I161">
        <v>3.7169468370635846E-2</v>
      </c>
      <c r="J161" t="s">
        <v>6</v>
      </c>
      <c r="L161" t="s">
        <v>621</v>
      </c>
      <c r="M161" t="s">
        <v>14</v>
      </c>
      <c r="N161">
        <v>2.145528434806172E-2</v>
      </c>
      <c r="O161" t="s">
        <v>6</v>
      </c>
    </row>
    <row r="162" spans="2:15" x14ac:dyDescent="0.45">
      <c r="B162" t="s">
        <v>619</v>
      </c>
      <c r="C162" t="s">
        <v>15</v>
      </c>
      <c r="D162">
        <v>0.34090007393078747</v>
      </c>
      <c r="E162" t="s">
        <v>6</v>
      </c>
      <c r="G162" t="s">
        <v>620</v>
      </c>
      <c r="H162" t="s">
        <v>15</v>
      </c>
      <c r="I162">
        <v>6.9298287804341954E-2</v>
      </c>
      <c r="J162" t="s">
        <v>6</v>
      </c>
      <c r="L162" t="s">
        <v>621</v>
      </c>
      <c r="M162" t="s">
        <v>15</v>
      </c>
      <c r="N162">
        <v>3.9250049307562138E-2</v>
      </c>
      <c r="O162" t="s">
        <v>6</v>
      </c>
    </row>
    <row r="163" spans="2:15" x14ac:dyDescent="0.45">
      <c r="B163" t="s">
        <v>619</v>
      </c>
      <c r="C163" t="s">
        <v>16</v>
      </c>
      <c r="D163">
        <v>1.6343100118122764E-2</v>
      </c>
      <c r="E163" t="s">
        <v>6</v>
      </c>
      <c r="G163" t="s">
        <v>620</v>
      </c>
      <c r="H163" t="s">
        <v>16</v>
      </c>
      <c r="I163">
        <v>3.2248576914356959E-2</v>
      </c>
      <c r="J163" t="s">
        <v>6</v>
      </c>
      <c r="L163" t="s">
        <v>621</v>
      </c>
      <c r="M163" t="s">
        <v>16</v>
      </c>
      <c r="N163">
        <v>3.4218291354961669E-2</v>
      </c>
      <c r="O163" t="s">
        <v>6</v>
      </c>
    </row>
    <row r="164" spans="2:15" x14ac:dyDescent="0.45">
      <c r="B164" t="s">
        <v>619</v>
      </c>
      <c r="C164" t="s">
        <v>17</v>
      </c>
      <c r="D164">
        <v>3.4780644222065461E-4</v>
      </c>
      <c r="E164" t="s">
        <v>6</v>
      </c>
      <c r="G164" t="s">
        <v>620</v>
      </c>
      <c r="H164" t="s">
        <v>17</v>
      </c>
      <c r="I164">
        <v>6.664769939328441E-2</v>
      </c>
      <c r="J164" t="s">
        <v>6</v>
      </c>
      <c r="L164" t="s">
        <v>621</v>
      </c>
      <c r="M164" t="s">
        <v>17</v>
      </c>
      <c r="N164">
        <v>7.3760356216806877E-2</v>
      </c>
      <c r="O164" t="s">
        <v>6</v>
      </c>
    </row>
    <row r="165" spans="2:15" x14ac:dyDescent="0.45">
      <c r="B165" t="s">
        <v>619</v>
      </c>
      <c r="C165" t="s">
        <v>18</v>
      </c>
      <c r="D165">
        <v>0.19325276958604037</v>
      </c>
      <c r="E165" t="s">
        <v>6</v>
      </c>
      <c r="G165" t="s">
        <v>620</v>
      </c>
      <c r="H165" t="s">
        <v>18</v>
      </c>
      <c r="I165">
        <v>0.10455122006682516</v>
      </c>
      <c r="J165" t="s">
        <v>6</v>
      </c>
      <c r="L165" t="s">
        <v>621</v>
      </c>
      <c r="M165" t="s">
        <v>18</v>
      </c>
      <c r="N165">
        <v>8.4602582783770794E-2</v>
      </c>
      <c r="O165" t="s">
        <v>6</v>
      </c>
    </row>
    <row r="166" spans="2:15" x14ac:dyDescent="0.45">
      <c r="B166" t="s">
        <v>619</v>
      </c>
      <c r="C166" t="s">
        <v>19</v>
      </c>
      <c r="D166">
        <v>2.1756640457279526E-3</v>
      </c>
      <c r="E166" t="s">
        <v>6</v>
      </c>
      <c r="G166" t="s">
        <v>620</v>
      </c>
      <c r="H166" t="s">
        <v>19</v>
      </c>
      <c r="I166">
        <v>5.3563218810322347E-2</v>
      </c>
      <c r="J166" t="s">
        <v>6</v>
      </c>
      <c r="L166" t="s">
        <v>621</v>
      </c>
      <c r="M166" t="s">
        <v>19</v>
      </c>
      <c r="N166">
        <v>6.1945507066430677E-2</v>
      </c>
      <c r="O166" t="s">
        <v>6</v>
      </c>
    </row>
    <row r="167" spans="2:15" x14ac:dyDescent="0.45">
      <c r="B167" t="s">
        <v>622</v>
      </c>
      <c r="C167" t="s">
        <v>5</v>
      </c>
      <c r="D167">
        <v>0</v>
      </c>
      <c r="E167" t="s">
        <v>6</v>
      </c>
      <c r="G167" t="s">
        <v>623</v>
      </c>
      <c r="H167" t="s">
        <v>5</v>
      </c>
      <c r="I167">
        <v>9.2089688513708107E-2</v>
      </c>
      <c r="J167" t="s">
        <v>6</v>
      </c>
      <c r="L167" t="s">
        <v>624</v>
      </c>
      <c r="M167" t="s">
        <v>5</v>
      </c>
      <c r="N167">
        <v>0.10724533520385064</v>
      </c>
      <c r="O167" t="s">
        <v>6</v>
      </c>
    </row>
    <row r="168" spans="2:15" x14ac:dyDescent="0.45">
      <c r="B168" t="s">
        <v>622</v>
      </c>
      <c r="C168" t="s">
        <v>9</v>
      </c>
      <c r="D168">
        <v>0.19659150650979321</v>
      </c>
      <c r="E168" t="s">
        <v>6</v>
      </c>
      <c r="G168" t="s">
        <v>623</v>
      </c>
      <c r="H168" t="s">
        <v>9</v>
      </c>
      <c r="I168">
        <v>0.12553297847791781</v>
      </c>
      <c r="J168" t="s">
        <v>6</v>
      </c>
      <c r="L168" t="s">
        <v>624</v>
      </c>
      <c r="M168" t="s">
        <v>9</v>
      </c>
      <c r="N168">
        <v>0.13948690341035036</v>
      </c>
      <c r="O168" t="s">
        <v>6</v>
      </c>
    </row>
    <row r="169" spans="2:15" x14ac:dyDescent="0.45">
      <c r="B169" t="s">
        <v>622</v>
      </c>
      <c r="C169" t="s">
        <v>10</v>
      </c>
      <c r="D169">
        <v>1.0678066134938524E-3</v>
      </c>
      <c r="E169" t="s">
        <v>6</v>
      </c>
      <c r="G169" t="s">
        <v>623</v>
      </c>
      <c r="H169" t="s">
        <v>10</v>
      </c>
      <c r="I169">
        <v>7.3039759253575712E-2</v>
      </c>
      <c r="J169" t="s">
        <v>6</v>
      </c>
      <c r="L169" t="s">
        <v>624</v>
      </c>
      <c r="M169" t="s">
        <v>10</v>
      </c>
      <c r="N169">
        <v>8.8348108698449251E-2</v>
      </c>
      <c r="O169" t="s">
        <v>6</v>
      </c>
    </row>
    <row r="170" spans="2:15" x14ac:dyDescent="0.45">
      <c r="B170" t="s">
        <v>622</v>
      </c>
      <c r="C170" t="s">
        <v>11</v>
      </c>
      <c r="D170">
        <v>1.9144509318750279E-3</v>
      </c>
      <c r="E170" t="s">
        <v>6</v>
      </c>
      <c r="G170" t="s">
        <v>623</v>
      </c>
      <c r="H170" t="s">
        <v>11</v>
      </c>
      <c r="I170">
        <v>0.1067209996216156</v>
      </c>
      <c r="J170" t="s">
        <v>6</v>
      </c>
      <c r="L170" t="s">
        <v>624</v>
      </c>
      <c r="M170" t="s">
        <v>11</v>
      </c>
      <c r="N170">
        <v>0.11459054927893268</v>
      </c>
      <c r="O170" t="s">
        <v>6</v>
      </c>
    </row>
    <row r="171" spans="2:15" x14ac:dyDescent="0.45">
      <c r="B171" t="s">
        <v>622</v>
      </c>
      <c r="C171" t="s">
        <v>12</v>
      </c>
      <c r="D171">
        <v>0.25541183301391995</v>
      </c>
      <c r="E171" t="s">
        <v>6</v>
      </c>
      <c r="G171" t="s">
        <v>623</v>
      </c>
      <c r="H171" t="s">
        <v>12</v>
      </c>
      <c r="I171">
        <v>0.14774876833236414</v>
      </c>
      <c r="J171" t="s">
        <v>6</v>
      </c>
      <c r="L171" t="s">
        <v>624</v>
      </c>
      <c r="M171" t="s">
        <v>12</v>
      </c>
      <c r="N171">
        <v>0.15672015047827012</v>
      </c>
      <c r="O171" t="s">
        <v>6</v>
      </c>
    </row>
    <row r="172" spans="2:15" x14ac:dyDescent="0.45">
      <c r="B172" t="s">
        <v>622</v>
      </c>
      <c r="C172" t="s">
        <v>13</v>
      </c>
      <c r="D172">
        <v>9.781834271507913E-3</v>
      </c>
      <c r="E172" t="s">
        <v>6</v>
      </c>
      <c r="G172" t="s">
        <v>623</v>
      </c>
      <c r="H172" t="s">
        <v>13</v>
      </c>
      <c r="I172">
        <v>8.514895677366327E-2</v>
      </c>
      <c r="J172" t="s">
        <v>6</v>
      </c>
      <c r="L172" t="s">
        <v>624</v>
      </c>
      <c r="M172" t="s">
        <v>13</v>
      </c>
      <c r="N172">
        <v>9.0433944342899711E-2</v>
      </c>
      <c r="O172" t="s">
        <v>6</v>
      </c>
    </row>
    <row r="173" spans="2:15" x14ac:dyDescent="0.45">
      <c r="B173" t="s">
        <v>622</v>
      </c>
      <c r="C173" t="s">
        <v>14</v>
      </c>
      <c r="D173">
        <v>4.1599022522678022E-3</v>
      </c>
      <c r="E173" t="s">
        <v>6</v>
      </c>
      <c r="G173" t="s">
        <v>623</v>
      </c>
      <c r="H173" t="s">
        <v>14</v>
      </c>
      <c r="I173">
        <v>3.2568008574837534E-2</v>
      </c>
      <c r="J173" t="s">
        <v>6</v>
      </c>
      <c r="L173" t="s">
        <v>624</v>
      </c>
      <c r="M173" t="s">
        <v>14</v>
      </c>
      <c r="N173">
        <v>3.5890717224811214E-2</v>
      </c>
      <c r="O173" t="s">
        <v>6</v>
      </c>
    </row>
    <row r="174" spans="2:15" x14ac:dyDescent="0.45">
      <c r="B174" t="s">
        <v>622</v>
      </c>
      <c r="C174" t="s">
        <v>15</v>
      </c>
      <c r="D174">
        <v>0.32263261596884274</v>
      </c>
      <c r="E174" t="s">
        <v>6</v>
      </c>
      <c r="G174" t="s">
        <v>623</v>
      </c>
      <c r="H174" t="s">
        <v>15</v>
      </c>
      <c r="I174">
        <v>5.5254100090077793E-2</v>
      </c>
      <c r="J174" t="s">
        <v>6</v>
      </c>
      <c r="L174" t="s">
        <v>624</v>
      </c>
      <c r="M174" t="s">
        <v>15</v>
      </c>
      <c r="N174">
        <v>5.1155337121366259E-2</v>
      </c>
      <c r="O174" t="s">
        <v>6</v>
      </c>
    </row>
    <row r="175" spans="2:15" x14ac:dyDescent="0.45">
      <c r="B175" t="s">
        <v>622</v>
      </c>
      <c r="C175" t="s">
        <v>16</v>
      </c>
      <c r="D175">
        <v>1.6993640943036684E-2</v>
      </c>
      <c r="E175" t="s">
        <v>6</v>
      </c>
      <c r="G175" t="s">
        <v>623</v>
      </c>
      <c r="H175" t="s">
        <v>16</v>
      </c>
      <c r="I175">
        <v>2.8781445494750688E-2</v>
      </c>
      <c r="J175" t="s">
        <v>6</v>
      </c>
      <c r="L175" t="s">
        <v>624</v>
      </c>
      <c r="M175" t="s">
        <v>16</v>
      </c>
      <c r="N175">
        <v>3.5325358822941751E-2</v>
      </c>
      <c r="O175" t="s">
        <v>6</v>
      </c>
    </row>
    <row r="176" spans="2:15" x14ac:dyDescent="0.45">
      <c r="B176" t="s">
        <v>622</v>
      </c>
      <c r="C176" t="s">
        <v>17</v>
      </c>
      <c r="D176">
        <v>2.2863958414539161E-4</v>
      </c>
      <c r="E176" t="s">
        <v>6</v>
      </c>
      <c r="G176" t="s">
        <v>623</v>
      </c>
      <c r="H176" t="s">
        <v>17</v>
      </c>
      <c r="I176">
        <v>8.1292902677843407E-2</v>
      </c>
      <c r="J176" t="s">
        <v>6</v>
      </c>
      <c r="L176" t="s">
        <v>624</v>
      </c>
      <c r="M176" t="s">
        <v>17</v>
      </c>
      <c r="N176">
        <v>5.4358479562919462E-2</v>
      </c>
      <c r="O176" t="s">
        <v>6</v>
      </c>
    </row>
    <row r="177" spans="2:15" x14ac:dyDescent="0.45">
      <c r="B177" t="s">
        <v>622</v>
      </c>
      <c r="C177" t="s">
        <v>18</v>
      </c>
      <c r="D177">
        <v>0.18880617166990696</v>
      </c>
      <c r="E177" t="s">
        <v>6</v>
      </c>
      <c r="G177" t="s">
        <v>623</v>
      </c>
      <c r="H177" t="s">
        <v>18</v>
      </c>
      <c r="I177">
        <v>0.1114130696828937</v>
      </c>
      <c r="J177" t="s">
        <v>6</v>
      </c>
      <c r="L177" t="s">
        <v>624</v>
      </c>
      <c r="M177" t="s">
        <v>18</v>
      </c>
      <c r="N177">
        <v>7.880963255025146E-2</v>
      </c>
      <c r="O177" t="s">
        <v>6</v>
      </c>
    </row>
    <row r="178" spans="2:15" x14ac:dyDescent="0.45">
      <c r="B178" t="s">
        <v>622</v>
      </c>
      <c r="C178" t="s">
        <v>19</v>
      </c>
      <c r="D178">
        <v>2.4115982412138168E-3</v>
      </c>
      <c r="E178" t="s">
        <v>6</v>
      </c>
      <c r="G178" t="s">
        <v>623</v>
      </c>
      <c r="H178" t="s">
        <v>19</v>
      </c>
      <c r="I178">
        <v>6.0409322506752121E-2</v>
      </c>
      <c r="J178" t="s">
        <v>6</v>
      </c>
      <c r="L178" t="s">
        <v>624</v>
      </c>
      <c r="M178" t="s">
        <v>19</v>
      </c>
      <c r="N178">
        <v>4.7635483304960903E-2</v>
      </c>
      <c r="O178" t="s">
        <v>6</v>
      </c>
    </row>
    <row r="179" spans="2:15" x14ac:dyDescent="0.45">
      <c r="B179" t="s">
        <v>625</v>
      </c>
      <c r="C179" t="s">
        <v>5</v>
      </c>
      <c r="D179">
        <v>0</v>
      </c>
      <c r="E179" t="s">
        <v>6</v>
      </c>
      <c r="G179" t="s">
        <v>626</v>
      </c>
      <c r="H179" t="s">
        <v>5</v>
      </c>
      <c r="I179">
        <v>9.63536613318485E-2</v>
      </c>
      <c r="J179" t="s">
        <v>6</v>
      </c>
      <c r="L179" t="s">
        <v>627</v>
      </c>
      <c r="M179" t="s">
        <v>5</v>
      </c>
      <c r="N179">
        <v>0.10655404868084004</v>
      </c>
      <c r="O179" t="s">
        <v>6</v>
      </c>
    </row>
    <row r="180" spans="2:15" x14ac:dyDescent="0.45">
      <c r="B180" t="s">
        <v>625</v>
      </c>
      <c r="C180" t="s">
        <v>9</v>
      </c>
      <c r="D180">
        <v>0.19387774885235357</v>
      </c>
      <c r="E180" t="s">
        <v>6</v>
      </c>
      <c r="G180" t="s">
        <v>626</v>
      </c>
      <c r="H180" t="s">
        <v>9</v>
      </c>
      <c r="I180">
        <v>0.13154264342551239</v>
      </c>
      <c r="J180" t="s">
        <v>6</v>
      </c>
      <c r="L180" t="s">
        <v>627</v>
      </c>
      <c r="M180" t="s">
        <v>9</v>
      </c>
      <c r="N180">
        <v>0.14198295141428546</v>
      </c>
      <c r="O180" t="s">
        <v>6</v>
      </c>
    </row>
    <row r="181" spans="2:15" x14ac:dyDescent="0.45">
      <c r="B181" t="s">
        <v>625</v>
      </c>
      <c r="C181" t="s">
        <v>10</v>
      </c>
      <c r="D181">
        <v>1.2138423118792294E-3</v>
      </c>
      <c r="E181" t="s">
        <v>6</v>
      </c>
      <c r="G181" t="s">
        <v>626</v>
      </c>
      <c r="H181" t="s">
        <v>10</v>
      </c>
      <c r="I181">
        <v>7.1453114393919701E-2</v>
      </c>
      <c r="J181" t="s">
        <v>6</v>
      </c>
      <c r="L181" t="s">
        <v>627</v>
      </c>
      <c r="M181" t="s">
        <v>10</v>
      </c>
      <c r="N181">
        <v>8.4725115362741507E-2</v>
      </c>
      <c r="O181" t="s">
        <v>6</v>
      </c>
    </row>
    <row r="182" spans="2:15" x14ac:dyDescent="0.45">
      <c r="B182" t="s">
        <v>625</v>
      </c>
      <c r="C182" t="s">
        <v>11</v>
      </c>
      <c r="D182">
        <v>1.9162129808844421E-3</v>
      </c>
      <c r="E182" t="s">
        <v>6</v>
      </c>
      <c r="G182" t="s">
        <v>626</v>
      </c>
      <c r="H182" t="s">
        <v>11</v>
      </c>
      <c r="I182">
        <v>9.8200797835613779E-2</v>
      </c>
      <c r="J182" t="s">
        <v>6</v>
      </c>
      <c r="L182" t="s">
        <v>627</v>
      </c>
      <c r="M182" t="s">
        <v>11</v>
      </c>
      <c r="N182">
        <v>0.11042543960172307</v>
      </c>
      <c r="O182" t="s">
        <v>6</v>
      </c>
    </row>
    <row r="183" spans="2:15" x14ac:dyDescent="0.45">
      <c r="B183" t="s">
        <v>625</v>
      </c>
      <c r="C183" t="s">
        <v>12</v>
      </c>
      <c r="D183">
        <v>0.26602205975754323</v>
      </c>
      <c r="E183" t="s">
        <v>6</v>
      </c>
      <c r="G183" t="s">
        <v>626</v>
      </c>
      <c r="H183" t="s">
        <v>12</v>
      </c>
      <c r="I183">
        <v>0.1566786526822985</v>
      </c>
      <c r="J183" t="s">
        <v>6</v>
      </c>
      <c r="L183" t="s">
        <v>627</v>
      </c>
      <c r="M183" t="s">
        <v>12</v>
      </c>
      <c r="N183">
        <v>0.12770514818375761</v>
      </c>
      <c r="O183" t="s">
        <v>6</v>
      </c>
    </row>
    <row r="184" spans="2:15" x14ac:dyDescent="0.45">
      <c r="B184" t="s">
        <v>625</v>
      </c>
      <c r="C184" t="s">
        <v>13</v>
      </c>
      <c r="D184">
        <v>1.0414436580492487E-2</v>
      </c>
      <c r="E184" t="s">
        <v>6</v>
      </c>
      <c r="G184" t="s">
        <v>626</v>
      </c>
      <c r="H184" t="s">
        <v>13</v>
      </c>
      <c r="I184">
        <v>8.3334436316429839E-2</v>
      </c>
      <c r="J184" t="s">
        <v>6</v>
      </c>
      <c r="L184" t="s">
        <v>627</v>
      </c>
      <c r="M184" t="s">
        <v>13</v>
      </c>
      <c r="N184">
        <v>7.9285486039411199E-2</v>
      </c>
      <c r="O184" t="s">
        <v>6</v>
      </c>
    </row>
    <row r="185" spans="2:15" x14ac:dyDescent="0.45">
      <c r="B185" t="s">
        <v>625</v>
      </c>
      <c r="C185" t="s">
        <v>14</v>
      </c>
      <c r="D185">
        <v>3.6515005205682103E-3</v>
      </c>
      <c r="E185" t="s">
        <v>6</v>
      </c>
      <c r="G185" t="s">
        <v>626</v>
      </c>
      <c r="H185" t="s">
        <v>14</v>
      </c>
      <c r="I185">
        <v>3.4580466305940166E-2</v>
      </c>
      <c r="J185" t="s">
        <v>6</v>
      </c>
      <c r="L185" t="s">
        <v>627</v>
      </c>
      <c r="M185" t="s">
        <v>14</v>
      </c>
      <c r="N185">
        <v>5.293732848979632E-2</v>
      </c>
      <c r="O185" t="s">
        <v>6</v>
      </c>
    </row>
    <row r="186" spans="2:15" x14ac:dyDescent="0.45">
      <c r="B186" t="s">
        <v>625</v>
      </c>
      <c r="C186" t="s">
        <v>15</v>
      </c>
      <c r="D186">
        <v>0.29944185746524538</v>
      </c>
      <c r="E186" t="s">
        <v>6</v>
      </c>
      <c r="G186" t="s">
        <v>626</v>
      </c>
      <c r="H186" t="s">
        <v>15</v>
      </c>
      <c r="I186">
        <v>6.3874369255402463E-2</v>
      </c>
      <c r="J186" t="s">
        <v>6</v>
      </c>
      <c r="L186" t="s">
        <v>627</v>
      </c>
      <c r="M186" t="s">
        <v>15</v>
      </c>
      <c r="N186">
        <v>6.1886026883940126E-2</v>
      </c>
      <c r="O186" t="s">
        <v>6</v>
      </c>
    </row>
    <row r="187" spans="2:15" x14ac:dyDescent="0.45">
      <c r="B187" t="s">
        <v>625</v>
      </c>
      <c r="C187" t="s">
        <v>16</v>
      </c>
      <c r="D187">
        <v>1.5867277919040836E-2</v>
      </c>
      <c r="E187" t="s">
        <v>6</v>
      </c>
      <c r="G187" t="s">
        <v>626</v>
      </c>
      <c r="H187" t="s">
        <v>16</v>
      </c>
      <c r="I187">
        <v>3.1445673721436383E-2</v>
      </c>
      <c r="J187" t="s">
        <v>6</v>
      </c>
      <c r="L187" t="s">
        <v>627</v>
      </c>
      <c r="M187" t="s">
        <v>16</v>
      </c>
      <c r="N187">
        <v>4.2977942331812291E-2</v>
      </c>
      <c r="O187" t="s">
        <v>6</v>
      </c>
    </row>
    <row r="188" spans="2:15" x14ac:dyDescent="0.45">
      <c r="B188" t="s">
        <v>625</v>
      </c>
      <c r="C188" t="s">
        <v>17</v>
      </c>
      <c r="D188">
        <v>1.8180885772719587E-4</v>
      </c>
      <c r="E188" t="s">
        <v>6</v>
      </c>
      <c r="G188" t="s">
        <v>626</v>
      </c>
      <c r="H188" t="s">
        <v>17</v>
      </c>
      <c r="I188">
        <v>6.8976145748240916E-2</v>
      </c>
      <c r="J188" t="s">
        <v>6</v>
      </c>
      <c r="L188" t="s">
        <v>627</v>
      </c>
      <c r="M188" t="s">
        <v>17</v>
      </c>
      <c r="N188">
        <v>6.5561049592654325E-2</v>
      </c>
      <c r="O188" t="s">
        <v>6</v>
      </c>
    </row>
    <row r="189" spans="2:15" x14ac:dyDescent="0.45">
      <c r="B189" t="s">
        <v>625</v>
      </c>
      <c r="C189" t="s">
        <v>18</v>
      </c>
      <c r="D189">
        <v>0.20494099246205039</v>
      </c>
      <c r="E189" t="s">
        <v>6</v>
      </c>
      <c r="G189" t="s">
        <v>626</v>
      </c>
      <c r="H189" t="s">
        <v>18</v>
      </c>
      <c r="I189">
        <v>0.10768841551119943</v>
      </c>
      <c r="J189" t="s">
        <v>6</v>
      </c>
      <c r="L189" t="s">
        <v>627</v>
      </c>
      <c r="M189" t="s">
        <v>18</v>
      </c>
      <c r="N189">
        <v>7.5425093609443244E-2</v>
      </c>
      <c r="O189" t="s">
        <v>6</v>
      </c>
    </row>
    <row r="190" spans="2:15" x14ac:dyDescent="0.45">
      <c r="B190" t="s">
        <v>625</v>
      </c>
      <c r="C190" t="s">
        <v>19</v>
      </c>
      <c r="D190">
        <v>2.4722622922137725E-3</v>
      </c>
      <c r="E190" t="s">
        <v>6</v>
      </c>
      <c r="G190" t="s">
        <v>626</v>
      </c>
      <c r="H190" t="s">
        <v>19</v>
      </c>
      <c r="I190">
        <v>5.5871623472155789E-2</v>
      </c>
      <c r="J190" t="s">
        <v>6</v>
      </c>
      <c r="L190" t="s">
        <v>627</v>
      </c>
      <c r="M190" t="s">
        <v>19</v>
      </c>
      <c r="N190">
        <v>5.0534369809593173E-2</v>
      </c>
      <c r="O190" t="s">
        <v>6</v>
      </c>
    </row>
    <row r="191" spans="2:15" x14ac:dyDescent="0.45">
      <c r="B191" t="s">
        <v>628</v>
      </c>
      <c r="C191" t="s">
        <v>5</v>
      </c>
      <c r="D191">
        <v>0</v>
      </c>
      <c r="E191" t="s">
        <v>6</v>
      </c>
      <c r="G191" t="s">
        <v>629</v>
      </c>
      <c r="H191" t="s">
        <v>5</v>
      </c>
      <c r="I191">
        <v>9.6914924384583323E-2</v>
      </c>
      <c r="J191" t="s">
        <v>6</v>
      </c>
      <c r="L191" t="s">
        <v>630</v>
      </c>
      <c r="M191" t="s">
        <v>5</v>
      </c>
      <c r="N191">
        <v>9.5285273604568538E-2</v>
      </c>
      <c r="O191" t="s">
        <v>6</v>
      </c>
    </row>
    <row r="192" spans="2:15" x14ac:dyDescent="0.45">
      <c r="B192" t="s">
        <v>628</v>
      </c>
      <c r="C192" t="s">
        <v>9</v>
      </c>
      <c r="D192">
        <v>0.19262159541356527</v>
      </c>
      <c r="E192" t="s">
        <v>6</v>
      </c>
      <c r="G192" t="s">
        <v>629</v>
      </c>
      <c r="H192" t="s">
        <v>9</v>
      </c>
      <c r="I192">
        <v>0.13484975362400961</v>
      </c>
      <c r="J192" t="s">
        <v>6</v>
      </c>
      <c r="L192" t="s">
        <v>630</v>
      </c>
      <c r="M192" t="s">
        <v>9</v>
      </c>
      <c r="N192">
        <v>0.13486715733969409</v>
      </c>
      <c r="O192" t="s">
        <v>6</v>
      </c>
    </row>
    <row r="193" spans="2:15" x14ac:dyDescent="0.45">
      <c r="B193" t="s">
        <v>628</v>
      </c>
      <c r="C193" t="s">
        <v>10</v>
      </c>
      <c r="D193">
        <v>5.6562240838835948E-4</v>
      </c>
      <c r="E193" t="s">
        <v>6</v>
      </c>
      <c r="G193" t="s">
        <v>629</v>
      </c>
      <c r="H193" t="s">
        <v>10</v>
      </c>
      <c r="I193">
        <v>7.5752446956425079E-2</v>
      </c>
      <c r="J193" t="s">
        <v>6</v>
      </c>
      <c r="L193" t="s">
        <v>630</v>
      </c>
      <c r="M193" t="s">
        <v>10</v>
      </c>
      <c r="N193">
        <v>7.7984581672476419E-2</v>
      </c>
      <c r="O193" t="s">
        <v>6</v>
      </c>
    </row>
    <row r="194" spans="2:15" x14ac:dyDescent="0.45">
      <c r="B194" t="s">
        <v>628</v>
      </c>
      <c r="C194" t="s">
        <v>11</v>
      </c>
      <c r="D194">
        <v>2.8612485948719549E-3</v>
      </c>
      <c r="E194" t="s">
        <v>6</v>
      </c>
      <c r="G194" t="s">
        <v>629</v>
      </c>
      <c r="H194" t="s">
        <v>11</v>
      </c>
      <c r="I194">
        <v>0.10268654837665309</v>
      </c>
      <c r="J194" t="s">
        <v>6</v>
      </c>
      <c r="L194" t="s">
        <v>630</v>
      </c>
      <c r="M194" t="s">
        <v>11</v>
      </c>
      <c r="N194">
        <v>0.11211798864171707</v>
      </c>
      <c r="O194" t="s">
        <v>6</v>
      </c>
    </row>
    <row r="195" spans="2:15" x14ac:dyDescent="0.45">
      <c r="B195" t="s">
        <v>628</v>
      </c>
      <c r="C195" t="s">
        <v>12</v>
      </c>
      <c r="D195">
        <v>0.25754457302976969</v>
      </c>
      <c r="E195" t="s">
        <v>6</v>
      </c>
      <c r="G195" t="s">
        <v>629</v>
      </c>
      <c r="H195" t="s">
        <v>12</v>
      </c>
      <c r="I195">
        <v>0.13981770751359951</v>
      </c>
      <c r="J195" t="s">
        <v>6</v>
      </c>
      <c r="L195" t="s">
        <v>630</v>
      </c>
      <c r="M195" t="s">
        <v>12</v>
      </c>
      <c r="N195">
        <v>0.14159645042526739</v>
      </c>
      <c r="O195" t="s">
        <v>6</v>
      </c>
    </row>
    <row r="196" spans="2:15" x14ac:dyDescent="0.45">
      <c r="B196" t="s">
        <v>628</v>
      </c>
      <c r="C196" t="s">
        <v>13</v>
      </c>
      <c r="D196">
        <v>7.6851671815198015E-3</v>
      </c>
      <c r="E196" t="s">
        <v>6</v>
      </c>
      <c r="G196" t="s">
        <v>629</v>
      </c>
      <c r="H196" t="s">
        <v>13</v>
      </c>
      <c r="I196">
        <v>8.1817301744102275E-2</v>
      </c>
      <c r="J196" t="s">
        <v>6</v>
      </c>
      <c r="L196" t="s">
        <v>630</v>
      </c>
      <c r="M196" t="s">
        <v>13</v>
      </c>
      <c r="N196">
        <v>8.2718636169466425E-2</v>
      </c>
      <c r="O196" t="s">
        <v>6</v>
      </c>
    </row>
    <row r="197" spans="2:15" x14ac:dyDescent="0.45">
      <c r="B197" t="s">
        <v>628</v>
      </c>
      <c r="C197" t="s">
        <v>14</v>
      </c>
      <c r="D197">
        <v>6.0645226382970525E-3</v>
      </c>
      <c r="E197" t="s">
        <v>6</v>
      </c>
      <c r="G197" t="s">
        <v>629</v>
      </c>
      <c r="H197" t="s">
        <v>14</v>
      </c>
      <c r="I197">
        <v>4.1971347584798244E-2</v>
      </c>
      <c r="J197" t="s">
        <v>6</v>
      </c>
      <c r="L197" t="s">
        <v>630</v>
      </c>
      <c r="M197" t="s">
        <v>14</v>
      </c>
      <c r="N197">
        <v>4.206320455726887E-2</v>
      </c>
      <c r="O197" t="s">
        <v>6</v>
      </c>
    </row>
    <row r="198" spans="2:15" x14ac:dyDescent="0.45">
      <c r="B198" t="s">
        <v>628</v>
      </c>
      <c r="C198" t="s">
        <v>15</v>
      </c>
      <c r="D198">
        <v>0.31604868769260069</v>
      </c>
      <c r="E198" t="s">
        <v>6</v>
      </c>
      <c r="G198" t="s">
        <v>629</v>
      </c>
      <c r="H198" t="s">
        <v>15</v>
      </c>
      <c r="I198">
        <v>7.1655522636627098E-2</v>
      </c>
      <c r="J198" t="s">
        <v>6</v>
      </c>
      <c r="L198" t="s">
        <v>630</v>
      </c>
      <c r="M198" t="s">
        <v>15</v>
      </c>
      <c r="N198">
        <v>6.9612513958002234E-2</v>
      </c>
      <c r="O198" t="s">
        <v>6</v>
      </c>
    </row>
    <row r="199" spans="2:15" x14ac:dyDescent="0.45">
      <c r="B199" t="s">
        <v>628</v>
      </c>
      <c r="C199" t="s">
        <v>16</v>
      </c>
      <c r="D199">
        <v>1.3818704483544766E-2</v>
      </c>
      <c r="E199" t="s">
        <v>6</v>
      </c>
      <c r="G199" t="s">
        <v>629</v>
      </c>
      <c r="H199" t="s">
        <v>16</v>
      </c>
      <c r="I199">
        <v>4.4392193638058373E-2</v>
      </c>
      <c r="J199" t="s">
        <v>6</v>
      </c>
      <c r="L199" t="s">
        <v>630</v>
      </c>
      <c r="M199" t="s">
        <v>16</v>
      </c>
      <c r="N199">
        <v>4.7656953551742549E-2</v>
      </c>
      <c r="O199" t="s">
        <v>6</v>
      </c>
    </row>
    <row r="200" spans="2:15" x14ac:dyDescent="0.45">
      <c r="B200" t="s">
        <v>628</v>
      </c>
      <c r="C200" t="s">
        <v>17</v>
      </c>
      <c r="D200">
        <v>4.6977637145733135E-4</v>
      </c>
      <c r="E200" t="s">
        <v>6</v>
      </c>
      <c r="G200" t="s">
        <v>629</v>
      </c>
      <c r="H200" t="s">
        <v>17</v>
      </c>
      <c r="I200">
        <v>6.72496469267444E-2</v>
      </c>
      <c r="J200" t="s">
        <v>6</v>
      </c>
      <c r="L200" t="s">
        <v>630</v>
      </c>
      <c r="M200" t="s">
        <v>17</v>
      </c>
      <c r="N200">
        <v>6.31895159239175E-2</v>
      </c>
      <c r="O200" t="s">
        <v>6</v>
      </c>
    </row>
    <row r="201" spans="2:15" x14ac:dyDescent="0.45">
      <c r="B201" t="s">
        <v>628</v>
      </c>
      <c r="C201" t="s">
        <v>18</v>
      </c>
      <c r="D201">
        <v>0.20063001682592621</v>
      </c>
      <c r="E201" t="s">
        <v>6</v>
      </c>
      <c r="G201" t="s">
        <v>629</v>
      </c>
      <c r="H201" t="s">
        <v>18</v>
      </c>
      <c r="I201">
        <v>9.1023846111702195E-2</v>
      </c>
      <c r="J201" t="s">
        <v>6</v>
      </c>
      <c r="L201" t="s">
        <v>630</v>
      </c>
      <c r="M201" t="s">
        <v>18</v>
      </c>
      <c r="N201">
        <v>8.4089451576154675E-2</v>
      </c>
      <c r="O201" t="s">
        <v>6</v>
      </c>
    </row>
    <row r="202" spans="2:15" x14ac:dyDescent="0.45">
      <c r="B202" t="s">
        <v>628</v>
      </c>
      <c r="C202" t="s">
        <v>19</v>
      </c>
      <c r="D202">
        <v>1.690085360059008E-3</v>
      </c>
      <c r="E202" t="s">
        <v>6</v>
      </c>
      <c r="G202" t="s">
        <v>629</v>
      </c>
      <c r="H202" t="s">
        <v>19</v>
      </c>
      <c r="I202">
        <v>5.1868760502697037E-2</v>
      </c>
      <c r="J202" t="s">
        <v>6</v>
      </c>
      <c r="L202" t="s">
        <v>630</v>
      </c>
      <c r="M202" t="s">
        <v>19</v>
      </c>
      <c r="N202">
        <v>4.8818272579721676E-2</v>
      </c>
      <c r="O202" t="s">
        <v>6</v>
      </c>
    </row>
    <row r="203" spans="2:15" x14ac:dyDescent="0.45">
      <c r="B203" t="s">
        <v>631</v>
      </c>
      <c r="C203" t="s">
        <v>5</v>
      </c>
      <c r="D203">
        <v>0</v>
      </c>
      <c r="E203" t="s">
        <v>6</v>
      </c>
      <c r="G203" t="s">
        <v>632</v>
      </c>
      <c r="H203" t="s">
        <v>5</v>
      </c>
      <c r="I203">
        <v>9.8557702161301816E-2</v>
      </c>
      <c r="J203" t="s">
        <v>6</v>
      </c>
      <c r="L203" t="s">
        <v>633</v>
      </c>
      <c r="M203" t="s">
        <v>5</v>
      </c>
      <c r="N203">
        <v>0.10228381282360688</v>
      </c>
      <c r="O203" t="s">
        <v>6</v>
      </c>
    </row>
    <row r="204" spans="2:15" x14ac:dyDescent="0.45">
      <c r="B204" t="s">
        <v>631</v>
      </c>
      <c r="C204" t="s">
        <v>9</v>
      </c>
      <c r="D204">
        <v>0.19188475700476845</v>
      </c>
      <c r="E204" t="s">
        <v>6</v>
      </c>
      <c r="G204" t="s">
        <v>632</v>
      </c>
      <c r="H204" t="s">
        <v>9</v>
      </c>
      <c r="I204">
        <v>0.14345468095690156</v>
      </c>
      <c r="J204" t="s">
        <v>6</v>
      </c>
      <c r="L204" t="s">
        <v>633</v>
      </c>
      <c r="M204" t="s">
        <v>9</v>
      </c>
      <c r="N204">
        <v>0.13091247253646379</v>
      </c>
      <c r="O204" t="s">
        <v>6</v>
      </c>
    </row>
    <row r="205" spans="2:15" x14ac:dyDescent="0.45">
      <c r="B205" t="s">
        <v>631</v>
      </c>
      <c r="C205" t="s">
        <v>10</v>
      </c>
      <c r="D205">
        <v>4.1580353835805352E-4</v>
      </c>
      <c r="E205" t="s">
        <v>6</v>
      </c>
      <c r="G205" t="s">
        <v>632</v>
      </c>
      <c r="H205" t="s">
        <v>10</v>
      </c>
      <c r="I205">
        <v>8.0293204449375252E-2</v>
      </c>
      <c r="J205" t="s">
        <v>6</v>
      </c>
      <c r="L205" t="s">
        <v>633</v>
      </c>
      <c r="M205" t="s">
        <v>10</v>
      </c>
      <c r="N205">
        <v>7.241122311677331E-2</v>
      </c>
      <c r="O205" t="s">
        <v>6</v>
      </c>
    </row>
    <row r="206" spans="2:15" x14ac:dyDescent="0.45">
      <c r="B206" t="s">
        <v>631</v>
      </c>
      <c r="C206" t="s">
        <v>11</v>
      </c>
      <c r="D206">
        <v>3.5122063323341549E-3</v>
      </c>
      <c r="E206" t="s">
        <v>6</v>
      </c>
      <c r="G206" t="s">
        <v>632</v>
      </c>
      <c r="H206" t="s">
        <v>11</v>
      </c>
      <c r="I206">
        <v>0.11163817750108436</v>
      </c>
      <c r="J206" t="s">
        <v>6</v>
      </c>
      <c r="L206" t="s">
        <v>633</v>
      </c>
      <c r="M206" t="s">
        <v>11</v>
      </c>
      <c r="N206">
        <v>0.11451256863925272</v>
      </c>
      <c r="O206" t="s">
        <v>6</v>
      </c>
    </row>
    <row r="207" spans="2:15" x14ac:dyDescent="0.45">
      <c r="B207" t="s">
        <v>631</v>
      </c>
      <c r="C207" t="s">
        <v>12</v>
      </c>
      <c r="D207">
        <v>0.2788989226449326</v>
      </c>
      <c r="E207" t="s">
        <v>6</v>
      </c>
      <c r="G207" t="s">
        <v>632</v>
      </c>
      <c r="H207" t="s">
        <v>12</v>
      </c>
      <c r="I207">
        <v>0.17869556343324539</v>
      </c>
      <c r="J207" t="s">
        <v>6</v>
      </c>
      <c r="L207" t="s">
        <v>633</v>
      </c>
      <c r="M207" t="s">
        <v>12</v>
      </c>
      <c r="N207">
        <v>0.13121335161915731</v>
      </c>
      <c r="O207" t="s">
        <v>6</v>
      </c>
    </row>
    <row r="208" spans="2:15" x14ac:dyDescent="0.45">
      <c r="B208" t="s">
        <v>631</v>
      </c>
      <c r="C208" t="s">
        <v>13</v>
      </c>
      <c r="D208">
        <v>7.6823679998251756E-3</v>
      </c>
      <c r="E208" t="s">
        <v>6</v>
      </c>
      <c r="G208" t="s">
        <v>632</v>
      </c>
      <c r="H208" t="s">
        <v>13</v>
      </c>
      <c r="I208">
        <v>9.5974890321867276E-2</v>
      </c>
      <c r="J208" t="s">
        <v>6</v>
      </c>
      <c r="L208" t="s">
        <v>633</v>
      </c>
      <c r="M208" t="s">
        <v>13</v>
      </c>
      <c r="N208">
        <v>8.3921856792728539E-2</v>
      </c>
      <c r="O208" t="s">
        <v>6</v>
      </c>
    </row>
    <row r="209" spans="2:15" x14ac:dyDescent="0.45">
      <c r="B209" t="s">
        <v>631</v>
      </c>
      <c r="C209" t="s">
        <v>14</v>
      </c>
      <c r="D209">
        <v>6.5890228575907293E-3</v>
      </c>
      <c r="E209" t="s">
        <v>6</v>
      </c>
      <c r="G209" t="s">
        <v>632</v>
      </c>
      <c r="H209" t="s">
        <v>14</v>
      </c>
      <c r="I209">
        <v>2.5528984757202427E-2</v>
      </c>
      <c r="J209" t="s">
        <v>6</v>
      </c>
      <c r="L209" t="s">
        <v>633</v>
      </c>
      <c r="M209" t="s">
        <v>14</v>
      </c>
      <c r="N209">
        <v>4.3853409401425583E-2</v>
      </c>
      <c r="O209" t="s">
        <v>6</v>
      </c>
    </row>
    <row r="210" spans="2:15" x14ac:dyDescent="0.45">
      <c r="B210" t="s">
        <v>631</v>
      </c>
      <c r="C210" t="s">
        <v>15</v>
      </c>
      <c r="D210">
        <v>0.29782851351969269</v>
      </c>
      <c r="E210" t="s">
        <v>6</v>
      </c>
      <c r="G210" t="s">
        <v>632</v>
      </c>
      <c r="H210" t="s">
        <v>15</v>
      </c>
      <c r="I210">
        <v>5.5453653482434834E-2</v>
      </c>
      <c r="J210" t="s">
        <v>6</v>
      </c>
      <c r="L210" t="s">
        <v>633</v>
      </c>
      <c r="M210" t="s">
        <v>15</v>
      </c>
      <c r="N210">
        <v>5.5809848289311043E-2</v>
      </c>
      <c r="O210" t="s">
        <v>6</v>
      </c>
    </row>
    <row r="211" spans="2:15" x14ac:dyDescent="0.45">
      <c r="B211" t="s">
        <v>631</v>
      </c>
      <c r="C211" t="s">
        <v>16</v>
      </c>
      <c r="D211">
        <v>1.211527513352708E-2</v>
      </c>
      <c r="E211" t="s">
        <v>6</v>
      </c>
      <c r="G211" t="s">
        <v>632</v>
      </c>
      <c r="H211" t="s">
        <v>16</v>
      </c>
      <c r="I211">
        <v>2.9267112728915606E-2</v>
      </c>
      <c r="J211" t="s">
        <v>6</v>
      </c>
      <c r="L211" t="s">
        <v>633</v>
      </c>
      <c r="M211" t="s">
        <v>16</v>
      </c>
      <c r="N211">
        <v>3.8609276508303259E-2</v>
      </c>
      <c r="O211" t="s">
        <v>6</v>
      </c>
    </row>
    <row r="212" spans="2:15" x14ac:dyDescent="0.45">
      <c r="B212" t="s">
        <v>631</v>
      </c>
      <c r="C212" t="s">
        <v>17</v>
      </c>
      <c r="D212">
        <v>4.8877407299809474E-4</v>
      </c>
      <c r="E212" t="s">
        <v>6</v>
      </c>
      <c r="G212" t="s">
        <v>632</v>
      </c>
      <c r="H212" t="s">
        <v>17</v>
      </c>
      <c r="I212">
        <v>4.9005182392896238E-2</v>
      </c>
      <c r="J212" t="s">
        <v>6</v>
      </c>
      <c r="L212" t="s">
        <v>633</v>
      </c>
      <c r="M212" t="s">
        <v>17</v>
      </c>
      <c r="N212">
        <v>7.7896501134799581E-2</v>
      </c>
      <c r="O212" t="s">
        <v>6</v>
      </c>
    </row>
    <row r="213" spans="2:15" x14ac:dyDescent="0.45">
      <c r="B213" t="s">
        <v>631</v>
      </c>
      <c r="C213" t="s">
        <v>18</v>
      </c>
      <c r="D213">
        <v>0.19920111256580908</v>
      </c>
      <c r="E213" t="s">
        <v>6</v>
      </c>
      <c r="G213" t="s">
        <v>632</v>
      </c>
      <c r="H213" t="s">
        <v>18</v>
      </c>
      <c r="I213">
        <v>9.1210649651824766E-2</v>
      </c>
      <c r="J213" t="s">
        <v>6</v>
      </c>
      <c r="L213" t="s">
        <v>633</v>
      </c>
      <c r="M213" t="s">
        <v>18</v>
      </c>
      <c r="N213">
        <v>9.0472229571119847E-2</v>
      </c>
      <c r="O213" t="s">
        <v>6</v>
      </c>
    </row>
    <row r="214" spans="2:15" x14ac:dyDescent="0.45">
      <c r="B214" t="s">
        <v>631</v>
      </c>
      <c r="C214" t="s">
        <v>19</v>
      </c>
      <c r="D214">
        <v>1.3832443301651281E-3</v>
      </c>
      <c r="E214" t="s">
        <v>6</v>
      </c>
      <c r="G214" t="s">
        <v>632</v>
      </c>
      <c r="H214" t="s">
        <v>19</v>
      </c>
      <c r="I214">
        <v>4.0920198162951719E-2</v>
      </c>
      <c r="J214" t="s">
        <v>6</v>
      </c>
      <c r="L214" t="s">
        <v>633</v>
      </c>
      <c r="M214" t="s">
        <v>19</v>
      </c>
      <c r="N214">
        <v>5.8103449567055258E-2</v>
      </c>
      <c r="O214" t="s">
        <v>6</v>
      </c>
    </row>
    <row r="215" spans="2:15" x14ac:dyDescent="0.45">
      <c r="B215" t="s">
        <v>634</v>
      </c>
      <c r="C215" t="s">
        <v>5</v>
      </c>
      <c r="D215">
        <v>0</v>
      </c>
      <c r="E215" t="s">
        <v>6</v>
      </c>
      <c r="G215" t="s">
        <v>635</v>
      </c>
      <c r="H215" t="s">
        <v>5</v>
      </c>
      <c r="I215">
        <v>0.11499366224638703</v>
      </c>
      <c r="J215" t="s">
        <v>6</v>
      </c>
      <c r="L215" t="s">
        <v>636</v>
      </c>
      <c r="M215" t="s">
        <v>5</v>
      </c>
      <c r="N215">
        <v>0.10250982154147406</v>
      </c>
      <c r="O215" t="s">
        <v>6</v>
      </c>
    </row>
    <row r="216" spans="2:15" x14ac:dyDescent="0.45">
      <c r="B216" t="s">
        <v>634</v>
      </c>
      <c r="C216" t="s">
        <v>9</v>
      </c>
      <c r="D216">
        <v>0.16365983816844873</v>
      </c>
      <c r="E216" t="s">
        <v>6</v>
      </c>
      <c r="G216" t="s">
        <v>635</v>
      </c>
      <c r="H216" t="s">
        <v>9</v>
      </c>
      <c r="I216">
        <v>0.14586660947585484</v>
      </c>
      <c r="J216" t="s">
        <v>6</v>
      </c>
      <c r="L216" t="s">
        <v>636</v>
      </c>
      <c r="M216" t="s">
        <v>9</v>
      </c>
      <c r="N216">
        <v>0.12498881350917743</v>
      </c>
      <c r="O216" t="s">
        <v>6</v>
      </c>
    </row>
    <row r="217" spans="2:15" x14ac:dyDescent="0.45">
      <c r="B217" t="s">
        <v>634</v>
      </c>
      <c r="C217" t="s">
        <v>10</v>
      </c>
      <c r="D217">
        <v>1.6140252078983871E-4</v>
      </c>
      <c r="E217" t="s">
        <v>6</v>
      </c>
      <c r="G217" t="s">
        <v>635</v>
      </c>
      <c r="H217" t="s">
        <v>10</v>
      </c>
      <c r="I217">
        <v>8.7158585654328061E-2</v>
      </c>
      <c r="J217" t="s">
        <v>6</v>
      </c>
      <c r="L217" t="s">
        <v>636</v>
      </c>
      <c r="M217" t="s">
        <v>10</v>
      </c>
      <c r="N217">
        <v>7.3863262117432826E-2</v>
      </c>
      <c r="O217" t="s">
        <v>6</v>
      </c>
    </row>
    <row r="218" spans="2:15" x14ac:dyDescent="0.45">
      <c r="B218" t="s">
        <v>634</v>
      </c>
      <c r="C218" t="s">
        <v>11</v>
      </c>
      <c r="D218">
        <v>4.176155948575103E-3</v>
      </c>
      <c r="E218" t="s">
        <v>6</v>
      </c>
      <c r="G218" t="s">
        <v>635</v>
      </c>
      <c r="H218" t="s">
        <v>11</v>
      </c>
      <c r="I218">
        <v>9.998997632384117E-2</v>
      </c>
      <c r="J218" t="s">
        <v>6</v>
      </c>
      <c r="L218" t="s">
        <v>636</v>
      </c>
      <c r="M218" t="s">
        <v>11</v>
      </c>
      <c r="N218">
        <v>0.10419945682802943</v>
      </c>
      <c r="O218" t="s">
        <v>6</v>
      </c>
    </row>
    <row r="219" spans="2:15" x14ac:dyDescent="0.45">
      <c r="B219" t="s">
        <v>634</v>
      </c>
      <c r="C219" t="s">
        <v>12</v>
      </c>
      <c r="D219">
        <v>0.26325561566614331</v>
      </c>
      <c r="E219" t="s">
        <v>6</v>
      </c>
      <c r="G219" t="s">
        <v>635</v>
      </c>
      <c r="H219" t="s">
        <v>12</v>
      </c>
      <c r="I219">
        <v>0.13892106597189827</v>
      </c>
      <c r="J219" t="s">
        <v>6</v>
      </c>
      <c r="L219" t="s">
        <v>636</v>
      </c>
      <c r="M219" t="s">
        <v>12</v>
      </c>
      <c r="N219">
        <v>0.13108074391251612</v>
      </c>
      <c r="O219" t="s">
        <v>6</v>
      </c>
    </row>
    <row r="220" spans="2:15" x14ac:dyDescent="0.45">
      <c r="B220" t="s">
        <v>634</v>
      </c>
      <c r="C220" t="s">
        <v>13</v>
      </c>
      <c r="D220">
        <v>5.9307506795822024E-3</v>
      </c>
      <c r="E220" t="s">
        <v>6</v>
      </c>
      <c r="G220" t="s">
        <v>635</v>
      </c>
      <c r="H220" t="s">
        <v>13</v>
      </c>
      <c r="I220">
        <v>8.2595204189339619E-2</v>
      </c>
      <c r="J220" t="s">
        <v>6</v>
      </c>
      <c r="L220" t="s">
        <v>636</v>
      </c>
      <c r="M220" t="s">
        <v>13</v>
      </c>
      <c r="N220">
        <v>8.2180926044259375E-2</v>
      </c>
      <c r="O220" t="s">
        <v>6</v>
      </c>
    </row>
    <row r="221" spans="2:15" x14ac:dyDescent="0.45">
      <c r="B221" t="s">
        <v>634</v>
      </c>
      <c r="C221" t="s">
        <v>14</v>
      </c>
      <c r="D221">
        <v>8.5122793134987974E-3</v>
      </c>
      <c r="E221" t="s">
        <v>6</v>
      </c>
      <c r="G221" t="s">
        <v>635</v>
      </c>
      <c r="H221" t="s">
        <v>14</v>
      </c>
      <c r="I221">
        <v>5.9347509140761763E-2</v>
      </c>
      <c r="J221" t="s">
        <v>6</v>
      </c>
      <c r="L221" t="s">
        <v>636</v>
      </c>
      <c r="M221" t="s">
        <v>14</v>
      </c>
      <c r="N221">
        <v>4.9329502401472942E-2</v>
      </c>
      <c r="O221" t="s">
        <v>6</v>
      </c>
    </row>
    <row r="222" spans="2:15" x14ac:dyDescent="0.45">
      <c r="B222" t="s">
        <v>634</v>
      </c>
      <c r="C222" t="s">
        <v>15</v>
      </c>
      <c r="D222">
        <v>0.34666372285134445</v>
      </c>
      <c r="E222" t="s">
        <v>6</v>
      </c>
      <c r="G222" t="s">
        <v>635</v>
      </c>
      <c r="H222" t="s">
        <v>15</v>
      </c>
      <c r="I222">
        <v>4.7308692985109091E-2</v>
      </c>
      <c r="J222" t="s">
        <v>6</v>
      </c>
      <c r="L222" t="s">
        <v>636</v>
      </c>
      <c r="M222" t="s">
        <v>15</v>
      </c>
      <c r="N222">
        <v>6.5331193312293798E-2</v>
      </c>
      <c r="O222" t="s">
        <v>6</v>
      </c>
    </row>
    <row r="223" spans="2:15" x14ac:dyDescent="0.45">
      <c r="B223" t="s">
        <v>634</v>
      </c>
      <c r="C223" t="s">
        <v>16</v>
      </c>
      <c r="D223">
        <v>1.2205263700139227E-2</v>
      </c>
      <c r="E223" t="s">
        <v>6</v>
      </c>
      <c r="G223" t="s">
        <v>635</v>
      </c>
      <c r="H223" t="s">
        <v>16</v>
      </c>
      <c r="I223">
        <v>3.5327019363409644E-2</v>
      </c>
      <c r="J223" t="s">
        <v>6</v>
      </c>
      <c r="L223" t="s">
        <v>636</v>
      </c>
      <c r="M223" t="s">
        <v>16</v>
      </c>
      <c r="N223">
        <v>4.4397481487046017E-2</v>
      </c>
      <c r="O223" t="s">
        <v>6</v>
      </c>
    </row>
    <row r="224" spans="2:15" x14ac:dyDescent="0.45">
      <c r="B224" t="s">
        <v>634</v>
      </c>
      <c r="C224" t="s">
        <v>17</v>
      </c>
      <c r="D224">
        <v>8.8506398506450789E-4</v>
      </c>
      <c r="E224" t="s">
        <v>6</v>
      </c>
      <c r="G224" t="s">
        <v>635</v>
      </c>
      <c r="H224" t="s">
        <v>17</v>
      </c>
      <c r="I224">
        <v>5.5702318496146139E-2</v>
      </c>
      <c r="J224" t="s">
        <v>6</v>
      </c>
      <c r="L224" t="s">
        <v>636</v>
      </c>
      <c r="M224" t="s">
        <v>17</v>
      </c>
      <c r="N224">
        <v>7.5095916617597139E-2</v>
      </c>
      <c r="O224" t="s">
        <v>6</v>
      </c>
    </row>
    <row r="225" spans="2:15" x14ac:dyDescent="0.45">
      <c r="B225" t="s">
        <v>634</v>
      </c>
      <c r="C225" t="s">
        <v>18</v>
      </c>
      <c r="D225">
        <v>0.19350239369345118</v>
      </c>
      <c r="E225" t="s">
        <v>6</v>
      </c>
      <c r="G225" t="s">
        <v>635</v>
      </c>
      <c r="H225" t="s">
        <v>18</v>
      </c>
      <c r="I225">
        <v>8.6382236359683909E-2</v>
      </c>
      <c r="J225" t="s">
        <v>6</v>
      </c>
      <c r="L225" t="s">
        <v>636</v>
      </c>
      <c r="M225" t="s">
        <v>18</v>
      </c>
      <c r="N225">
        <v>8.9409592129192347E-2</v>
      </c>
      <c r="O225" t="s">
        <v>6</v>
      </c>
    </row>
    <row r="226" spans="2:15" x14ac:dyDescent="0.45">
      <c r="B226" t="s">
        <v>634</v>
      </c>
      <c r="C226" t="s">
        <v>19</v>
      </c>
      <c r="D226">
        <v>1.0475134729611569E-3</v>
      </c>
      <c r="E226" t="s">
        <v>6</v>
      </c>
      <c r="G226" t="s">
        <v>635</v>
      </c>
      <c r="H226" t="s">
        <v>19</v>
      </c>
      <c r="I226">
        <v>4.6407119793239832E-2</v>
      </c>
      <c r="J226" t="s">
        <v>6</v>
      </c>
      <c r="L226" t="s">
        <v>636</v>
      </c>
      <c r="M226" t="s">
        <v>19</v>
      </c>
      <c r="N226">
        <v>5.7613290099508052E-2</v>
      </c>
      <c r="O226" t="s">
        <v>6</v>
      </c>
    </row>
    <row r="227" spans="2:15" x14ac:dyDescent="0.45">
      <c r="B227" t="s">
        <v>637</v>
      </c>
      <c r="C227" t="s">
        <v>5</v>
      </c>
      <c r="D227">
        <v>0</v>
      </c>
      <c r="E227" t="s">
        <v>6</v>
      </c>
      <c r="G227" t="s">
        <v>638</v>
      </c>
      <c r="H227" t="s">
        <v>5</v>
      </c>
      <c r="I227">
        <v>9.7931498753189669E-2</v>
      </c>
      <c r="J227" t="s">
        <v>6</v>
      </c>
      <c r="L227" t="s">
        <v>639</v>
      </c>
      <c r="M227" t="s">
        <v>5</v>
      </c>
      <c r="N227">
        <v>9.1465525132270228E-2</v>
      </c>
      <c r="O227" t="s">
        <v>6</v>
      </c>
    </row>
    <row r="228" spans="2:15" x14ac:dyDescent="0.45">
      <c r="B228" t="s">
        <v>637</v>
      </c>
      <c r="C228" t="s">
        <v>9</v>
      </c>
      <c r="D228">
        <v>0.17393521072535878</v>
      </c>
      <c r="E228" t="s">
        <v>6</v>
      </c>
      <c r="G228" t="s">
        <v>638</v>
      </c>
      <c r="H228" t="s">
        <v>9</v>
      </c>
      <c r="I228">
        <v>0.13257075317069753</v>
      </c>
      <c r="J228" t="s">
        <v>6</v>
      </c>
      <c r="L228" t="s">
        <v>639</v>
      </c>
      <c r="M228" t="s">
        <v>9</v>
      </c>
      <c r="N228">
        <v>0.11266273416119414</v>
      </c>
      <c r="O228" t="s">
        <v>6</v>
      </c>
    </row>
    <row r="229" spans="2:15" x14ac:dyDescent="0.45">
      <c r="B229" t="s">
        <v>637</v>
      </c>
      <c r="C229" t="s">
        <v>10</v>
      </c>
      <c r="D229">
        <v>3.0644242520482521E-4</v>
      </c>
      <c r="E229" t="s">
        <v>6</v>
      </c>
      <c r="G229" t="s">
        <v>638</v>
      </c>
      <c r="H229" t="s">
        <v>10</v>
      </c>
      <c r="I229">
        <v>7.5698620507578668E-2</v>
      </c>
      <c r="J229" t="s">
        <v>6</v>
      </c>
      <c r="L229" t="s">
        <v>639</v>
      </c>
      <c r="M229" t="s">
        <v>10</v>
      </c>
      <c r="N229">
        <v>6.9142282874596769E-2</v>
      </c>
      <c r="O229" t="s">
        <v>6</v>
      </c>
    </row>
    <row r="230" spans="2:15" x14ac:dyDescent="0.45">
      <c r="B230" t="s">
        <v>637</v>
      </c>
      <c r="C230" t="s">
        <v>11</v>
      </c>
      <c r="D230">
        <v>3.5813291979634463E-3</v>
      </c>
      <c r="E230" t="s">
        <v>6</v>
      </c>
      <c r="G230" t="s">
        <v>638</v>
      </c>
      <c r="H230" t="s">
        <v>11</v>
      </c>
      <c r="I230">
        <v>0.12479735772506302</v>
      </c>
      <c r="J230" t="s">
        <v>6</v>
      </c>
      <c r="L230" t="s">
        <v>639</v>
      </c>
      <c r="M230" t="s">
        <v>11</v>
      </c>
      <c r="N230">
        <v>0.10841704183094249</v>
      </c>
      <c r="O230" t="s">
        <v>6</v>
      </c>
    </row>
    <row r="231" spans="2:15" x14ac:dyDescent="0.45">
      <c r="B231" t="s">
        <v>637</v>
      </c>
      <c r="C231" t="s">
        <v>12</v>
      </c>
      <c r="D231">
        <v>0.2556669231253898</v>
      </c>
      <c r="E231" t="s">
        <v>6</v>
      </c>
      <c r="G231" t="s">
        <v>638</v>
      </c>
      <c r="H231" t="s">
        <v>12</v>
      </c>
      <c r="I231">
        <v>0.17273774515626178</v>
      </c>
      <c r="J231" t="s">
        <v>6</v>
      </c>
      <c r="L231" t="s">
        <v>639</v>
      </c>
      <c r="M231" t="s">
        <v>12</v>
      </c>
      <c r="N231">
        <v>0.13120132033451179</v>
      </c>
      <c r="O231" t="s">
        <v>6</v>
      </c>
    </row>
    <row r="232" spans="2:15" x14ac:dyDescent="0.45">
      <c r="B232" t="s">
        <v>637</v>
      </c>
      <c r="C232" t="s">
        <v>13</v>
      </c>
      <c r="D232">
        <v>6.7025776854705054E-3</v>
      </c>
      <c r="E232" t="s">
        <v>6</v>
      </c>
      <c r="G232" t="s">
        <v>638</v>
      </c>
      <c r="H232" t="s">
        <v>13</v>
      </c>
      <c r="I232">
        <v>9.4004578443851253E-2</v>
      </c>
      <c r="J232" t="s">
        <v>6</v>
      </c>
      <c r="L232" t="s">
        <v>639</v>
      </c>
      <c r="M232" t="s">
        <v>13</v>
      </c>
      <c r="N232">
        <v>8.3407414674723637E-2</v>
      </c>
      <c r="O232" t="s">
        <v>6</v>
      </c>
    </row>
    <row r="233" spans="2:15" x14ac:dyDescent="0.45">
      <c r="B233" t="s">
        <v>637</v>
      </c>
      <c r="C233" t="s">
        <v>14</v>
      </c>
      <c r="D233">
        <v>7.188356522196235E-3</v>
      </c>
      <c r="E233" t="s">
        <v>6</v>
      </c>
      <c r="G233" t="s">
        <v>638</v>
      </c>
      <c r="H233" t="s">
        <v>14</v>
      </c>
      <c r="I233">
        <v>4.8095384070143021E-2</v>
      </c>
      <c r="J233" t="s">
        <v>6</v>
      </c>
      <c r="L233" t="s">
        <v>639</v>
      </c>
      <c r="M233" t="s">
        <v>14</v>
      </c>
      <c r="N233">
        <v>4.4101382050283709E-2</v>
      </c>
      <c r="O233" t="s">
        <v>6</v>
      </c>
    </row>
    <row r="234" spans="2:15" x14ac:dyDescent="0.45">
      <c r="B234" t="s">
        <v>637</v>
      </c>
      <c r="C234" t="s">
        <v>15</v>
      </c>
      <c r="D234">
        <v>0.34020650215831161</v>
      </c>
      <c r="E234" t="s">
        <v>6</v>
      </c>
      <c r="G234" t="s">
        <v>638</v>
      </c>
      <c r="H234" t="s">
        <v>15</v>
      </c>
      <c r="I234">
        <v>4.8391235622829203E-2</v>
      </c>
      <c r="J234" t="s">
        <v>6</v>
      </c>
      <c r="L234" t="s">
        <v>639</v>
      </c>
      <c r="M234" t="s">
        <v>15</v>
      </c>
      <c r="N234">
        <v>4.7945659538602532E-2</v>
      </c>
      <c r="O234" t="s">
        <v>6</v>
      </c>
    </row>
    <row r="235" spans="2:15" x14ac:dyDescent="0.45">
      <c r="B235" t="s">
        <v>637</v>
      </c>
      <c r="C235" t="s">
        <v>16</v>
      </c>
      <c r="D235">
        <v>1.3172538541598373E-2</v>
      </c>
      <c r="E235" t="s">
        <v>6</v>
      </c>
      <c r="G235" t="s">
        <v>638</v>
      </c>
      <c r="H235" t="s">
        <v>16</v>
      </c>
      <c r="I235">
        <v>3.5344877313982476E-2</v>
      </c>
      <c r="J235" t="s">
        <v>6</v>
      </c>
      <c r="L235" t="s">
        <v>639</v>
      </c>
      <c r="M235" t="s">
        <v>16</v>
      </c>
      <c r="N235">
        <v>3.3454455350595179E-2</v>
      </c>
      <c r="O235" t="s">
        <v>6</v>
      </c>
    </row>
    <row r="236" spans="2:15" x14ac:dyDescent="0.45">
      <c r="B236" t="s">
        <v>637</v>
      </c>
      <c r="C236" t="s">
        <v>17</v>
      </c>
      <c r="D236">
        <v>6.9083244832007632E-4</v>
      </c>
      <c r="E236" t="s">
        <v>6</v>
      </c>
      <c r="G236" t="s">
        <v>638</v>
      </c>
      <c r="H236" t="s">
        <v>17</v>
      </c>
      <c r="I236">
        <v>5.0290523692551541E-2</v>
      </c>
      <c r="J236" t="s">
        <v>6</v>
      </c>
      <c r="L236" t="s">
        <v>639</v>
      </c>
      <c r="M236" t="s">
        <v>17</v>
      </c>
      <c r="N236">
        <v>9.082310063580154E-2</v>
      </c>
      <c r="O236" t="s">
        <v>6</v>
      </c>
    </row>
    <row r="237" spans="2:15" x14ac:dyDescent="0.45">
      <c r="B237" t="s">
        <v>637</v>
      </c>
      <c r="C237" t="s">
        <v>18</v>
      </c>
      <c r="D237">
        <v>0.19724273928608316</v>
      </c>
      <c r="E237" t="s">
        <v>6</v>
      </c>
      <c r="G237" t="s">
        <v>638</v>
      </c>
      <c r="H237" t="s">
        <v>18</v>
      </c>
      <c r="I237">
        <v>7.8244321663151942E-2</v>
      </c>
      <c r="J237" t="s">
        <v>6</v>
      </c>
      <c r="L237" t="s">
        <v>639</v>
      </c>
      <c r="M237" t="s">
        <v>18</v>
      </c>
      <c r="N237">
        <v>0.11628882227369007</v>
      </c>
      <c r="O237" t="s">
        <v>6</v>
      </c>
    </row>
    <row r="238" spans="2:15" x14ac:dyDescent="0.45">
      <c r="B238" t="s">
        <v>637</v>
      </c>
      <c r="C238" t="s">
        <v>19</v>
      </c>
      <c r="D238">
        <v>1.3065478841029216E-3</v>
      </c>
      <c r="E238" t="s">
        <v>6</v>
      </c>
      <c r="G238" t="s">
        <v>638</v>
      </c>
      <c r="H238" t="s">
        <v>19</v>
      </c>
      <c r="I238">
        <v>4.189310388069812E-2</v>
      </c>
      <c r="J238" t="s">
        <v>6</v>
      </c>
      <c r="L238" t="s">
        <v>639</v>
      </c>
      <c r="M238" t="s">
        <v>19</v>
      </c>
      <c r="N238">
        <v>7.1090261142784647E-2</v>
      </c>
      <c r="O238" t="s">
        <v>6</v>
      </c>
    </row>
    <row r="239" spans="2:15" x14ac:dyDescent="0.45">
      <c r="B239" t="s">
        <v>640</v>
      </c>
      <c r="C239" t="s">
        <v>5</v>
      </c>
      <c r="D239">
        <v>0</v>
      </c>
      <c r="E239" t="s">
        <v>6</v>
      </c>
      <c r="L239" t="s">
        <v>641</v>
      </c>
      <c r="M239" t="s">
        <v>5</v>
      </c>
      <c r="N239">
        <v>0.10051901748915117</v>
      </c>
      <c r="O239" t="s">
        <v>6</v>
      </c>
    </row>
    <row r="240" spans="2:15" x14ac:dyDescent="0.45">
      <c r="B240" t="s">
        <v>640</v>
      </c>
      <c r="C240" t="s">
        <v>9</v>
      </c>
      <c r="D240">
        <v>0.16106963798052182</v>
      </c>
      <c r="E240" t="s">
        <v>6</v>
      </c>
      <c r="L240" t="s">
        <v>641</v>
      </c>
      <c r="M240" t="s">
        <v>9</v>
      </c>
      <c r="N240">
        <v>0.12957682717584745</v>
      </c>
      <c r="O240" t="s">
        <v>6</v>
      </c>
    </row>
    <row r="241" spans="2:15" x14ac:dyDescent="0.45">
      <c r="B241" t="s">
        <v>640</v>
      </c>
      <c r="C241" t="s">
        <v>10</v>
      </c>
      <c r="D241">
        <v>3.2803267174329008E-4</v>
      </c>
      <c r="E241" t="s">
        <v>6</v>
      </c>
      <c r="L241" t="s">
        <v>641</v>
      </c>
      <c r="M241" t="s">
        <v>10</v>
      </c>
      <c r="N241">
        <v>7.8299228855586656E-2</v>
      </c>
      <c r="O241" t="s">
        <v>6</v>
      </c>
    </row>
    <row r="242" spans="2:15" x14ac:dyDescent="0.45">
      <c r="B242" t="s">
        <v>640</v>
      </c>
      <c r="C242" t="s">
        <v>11</v>
      </c>
      <c r="D242">
        <v>3.6965131615837809E-3</v>
      </c>
      <c r="E242" t="s">
        <v>6</v>
      </c>
      <c r="L242" t="s">
        <v>641</v>
      </c>
      <c r="M242" t="s">
        <v>11</v>
      </c>
      <c r="N242">
        <v>0.10486347340118519</v>
      </c>
      <c r="O242" t="s">
        <v>6</v>
      </c>
    </row>
    <row r="243" spans="2:15" x14ac:dyDescent="0.45">
      <c r="B243" t="s">
        <v>640</v>
      </c>
      <c r="C243" t="s">
        <v>12</v>
      </c>
      <c r="D243">
        <v>0.26727248277937549</v>
      </c>
      <c r="E243" t="s">
        <v>6</v>
      </c>
      <c r="L243" t="s">
        <v>641</v>
      </c>
      <c r="M243" t="s">
        <v>12</v>
      </c>
      <c r="N243">
        <v>0.13879227433045591</v>
      </c>
      <c r="O243" t="s">
        <v>6</v>
      </c>
    </row>
    <row r="244" spans="2:15" x14ac:dyDescent="0.45">
      <c r="B244" t="s">
        <v>640</v>
      </c>
      <c r="C244" t="s">
        <v>13</v>
      </c>
      <c r="D244">
        <v>6.8735005889844387E-3</v>
      </c>
      <c r="E244" t="s">
        <v>6</v>
      </c>
      <c r="L244" t="s">
        <v>641</v>
      </c>
      <c r="M244" t="s">
        <v>13</v>
      </c>
      <c r="N244">
        <v>8.0916816083104734E-2</v>
      </c>
      <c r="O244" t="s">
        <v>6</v>
      </c>
    </row>
    <row r="245" spans="2:15" x14ac:dyDescent="0.45">
      <c r="B245" t="s">
        <v>640</v>
      </c>
      <c r="C245" t="s">
        <v>14</v>
      </c>
      <c r="D245">
        <v>7.0360489319289546E-3</v>
      </c>
      <c r="E245" t="s">
        <v>6</v>
      </c>
      <c r="L245" t="s">
        <v>641</v>
      </c>
      <c r="M245" t="s">
        <v>14</v>
      </c>
      <c r="N245">
        <v>3.6738706082798764E-2</v>
      </c>
      <c r="O245" t="s">
        <v>6</v>
      </c>
    </row>
    <row r="246" spans="2:15" x14ac:dyDescent="0.45">
      <c r="B246" t="s">
        <v>640</v>
      </c>
      <c r="C246" t="s">
        <v>15</v>
      </c>
      <c r="D246">
        <v>0.3382278710777778</v>
      </c>
      <c r="E246" t="s">
        <v>6</v>
      </c>
      <c r="L246" t="s">
        <v>641</v>
      </c>
      <c r="M246" t="s">
        <v>15</v>
      </c>
      <c r="N246">
        <v>5.2009848804665484E-2</v>
      </c>
      <c r="O246" t="s">
        <v>6</v>
      </c>
    </row>
    <row r="247" spans="2:15" x14ac:dyDescent="0.45">
      <c r="B247" t="s">
        <v>640</v>
      </c>
      <c r="C247" t="s">
        <v>16</v>
      </c>
      <c r="D247">
        <v>1.2805243897672462E-2</v>
      </c>
      <c r="E247" t="s">
        <v>6</v>
      </c>
      <c r="L247" t="s">
        <v>641</v>
      </c>
      <c r="M247" t="s">
        <v>16</v>
      </c>
      <c r="N247">
        <v>3.3118564975889588E-2</v>
      </c>
      <c r="O247" t="s">
        <v>6</v>
      </c>
    </row>
    <row r="248" spans="2:15" x14ac:dyDescent="0.45">
      <c r="B248" t="s">
        <v>640</v>
      </c>
      <c r="C248" t="s">
        <v>17</v>
      </c>
      <c r="D248">
        <v>7.3473853974254002E-4</v>
      </c>
      <c r="E248" t="s">
        <v>6</v>
      </c>
      <c r="L248" t="s">
        <v>641</v>
      </c>
      <c r="M248" t="s">
        <v>17</v>
      </c>
      <c r="N248">
        <v>8.3120464908266883E-2</v>
      </c>
      <c r="O248" t="s">
        <v>6</v>
      </c>
    </row>
    <row r="249" spans="2:15" x14ac:dyDescent="0.45">
      <c r="B249" t="s">
        <v>640</v>
      </c>
      <c r="C249" t="s">
        <v>18</v>
      </c>
      <c r="D249">
        <v>0.2006751324413478</v>
      </c>
      <c r="E249" t="s">
        <v>6</v>
      </c>
      <c r="L249" t="s">
        <v>641</v>
      </c>
      <c r="M249" t="s">
        <v>18</v>
      </c>
      <c r="N249">
        <v>0.10192900178506183</v>
      </c>
      <c r="O249" t="s">
        <v>6</v>
      </c>
    </row>
    <row r="250" spans="2:15" x14ac:dyDescent="0.45">
      <c r="B250" t="s">
        <v>640</v>
      </c>
      <c r="C250" t="s">
        <v>19</v>
      </c>
      <c r="D250">
        <v>1.2807979293235736E-3</v>
      </c>
      <c r="E250" t="s">
        <v>6</v>
      </c>
      <c r="L250" t="s">
        <v>641</v>
      </c>
      <c r="M250" t="s">
        <v>19</v>
      </c>
      <c r="N250">
        <v>6.0115776107982626E-2</v>
      </c>
      <c r="O250" t="s">
        <v>6</v>
      </c>
    </row>
    <row r="251" spans="2:15" x14ac:dyDescent="0.45">
      <c r="B251" t="s">
        <v>642</v>
      </c>
      <c r="C251" t="s">
        <v>5</v>
      </c>
      <c r="D251">
        <v>0</v>
      </c>
      <c r="E251" t="s">
        <v>6</v>
      </c>
    </row>
    <row r="252" spans="2:15" x14ac:dyDescent="0.45">
      <c r="B252" t="s">
        <v>642</v>
      </c>
      <c r="C252" t="s">
        <v>9</v>
      </c>
      <c r="D252">
        <v>0.16844272838104654</v>
      </c>
      <c r="E252" t="s">
        <v>6</v>
      </c>
    </row>
    <row r="253" spans="2:15" x14ac:dyDescent="0.45">
      <c r="B253" t="s">
        <v>642</v>
      </c>
      <c r="C253" t="s">
        <v>10</v>
      </c>
      <c r="D253">
        <v>5.1465972404970994E-4</v>
      </c>
      <c r="E253" t="s">
        <v>6</v>
      </c>
    </row>
    <row r="254" spans="2:15" x14ac:dyDescent="0.45">
      <c r="B254" t="s">
        <v>642</v>
      </c>
      <c r="C254" t="s">
        <v>11</v>
      </c>
      <c r="D254">
        <v>3.0549048884223359E-3</v>
      </c>
      <c r="E254" t="s">
        <v>6</v>
      </c>
    </row>
    <row r="255" spans="2:15" x14ac:dyDescent="0.45">
      <c r="B255" t="s">
        <v>642</v>
      </c>
      <c r="C255" t="s">
        <v>12</v>
      </c>
      <c r="D255">
        <v>0.25909427340075386</v>
      </c>
      <c r="E255" t="s">
        <v>6</v>
      </c>
    </row>
    <row r="256" spans="2:15" x14ac:dyDescent="0.45">
      <c r="B256" t="s">
        <v>642</v>
      </c>
      <c r="C256" t="s">
        <v>13</v>
      </c>
      <c r="D256">
        <v>7.6074780757442416E-3</v>
      </c>
      <c r="E256" t="s">
        <v>6</v>
      </c>
    </row>
    <row r="257" spans="2:5" x14ac:dyDescent="0.45">
      <c r="B257" t="s">
        <v>642</v>
      </c>
      <c r="C257" t="s">
        <v>14</v>
      </c>
      <c r="D257">
        <v>6.0963124255884633E-3</v>
      </c>
      <c r="E257" t="s">
        <v>6</v>
      </c>
    </row>
    <row r="258" spans="2:5" x14ac:dyDescent="0.45">
      <c r="B258" t="s">
        <v>642</v>
      </c>
      <c r="C258" t="s">
        <v>15</v>
      </c>
      <c r="D258">
        <v>0.34239035634214365</v>
      </c>
      <c r="E258" t="s">
        <v>6</v>
      </c>
    </row>
    <row r="259" spans="2:5" x14ac:dyDescent="0.45">
      <c r="B259" t="s">
        <v>642</v>
      </c>
      <c r="C259" t="s">
        <v>16</v>
      </c>
      <c r="D259">
        <v>1.4153529824161562E-2</v>
      </c>
      <c r="E259" t="s">
        <v>6</v>
      </c>
    </row>
    <row r="260" spans="2:5" x14ac:dyDescent="0.45">
      <c r="B260" t="s">
        <v>642</v>
      </c>
      <c r="C260" t="s">
        <v>17</v>
      </c>
      <c r="D260">
        <v>5.7432158013171364E-4</v>
      </c>
      <c r="E260" t="s">
        <v>6</v>
      </c>
    </row>
    <row r="261" spans="2:5" x14ac:dyDescent="0.45">
      <c r="B261" t="s">
        <v>642</v>
      </c>
      <c r="C261" t="s">
        <v>18</v>
      </c>
      <c r="D261">
        <v>0.19642084344421873</v>
      </c>
      <c r="E261" t="s">
        <v>6</v>
      </c>
    </row>
    <row r="262" spans="2:5" x14ac:dyDescent="0.45">
      <c r="B262" t="s">
        <v>642</v>
      </c>
      <c r="C262" t="s">
        <v>19</v>
      </c>
      <c r="D262">
        <v>1.6505919137405208E-3</v>
      </c>
      <c r="E262" t="s">
        <v>6</v>
      </c>
    </row>
    <row r="263" spans="2:5" x14ac:dyDescent="0.45">
      <c r="B263" t="s">
        <v>643</v>
      </c>
      <c r="C263" t="s">
        <v>5</v>
      </c>
      <c r="D263">
        <v>0</v>
      </c>
      <c r="E263" t="s">
        <v>6</v>
      </c>
    </row>
    <row r="264" spans="2:5" x14ac:dyDescent="0.45">
      <c r="B264" t="s">
        <v>643</v>
      </c>
      <c r="C264" t="s">
        <v>9</v>
      </c>
      <c r="D264">
        <v>0.16393885157406041</v>
      </c>
      <c r="E264" t="s">
        <v>6</v>
      </c>
    </row>
    <row r="265" spans="2:5" x14ac:dyDescent="0.45">
      <c r="B265" t="s">
        <v>643</v>
      </c>
      <c r="C265" t="s">
        <v>10</v>
      </c>
      <c r="D265">
        <v>3.9337363252083348E-4</v>
      </c>
      <c r="E265" t="s">
        <v>6</v>
      </c>
    </row>
    <row r="266" spans="2:5" x14ac:dyDescent="0.45">
      <c r="B266" t="s">
        <v>643</v>
      </c>
      <c r="C266" t="s">
        <v>11</v>
      </c>
      <c r="D266">
        <v>3.4585677989070161E-3</v>
      </c>
      <c r="E266" t="s">
        <v>6</v>
      </c>
    </row>
    <row r="267" spans="2:5" x14ac:dyDescent="0.45">
      <c r="B267" t="s">
        <v>643</v>
      </c>
      <c r="C267" t="s">
        <v>12</v>
      </c>
      <c r="D267">
        <v>0.26719891728367934</v>
      </c>
      <c r="E267" t="s">
        <v>6</v>
      </c>
    </row>
    <row r="268" spans="2:5" x14ac:dyDescent="0.45">
      <c r="B268" t="s">
        <v>643</v>
      </c>
      <c r="C268" t="s">
        <v>13</v>
      </c>
      <c r="D268">
        <v>6.7031189679160018E-3</v>
      </c>
      <c r="E268" t="s">
        <v>6</v>
      </c>
    </row>
    <row r="269" spans="2:5" x14ac:dyDescent="0.45">
      <c r="B269" t="s">
        <v>643</v>
      </c>
      <c r="C269" t="s">
        <v>14</v>
      </c>
      <c r="D269">
        <v>6.7078798072432696E-3</v>
      </c>
      <c r="E269" t="s">
        <v>6</v>
      </c>
    </row>
    <row r="270" spans="2:5" x14ac:dyDescent="0.45">
      <c r="B270" t="s">
        <v>643</v>
      </c>
      <c r="C270" t="s">
        <v>15</v>
      </c>
      <c r="D270">
        <v>0.33047786276151697</v>
      </c>
      <c r="E270" t="s">
        <v>6</v>
      </c>
    </row>
    <row r="271" spans="2:5" x14ac:dyDescent="0.45">
      <c r="B271" t="s">
        <v>643</v>
      </c>
      <c r="C271" t="s">
        <v>16</v>
      </c>
      <c r="D271">
        <v>1.1744678622973811E-2</v>
      </c>
      <c r="E271" t="s">
        <v>6</v>
      </c>
    </row>
    <row r="272" spans="2:5" x14ac:dyDescent="0.45">
      <c r="B272" t="s">
        <v>643</v>
      </c>
      <c r="C272" t="s">
        <v>17</v>
      </c>
      <c r="D272">
        <v>7.723675426382755E-4</v>
      </c>
      <c r="E272" t="s">
        <v>6</v>
      </c>
    </row>
    <row r="273" spans="2:5" x14ac:dyDescent="0.45">
      <c r="B273" t="s">
        <v>643</v>
      </c>
      <c r="C273" t="s">
        <v>18</v>
      </c>
      <c r="D273">
        <v>0.20731750806622909</v>
      </c>
      <c r="E273" t="s">
        <v>6</v>
      </c>
    </row>
    <row r="274" spans="2:5" x14ac:dyDescent="0.45">
      <c r="B274" t="s">
        <v>643</v>
      </c>
      <c r="C274" t="s">
        <v>19</v>
      </c>
      <c r="D274">
        <v>1.2868739423178043E-3</v>
      </c>
      <c r="E274" t="s">
        <v>6</v>
      </c>
    </row>
    <row r="275" spans="2:5" x14ac:dyDescent="0.45">
      <c r="B275" t="s">
        <v>644</v>
      </c>
      <c r="C275" t="s">
        <v>5</v>
      </c>
      <c r="D275">
        <v>0</v>
      </c>
      <c r="E275" t="s">
        <v>6</v>
      </c>
    </row>
    <row r="276" spans="2:5" x14ac:dyDescent="0.45">
      <c r="B276" t="s">
        <v>644</v>
      </c>
      <c r="C276" t="s">
        <v>9</v>
      </c>
      <c r="D276">
        <v>0.17059955399667434</v>
      </c>
      <c r="E276" t="s">
        <v>6</v>
      </c>
    </row>
    <row r="277" spans="2:5" x14ac:dyDescent="0.45">
      <c r="B277" t="s">
        <v>644</v>
      </c>
      <c r="C277" t="s">
        <v>10</v>
      </c>
      <c r="D277">
        <v>5.9568439408367831E-4</v>
      </c>
      <c r="E277" t="s">
        <v>6</v>
      </c>
    </row>
    <row r="278" spans="2:5" x14ac:dyDescent="0.45">
      <c r="B278" t="s">
        <v>644</v>
      </c>
      <c r="C278" t="s">
        <v>11</v>
      </c>
      <c r="D278">
        <v>2.8025796268153023E-3</v>
      </c>
      <c r="E278" t="s">
        <v>6</v>
      </c>
    </row>
    <row r="279" spans="2:5" x14ac:dyDescent="0.45">
      <c r="B279" t="s">
        <v>644</v>
      </c>
      <c r="C279" t="s">
        <v>12</v>
      </c>
      <c r="D279">
        <v>0.26135018189994014</v>
      </c>
      <c r="E279" t="s">
        <v>6</v>
      </c>
    </row>
    <row r="280" spans="2:5" x14ac:dyDescent="0.45">
      <c r="B280" t="s">
        <v>644</v>
      </c>
      <c r="C280" t="s">
        <v>13</v>
      </c>
      <c r="D280">
        <v>7.8913870333807527E-3</v>
      </c>
      <c r="E280" t="s">
        <v>6</v>
      </c>
    </row>
    <row r="281" spans="2:5" x14ac:dyDescent="0.45">
      <c r="B281" t="s">
        <v>644</v>
      </c>
      <c r="C281" t="s">
        <v>14</v>
      </c>
      <c r="D281">
        <v>5.6976806723302428E-3</v>
      </c>
      <c r="E281" t="s">
        <v>6</v>
      </c>
    </row>
    <row r="282" spans="2:5" x14ac:dyDescent="0.45">
      <c r="B282" t="s">
        <v>644</v>
      </c>
      <c r="C282" t="s">
        <v>15</v>
      </c>
      <c r="D282">
        <v>0.33491926748442025</v>
      </c>
      <c r="E282" t="s">
        <v>6</v>
      </c>
    </row>
    <row r="283" spans="2:5" x14ac:dyDescent="0.45">
      <c r="B283" t="s">
        <v>644</v>
      </c>
      <c r="C283" t="s">
        <v>16</v>
      </c>
      <c r="D283">
        <v>1.3663684714757039E-2</v>
      </c>
      <c r="E283" t="s">
        <v>6</v>
      </c>
    </row>
    <row r="284" spans="2:5" x14ac:dyDescent="0.45">
      <c r="B284" t="s">
        <v>644</v>
      </c>
      <c r="C284" t="s">
        <v>17</v>
      </c>
      <c r="D284">
        <v>5.3797216215896297E-4</v>
      </c>
      <c r="E284" t="s">
        <v>6</v>
      </c>
    </row>
    <row r="285" spans="2:5" x14ac:dyDescent="0.45">
      <c r="B285" t="s">
        <v>644</v>
      </c>
      <c r="C285" t="s">
        <v>18</v>
      </c>
      <c r="D285">
        <v>0.20029632228138022</v>
      </c>
      <c r="E285" t="s">
        <v>6</v>
      </c>
    </row>
    <row r="286" spans="2:5" x14ac:dyDescent="0.45">
      <c r="B286" t="s">
        <v>644</v>
      </c>
      <c r="C286" t="s">
        <v>19</v>
      </c>
      <c r="D286">
        <v>1.6456857340560887E-3</v>
      </c>
      <c r="E286" t="s">
        <v>6</v>
      </c>
    </row>
    <row r="287" spans="2:5" x14ac:dyDescent="0.45">
      <c r="B287" t="s">
        <v>645</v>
      </c>
      <c r="C287" t="s">
        <v>5</v>
      </c>
      <c r="D287">
        <v>0</v>
      </c>
      <c r="E287" t="s">
        <v>6</v>
      </c>
    </row>
    <row r="288" spans="2:5" x14ac:dyDescent="0.45">
      <c r="B288" t="s">
        <v>645</v>
      </c>
      <c r="C288" t="s">
        <v>9</v>
      </c>
      <c r="D288">
        <v>0.17181250622385</v>
      </c>
      <c r="E288" t="s">
        <v>6</v>
      </c>
    </row>
    <row r="289" spans="2:5" x14ac:dyDescent="0.45">
      <c r="B289" t="s">
        <v>645</v>
      </c>
      <c r="C289" t="s">
        <v>10</v>
      </c>
      <c r="D289">
        <v>6.3485979203011455E-4</v>
      </c>
      <c r="E289" t="s">
        <v>6</v>
      </c>
    </row>
    <row r="290" spans="2:5" x14ac:dyDescent="0.45">
      <c r="B290" t="s">
        <v>645</v>
      </c>
      <c r="C290" t="s">
        <v>11</v>
      </c>
      <c r="D290">
        <v>2.9669372416388632E-3</v>
      </c>
      <c r="E290" t="s">
        <v>6</v>
      </c>
    </row>
    <row r="291" spans="2:5" x14ac:dyDescent="0.45">
      <c r="B291" t="s">
        <v>645</v>
      </c>
      <c r="C291" t="s">
        <v>12</v>
      </c>
      <c r="D291">
        <v>0.26903947385450339</v>
      </c>
      <c r="E291" t="s">
        <v>6</v>
      </c>
    </row>
    <row r="292" spans="2:5" x14ac:dyDescent="0.45">
      <c r="B292" t="s">
        <v>645</v>
      </c>
      <c r="C292" t="s">
        <v>13</v>
      </c>
      <c r="D292">
        <v>7.6130180759853639E-3</v>
      </c>
      <c r="E292" t="s">
        <v>6</v>
      </c>
    </row>
    <row r="293" spans="2:5" x14ac:dyDescent="0.45">
      <c r="B293" t="s">
        <v>645</v>
      </c>
      <c r="C293" t="s">
        <v>14</v>
      </c>
      <c r="D293">
        <v>5.5601596533137523E-3</v>
      </c>
      <c r="E293" t="s">
        <v>6</v>
      </c>
    </row>
    <row r="294" spans="2:5" x14ac:dyDescent="0.45">
      <c r="B294" t="s">
        <v>645</v>
      </c>
      <c r="C294" t="s">
        <v>15</v>
      </c>
      <c r="D294">
        <v>0.31963554125195293</v>
      </c>
      <c r="E294" t="s">
        <v>6</v>
      </c>
    </row>
    <row r="295" spans="2:5" x14ac:dyDescent="0.45">
      <c r="B295" t="s">
        <v>645</v>
      </c>
      <c r="C295" t="s">
        <v>16</v>
      </c>
      <c r="D295">
        <v>1.2596880483826046E-2</v>
      </c>
      <c r="E295" t="s">
        <v>6</v>
      </c>
    </row>
    <row r="296" spans="2:5" x14ac:dyDescent="0.45">
      <c r="B296" t="s">
        <v>645</v>
      </c>
      <c r="C296" t="s">
        <v>17</v>
      </c>
      <c r="D296">
        <v>6.034555682977496E-4</v>
      </c>
      <c r="E296" t="s">
        <v>6</v>
      </c>
    </row>
    <row r="297" spans="2:5" x14ac:dyDescent="0.45">
      <c r="B297" t="s">
        <v>645</v>
      </c>
      <c r="C297" t="s">
        <v>18</v>
      </c>
      <c r="D297">
        <v>0.2079669269462622</v>
      </c>
      <c r="E297" t="s">
        <v>6</v>
      </c>
    </row>
    <row r="298" spans="2:5" x14ac:dyDescent="0.45">
      <c r="B298" t="s">
        <v>645</v>
      </c>
      <c r="C298" t="s">
        <v>19</v>
      </c>
      <c r="D298">
        <v>1.5702409083353812E-3</v>
      </c>
      <c r="E298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611B-04AC-4F0B-8BA2-C0E05B849AAC}">
  <dimension ref="B9:CI7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region=ITA")</f>
        <v>~TFM_DINS-TSL: attribute=FLO_EMIS; other_indexes=ACT; region=ITA</v>
      </c>
      <c r="Q9" t="str">
        <f>IF(A11="x","DeActivated","~TFM_DINS-TSL: attribute=FLO_SHAR; limtype=FX; region=ITA")</f>
        <v>~TFM_DINS-TSL: attribute=FLO_SHAR; limtype=FX; region=ITA</v>
      </c>
      <c r="AF9" t="str">
        <f>IF(A11="x","DeActivated","~TFM_DINS-TSL: attribute=FLO_SHAR; limtype=FX; region=ITA")</f>
        <v>~TFM_DINS-TSL: attribute=FLO_SHAR; limtype=FX; region=ITA</v>
      </c>
      <c r="AU9" t="str">
        <f>IF(A11="x","DeActivated","~TFM_DINS-TSL: attribute=FLO_SHAR; limtype=FX; region=ITA")</f>
        <v>~TFM_DINS-TSL: attribute=FLO_SHAR; limtype=FX; region=ITA</v>
      </c>
      <c r="BJ9" t="str">
        <f>IF(A11="x","DeActivated","~TFM_INS: region=ITA")</f>
        <v>~TFM_INS: region=ITA</v>
      </c>
      <c r="BR9" t="str">
        <f>IF(A11="x","DeActivated","~TFM_DINS-TSL: attribute=NCAP_PKCNT; region=ITA")</f>
        <v>~TFM_DINS-TSL: attribute=NCAP_PKCNT; region=ITA</v>
      </c>
      <c r="CF9" t="str">
        <f>IF(A11="x","DeActivated","~TFM_DINS-AT: region=ITA")</f>
        <v>~TFM_DINS-AT: region=ITA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646</v>
      </c>
      <c r="C11" t="s">
        <v>99</v>
      </c>
      <c r="D11">
        <v>0</v>
      </c>
      <c r="E11">
        <v>0.27911369214824694</v>
      </c>
      <c r="F11">
        <v>0.93713827475111489</v>
      </c>
      <c r="G11">
        <v>0.88307506592488894</v>
      </c>
      <c r="H11">
        <v>0.18312749839186293</v>
      </c>
      <c r="I11">
        <v>0.74908873305005319</v>
      </c>
      <c r="J11">
        <v>0.81154680668424761</v>
      </c>
      <c r="K11">
        <v>0.13551546748342388</v>
      </c>
      <c r="L11">
        <v>0.6721337863111716</v>
      </c>
      <c r="M11">
        <v>0.9542139453980687</v>
      </c>
      <c r="N11">
        <v>0.21745679412096727</v>
      </c>
      <c r="O11">
        <v>0.89597078726237234</v>
      </c>
      <c r="Q11" t="s">
        <v>646</v>
      </c>
      <c r="R11" t="s">
        <v>100</v>
      </c>
      <c r="S11">
        <v>0</v>
      </c>
      <c r="T11">
        <v>0.15185581728129072</v>
      </c>
      <c r="U11">
        <v>0.87986871351632456</v>
      </c>
      <c r="V11">
        <v>0.7964253441228003</v>
      </c>
      <c r="W11">
        <v>9.0865839245706806E-2</v>
      </c>
      <c r="X11">
        <v>0.60794669018941316</v>
      </c>
      <c r="Y11">
        <v>0.6966793493831529</v>
      </c>
      <c r="Z11">
        <v>7.0199508150730824E-2</v>
      </c>
      <c r="AA11">
        <v>0.51488362643822216</v>
      </c>
      <c r="AB11">
        <v>0.91095974182920014</v>
      </c>
      <c r="AC11">
        <v>0.11003412493004677</v>
      </c>
      <c r="AD11">
        <v>0.81525504408200911</v>
      </c>
      <c r="AF11" t="s">
        <v>646</v>
      </c>
      <c r="AG11" t="s">
        <v>101</v>
      </c>
      <c r="AH11">
        <v>0</v>
      </c>
      <c r="AI11">
        <v>6.686874058646557E-3</v>
      </c>
      <c r="AJ11">
        <v>0</v>
      </c>
      <c r="AK11">
        <v>0</v>
      </c>
      <c r="AL11">
        <v>6.5054269308923128E-3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6.8539077934171334E-3</v>
      </c>
      <c r="AS11">
        <v>0</v>
      </c>
      <c r="AU11" t="s">
        <v>646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646</v>
      </c>
      <c r="BS11">
        <v>0</v>
      </c>
      <c r="BT11">
        <v>0.29885106489579066</v>
      </c>
      <c r="BU11">
        <v>3.0658725705273882E-3</v>
      </c>
      <c r="BV11">
        <v>4.1873946806789191E-3</v>
      </c>
      <c r="BW11">
        <v>0.45527899983880904</v>
      </c>
      <c r="BX11">
        <v>2.5624107061539749E-2</v>
      </c>
      <c r="BY11">
        <v>7.3320046529651607E-3</v>
      </c>
      <c r="BZ11">
        <v>0.50372655129461141</v>
      </c>
      <c r="CA11">
        <v>3.8783669030384979E-2</v>
      </c>
      <c r="CB11">
        <v>5.9650739370137155E-4</v>
      </c>
      <c r="CC11">
        <v>0.3850533800582932</v>
      </c>
      <c r="CD11">
        <v>6.0561355821339658E-3</v>
      </c>
      <c r="CF11" t="s">
        <v>646</v>
      </c>
      <c r="CG11" t="s">
        <v>108</v>
      </c>
      <c r="CH11" t="s">
        <v>109</v>
      </c>
      <c r="CI11">
        <v>0.45846078478239527</v>
      </c>
    </row>
    <row r="12" spans="2:87" x14ac:dyDescent="0.45">
      <c r="B12" t="s">
        <v>647</v>
      </c>
      <c r="C12" t="s">
        <v>99</v>
      </c>
      <c r="D12">
        <v>0</v>
      </c>
      <c r="E12">
        <v>0.2831706433549987</v>
      </c>
      <c r="F12">
        <v>0.94230038200615729</v>
      </c>
      <c r="G12">
        <v>0.87786494040144769</v>
      </c>
      <c r="H12">
        <v>0.19153410415693042</v>
      </c>
      <c r="I12">
        <v>0.74975743833467146</v>
      </c>
      <c r="J12">
        <v>0.80700626668006736</v>
      </c>
      <c r="K12">
        <v>0.13458580965052952</v>
      </c>
      <c r="L12">
        <v>0.66851537337307176</v>
      </c>
      <c r="M12">
        <v>0.95424085436040829</v>
      </c>
      <c r="N12">
        <v>0.22660162479961185</v>
      </c>
      <c r="O12">
        <v>0.89658607875406726</v>
      </c>
      <c r="Q12" t="s">
        <v>647</v>
      </c>
      <c r="R12" t="s">
        <v>100</v>
      </c>
      <c r="S12">
        <v>0</v>
      </c>
      <c r="T12">
        <v>0.15437051693296361</v>
      </c>
      <c r="U12">
        <v>0.82855998073989645</v>
      </c>
      <c r="V12">
        <v>0.78987020856281265</v>
      </c>
      <c r="W12">
        <v>9.5309899810135365E-2</v>
      </c>
      <c r="X12">
        <v>0.60648805088320967</v>
      </c>
      <c r="Y12">
        <v>0.68772558901521619</v>
      </c>
      <c r="Z12">
        <v>6.9757363828724495E-2</v>
      </c>
      <c r="AA12">
        <v>0.50856176706774203</v>
      </c>
      <c r="AB12">
        <v>0.91352150649494068</v>
      </c>
      <c r="AC12">
        <v>0.11602334109670771</v>
      </c>
      <c r="AD12">
        <v>0.81819977981976344</v>
      </c>
      <c r="AF12" t="s">
        <v>647</v>
      </c>
      <c r="AG12" t="s">
        <v>101</v>
      </c>
      <c r="AH12">
        <v>0</v>
      </c>
      <c r="AI12">
        <v>7.4307803878595367E-3</v>
      </c>
      <c r="AJ12">
        <v>5.9645379336277643E-2</v>
      </c>
      <c r="AK12">
        <v>0</v>
      </c>
      <c r="AL12">
        <v>7.6257508306304851E-3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6.7413302395435198E-3</v>
      </c>
      <c r="AS12">
        <v>0</v>
      </c>
      <c r="AU12" t="s">
        <v>647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647</v>
      </c>
      <c r="BS12">
        <v>0</v>
      </c>
      <c r="BT12">
        <v>0.29517824774449825</v>
      </c>
      <c r="BU12">
        <v>2.8548443951120005E-3</v>
      </c>
      <c r="BV12">
        <v>4.0899562312118887E-3</v>
      </c>
      <c r="BW12">
        <v>0.44046112606384197</v>
      </c>
      <c r="BX12">
        <v>2.4583016961710939E-2</v>
      </c>
      <c r="BY12">
        <v>7.6910190517522339E-3</v>
      </c>
      <c r="BZ12">
        <v>0.5088065143293572</v>
      </c>
      <c r="CA12">
        <v>3.9140396808910481E-2</v>
      </c>
      <c r="CB12">
        <v>6.0008219903001962E-4</v>
      </c>
      <c r="CC12">
        <v>0.37262364916852803</v>
      </c>
      <c r="CD12">
        <v>6.0823850179314532E-3</v>
      </c>
      <c r="CF12" t="s">
        <v>647</v>
      </c>
      <c r="CG12" t="s">
        <v>108</v>
      </c>
      <c r="CH12" t="s">
        <v>109</v>
      </c>
      <c r="CI12">
        <v>0.43875583166799298</v>
      </c>
    </row>
    <row r="13" spans="2:87" x14ac:dyDescent="0.45">
      <c r="B13" t="s">
        <v>648</v>
      </c>
      <c r="C13" t="s">
        <v>99</v>
      </c>
      <c r="D13">
        <v>0</v>
      </c>
      <c r="E13">
        <v>0.25784297251299726</v>
      </c>
      <c r="F13">
        <v>0.94340609806002473</v>
      </c>
      <c r="G13">
        <v>0.85179215386227491</v>
      </c>
      <c r="H13">
        <v>0.16326790845534392</v>
      </c>
      <c r="I13">
        <v>0.77096509422160964</v>
      </c>
      <c r="J13">
        <v>0.80030544369685375</v>
      </c>
      <c r="K13">
        <v>0.12985325665865671</v>
      </c>
      <c r="L13">
        <v>0.70397006673071716</v>
      </c>
      <c r="M13">
        <v>0.92741486306521215</v>
      </c>
      <c r="N13">
        <v>0.20576391094064569</v>
      </c>
      <c r="O13">
        <v>0.91639449166835329</v>
      </c>
      <c r="Q13" t="s">
        <v>648</v>
      </c>
      <c r="R13" t="s">
        <v>100</v>
      </c>
      <c r="S13">
        <v>0</v>
      </c>
      <c r="T13">
        <v>0.13705194397020401</v>
      </c>
      <c r="U13">
        <v>0.89099464816780116</v>
      </c>
      <c r="V13">
        <v>0.7481089933378352</v>
      </c>
      <c r="W13">
        <v>8.4418962135472883E-2</v>
      </c>
      <c r="X13">
        <v>0.6377356451655406</v>
      </c>
      <c r="Y13">
        <v>0.68264780975149453</v>
      </c>
      <c r="Z13">
        <v>6.4272732208507002E-2</v>
      </c>
      <c r="AA13">
        <v>0.5793122222185968</v>
      </c>
      <c r="AB13">
        <v>0.86350924452239985</v>
      </c>
      <c r="AC13">
        <v>0.10621129785869708</v>
      </c>
      <c r="AD13">
        <v>0.84558237972898442</v>
      </c>
      <c r="AF13" t="s">
        <v>648</v>
      </c>
      <c r="AG13" t="s">
        <v>101</v>
      </c>
      <c r="AH13">
        <v>0</v>
      </c>
      <c r="AI13">
        <v>6.4165092683141208E-3</v>
      </c>
      <c r="AJ13">
        <v>0</v>
      </c>
      <c r="AK13">
        <v>0</v>
      </c>
      <c r="AL13">
        <v>4.0420029137564588E-3</v>
      </c>
      <c r="AM13">
        <v>0</v>
      </c>
      <c r="AN13">
        <v>0</v>
      </c>
      <c r="AO13">
        <v>6.5226128661277421E-5</v>
      </c>
      <c r="AP13">
        <v>0</v>
      </c>
      <c r="AQ13">
        <v>0</v>
      </c>
      <c r="AR13">
        <v>3.8513204331541004E-3</v>
      </c>
      <c r="AS13">
        <v>0</v>
      </c>
      <c r="AU13" t="s">
        <v>648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648</v>
      </c>
      <c r="BS13">
        <v>0</v>
      </c>
      <c r="BT13">
        <v>0.31060134253338878</v>
      </c>
      <c r="BU13">
        <v>1.6615358831108919E-3</v>
      </c>
      <c r="BV13">
        <v>7.1568980521322656E-3</v>
      </c>
      <c r="BW13">
        <v>0.48789133829969261</v>
      </c>
      <c r="BX13">
        <v>1.8555221061767935E-2</v>
      </c>
      <c r="BY13">
        <v>1.1357022984313623E-2</v>
      </c>
      <c r="BZ13">
        <v>0.52241842604567734</v>
      </c>
      <c r="CA13">
        <v>2.8373263065789252E-2</v>
      </c>
      <c r="CB13">
        <v>1.8871125839705703E-3</v>
      </c>
      <c r="CC13">
        <v>0.38294643644932708</v>
      </c>
      <c r="CD13">
        <v>3.2661933878004572E-3</v>
      </c>
      <c r="CF13" t="s">
        <v>648</v>
      </c>
      <c r="CG13" t="s">
        <v>108</v>
      </c>
      <c r="CH13" t="s">
        <v>109</v>
      </c>
      <c r="CI13">
        <v>0.45304183712179341</v>
      </c>
    </row>
    <row r="14" spans="2:87" x14ac:dyDescent="0.45">
      <c r="B14" t="s">
        <v>649</v>
      </c>
      <c r="C14" t="s">
        <v>99</v>
      </c>
      <c r="D14">
        <v>0</v>
      </c>
      <c r="E14">
        <v>0.25441588014495325</v>
      </c>
      <c r="F14">
        <v>0.9659355687945157</v>
      </c>
      <c r="G14">
        <v>0.83771685156895426</v>
      </c>
      <c r="H14">
        <v>0.16295254984856161</v>
      </c>
      <c r="I14">
        <v>0.78249928753362519</v>
      </c>
      <c r="J14">
        <v>0.79164561767553221</v>
      </c>
      <c r="K14">
        <v>0.13145943137628988</v>
      </c>
      <c r="L14">
        <v>0.71458347564214242</v>
      </c>
      <c r="M14">
        <v>0.91836167912268607</v>
      </c>
      <c r="N14">
        <v>0.21678712403903369</v>
      </c>
      <c r="O14">
        <v>0.93670829420469726</v>
      </c>
      <c r="Q14" t="s">
        <v>649</v>
      </c>
      <c r="R14" t="s">
        <v>100</v>
      </c>
      <c r="S14">
        <v>0</v>
      </c>
      <c r="T14">
        <v>0.13715262473126483</v>
      </c>
      <c r="U14">
        <v>0.93373771650136539</v>
      </c>
      <c r="V14">
        <v>0.72514564075408738</v>
      </c>
      <c r="W14">
        <v>8.5473851848485757E-2</v>
      </c>
      <c r="X14">
        <v>0.6515442592949402</v>
      </c>
      <c r="Y14">
        <v>0.66987031663162711</v>
      </c>
      <c r="Z14">
        <v>6.404321060998637E-2</v>
      </c>
      <c r="AA14">
        <v>0.59213773398099079</v>
      </c>
      <c r="AB14">
        <v>0.84568615540404146</v>
      </c>
      <c r="AC14">
        <v>0.11455328893821411</v>
      </c>
      <c r="AD14">
        <v>0.87926067745546421</v>
      </c>
      <c r="AF14" t="s">
        <v>649</v>
      </c>
      <c r="AG14" t="s">
        <v>101</v>
      </c>
      <c r="AH14">
        <v>0</v>
      </c>
      <c r="AI14">
        <v>6.993040431314889E-3</v>
      </c>
      <c r="AJ14">
        <v>0</v>
      </c>
      <c r="AK14">
        <v>0</v>
      </c>
      <c r="AL14">
        <v>3.07174609920189E-3</v>
      </c>
      <c r="AM14">
        <v>0</v>
      </c>
      <c r="AN14">
        <v>0</v>
      </c>
      <c r="AO14">
        <v>6.9641254912008619E-4</v>
      </c>
      <c r="AP14">
        <v>0</v>
      </c>
      <c r="AQ14">
        <v>0</v>
      </c>
      <c r="AR14">
        <v>2.4582322036613377E-3</v>
      </c>
      <c r="AS14">
        <v>0</v>
      </c>
      <c r="AU14" t="s">
        <v>649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649</v>
      </c>
      <c r="BS14">
        <v>0</v>
      </c>
      <c r="BT14">
        <v>0.32895584845624803</v>
      </c>
      <c r="BU14">
        <v>8.2485709001911664E-4</v>
      </c>
      <c r="BV14">
        <v>9.7449737725371997E-3</v>
      </c>
      <c r="BW14">
        <v>0.49021735079657575</v>
      </c>
      <c r="BX14">
        <v>1.4709702481011189E-2</v>
      </c>
      <c r="BY14">
        <v>1.4711194676196037E-2</v>
      </c>
      <c r="BZ14">
        <v>0.50977200892264374</v>
      </c>
      <c r="CA14">
        <v>2.2935684197583545E-2</v>
      </c>
      <c r="CB14">
        <v>3.1661480758625017E-3</v>
      </c>
      <c r="CC14">
        <v>0.3861528256099292</v>
      </c>
      <c r="CD14">
        <v>2.2039912515863574E-3</v>
      </c>
      <c r="CF14" t="s">
        <v>649</v>
      </c>
      <c r="CG14" t="s">
        <v>108</v>
      </c>
      <c r="CH14" t="s">
        <v>109</v>
      </c>
      <c r="CI14">
        <v>0.47146798719880695</v>
      </c>
    </row>
    <row r="15" spans="2:87" x14ac:dyDescent="0.45">
      <c r="B15" t="s">
        <v>650</v>
      </c>
      <c r="C15" t="s">
        <v>99</v>
      </c>
      <c r="D15">
        <v>0</v>
      </c>
      <c r="E15">
        <v>0.27144820207750431</v>
      </c>
      <c r="F15">
        <v>0.98139939831055867</v>
      </c>
      <c r="G15">
        <v>0.82889693753551652</v>
      </c>
      <c r="H15">
        <v>0.1719862094596806</v>
      </c>
      <c r="I15">
        <v>0.79089664761488832</v>
      </c>
      <c r="J15">
        <v>0.78097073328910993</v>
      </c>
      <c r="K15">
        <v>0.12901056374719846</v>
      </c>
      <c r="L15">
        <v>0.71921009220053789</v>
      </c>
      <c r="M15">
        <v>0.9144715425087544</v>
      </c>
      <c r="N15">
        <v>0.22749305259322108</v>
      </c>
      <c r="O15">
        <v>0.94411910162152701</v>
      </c>
      <c r="Q15" t="s">
        <v>650</v>
      </c>
      <c r="R15" t="s">
        <v>100</v>
      </c>
      <c r="S15">
        <v>0</v>
      </c>
      <c r="T15">
        <v>0.14301396402401045</v>
      </c>
      <c r="U15">
        <v>0.96322533537888178</v>
      </c>
      <c r="V15">
        <v>0.71000479905096603</v>
      </c>
      <c r="W15">
        <v>8.8758990542189373E-2</v>
      </c>
      <c r="X15">
        <v>0.66122551418482056</v>
      </c>
      <c r="Y15">
        <v>0.65238020214973513</v>
      </c>
      <c r="Z15">
        <v>6.3906642760594226E-2</v>
      </c>
      <c r="AA15">
        <v>0.59429715947100303</v>
      </c>
      <c r="AB15">
        <v>0.83664939621095702</v>
      </c>
      <c r="AC15">
        <v>0.12137809256671279</v>
      </c>
      <c r="AD15">
        <v>0.89253163300324012</v>
      </c>
      <c r="AF15" t="s">
        <v>650</v>
      </c>
      <c r="AG15" t="s">
        <v>101</v>
      </c>
      <c r="AH15">
        <v>0</v>
      </c>
      <c r="AI15">
        <v>7.2169075240326843E-3</v>
      </c>
      <c r="AJ15">
        <v>0</v>
      </c>
      <c r="AK15">
        <v>0</v>
      </c>
      <c r="AL15">
        <v>2.4575905655540571E-3</v>
      </c>
      <c r="AM15">
        <v>0</v>
      </c>
      <c r="AN15">
        <v>0</v>
      </c>
      <c r="AO15">
        <v>2.6343968609664111E-4</v>
      </c>
      <c r="AP15">
        <v>0</v>
      </c>
      <c r="AQ15">
        <v>0</v>
      </c>
      <c r="AR15">
        <v>3.9020255399836263E-3</v>
      </c>
      <c r="AS15">
        <v>0</v>
      </c>
      <c r="AU15" t="s">
        <v>650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650</v>
      </c>
      <c r="BS15">
        <v>0</v>
      </c>
      <c r="BT15">
        <v>0.30538574551821718</v>
      </c>
      <c r="BU15">
        <v>3.3855200956176321E-4</v>
      </c>
      <c r="BV15">
        <v>1.1836200170918292E-2</v>
      </c>
      <c r="BW15">
        <v>0.47651124343323059</v>
      </c>
      <c r="BX15">
        <v>1.1407782370932894E-2</v>
      </c>
      <c r="BY15">
        <v>1.7476629726686572E-2</v>
      </c>
      <c r="BZ15">
        <v>0.50512902564924245</v>
      </c>
      <c r="CA15">
        <v>1.9774884619202442E-2</v>
      </c>
      <c r="CB15">
        <v>4.5638976774421526E-3</v>
      </c>
      <c r="CC15">
        <v>0.36807882371613576</v>
      </c>
      <c r="CD15">
        <v>1.4154420057959033E-3</v>
      </c>
      <c r="CF15" t="s">
        <v>650</v>
      </c>
      <c r="CG15" t="s">
        <v>108</v>
      </c>
      <c r="CH15" t="s">
        <v>109</v>
      </c>
      <c r="CI15">
        <v>0.46078076658826761</v>
      </c>
    </row>
    <row r="16" spans="2:87" x14ac:dyDescent="0.45">
      <c r="B16" t="s">
        <v>651</v>
      </c>
      <c r="C16" t="s">
        <v>99</v>
      </c>
      <c r="D16">
        <v>0</v>
      </c>
      <c r="E16">
        <v>0.2958363216159165</v>
      </c>
      <c r="F16">
        <v>0.9751979044837652</v>
      </c>
      <c r="G16">
        <v>0.84036188158997338</v>
      </c>
      <c r="H16">
        <v>0.18753782642725647</v>
      </c>
      <c r="I16">
        <v>0.78116367907338602</v>
      </c>
      <c r="J16">
        <v>0.78323149912496248</v>
      </c>
      <c r="K16">
        <v>0.13827109861286038</v>
      </c>
      <c r="L16">
        <v>0.70406722534137356</v>
      </c>
      <c r="M16">
        <v>0.92329478574828039</v>
      </c>
      <c r="N16">
        <v>0.2498888383120996</v>
      </c>
      <c r="O16">
        <v>0.93772893772893773</v>
      </c>
      <c r="Q16" t="s">
        <v>651</v>
      </c>
      <c r="R16" t="s">
        <v>100</v>
      </c>
      <c r="S16">
        <v>0</v>
      </c>
      <c r="T16">
        <v>0.1642394036892672</v>
      </c>
      <c r="U16">
        <v>0.95172091789434132</v>
      </c>
      <c r="V16">
        <v>0.72877122462979704</v>
      </c>
      <c r="W16">
        <v>9.8128665394198331E-2</v>
      </c>
      <c r="X16">
        <v>0.6512062157913876</v>
      </c>
      <c r="Y16">
        <v>0.64571869548546967</v>
      </c>
      <c r="Z16">
        <v>6.8694545448322153E-2</v>
      </c>
      <c r="AA16">
        <v>0.56713308064062096</v>
      </c>
      <c r="AB16">
        <v>0.85659556153164018</v>
      </c>
      <c r="AC16">
        <v>0.13079444889369457</v>
      </c>
      <c r="AD16">
        <v>0.88048057985414874</v>
      </c>
      <c r="AF16" t="s">
        <v>651</v>
      </c>
      <c r="AG16" t="s">
        <v>101</v>
      </c>
      <c r="AH16">
        <v>0</v>
      </c>
      <c r="AI16">
        <v>7.7570983934337782E-3</v>
      </c>
      <c r="AJ16">
        <v>0</v>
      </c>
      <c r="AK16">
        <v>0</v>
      </c>
      <c r="AL16">
        <v>5.1730324458291429E-3</v>
      </c>
      <c r="AM16">
        <v>0</v>
      </c>
      <c r="AN16">
        <v>0</v>
      </c>
      <c r="AO16">
        <v>8.6336848084637215E-4</v>
      </c>
      <c r="AP16">
        <v>0</v>
      </c>
      <c r="AQ16">
        <v>0</v>
      </c>
      <c r="AR16">
        <v>1.1332165448720318E-2</v>
      </c>
      <c r="AS16">
        <v>0</v>
      </c>
      <c r="AU16" t="s">
        <v>651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651</v>
      </c>
      <c r="BS16">
        <v>0</v>
      </c>
      <c r="BT16">
        <v>0.26945283667955272</v>
      </c>
      <c r="BU16">
        <v>5.3469020149627614E-4</v>
      </c>
      <c r="BV16">
        <v>8.8747928675564029E-3</v>
      </c>
      <c r="BW16">
        <v>0.43712409849323036</v>
      </c>
      <c r="BX16">
        <v>1.3447139812603461E-2</v>
      </c>
      <c r="BY16">
        <v>1.5070626819143951E-2</v>
      </c>
      <c r="BZ16">
        <v>0.48542143538385663</v>
      </c>
      <c r="CA16">
        <v>2.2505876343205517E-2</v>
      </c>
      <c r="CB16">
        <v>2.7459693227725292E-3</v>
      </c>
      <c r="CC16">
        <v>0.33973339415041853</v>
      </c>
      <c r="CD16">
        <v>2.1780723708030637E-3</v>
      </c>
      <c r="CF16" t="s">
        <v>651</v>
      </c>
      <c r="CG16" t="s">
        <v>108</v>
      </c>
      <c r="CH16" t="s">
        <v>109</v>
      </c>
      <c r="CI16">
        <v>0.42844149158790851</v>
      </c>
    </row>
    <row r="17" spans="2:87" x14ac:dyDescent="0.45">
      <c r="B17" t="s">
        <v>652</v>
      </c>
      <c r="C17" t="s">
        <v>99</v>
      </c>
      <c r="D17">
        <v>0</v>
      </c>
      <c r="E17">
        <v>0.28629020354855494</v>
      </c>
      <c r="F17">
        <v>0.98634522698857285</v>
      </c>
      <c r="G17">
        <v>0.8238220183962196</v>
      </c>
      <c r="H17">
        <v>0.17546934849751392</v>
      </c>
      <c r="I17">
        <v>0.7887200110075715</v>
      </c>
      <c r="J17">
        <v>0.77605546226074262</v>
      </c>
      <c r="K17">
        <v>0.13380180138974379</v>
      </c>
      <c r="L17">
        <v>0.7138619270340828</v>
      </c>
      <c r="M17">
        <v>0.91048810617837228</v>
      </c>
      <c r="N17">
        <v>0.24138083016551695</v>
      </c>
      <c r="O17">
        <v>0.94700702344983267</v>
      </c>
      <c r="Q17" t="s">
        <v>652</v>
      </c>
      <c r="R17" t="s">
        <v>100</v>
      </c>
      <c r="S17">
        <v>0</v>
      </c>
      <c r="T17">
        <v>0.15831420799378582</v>
      </c>
      <c r="U17">
        <v>0.97355927034242473</v>
      </c>
      <c r="V17">
        <v>0.70491205675843749</v>
      </c>
      <c r="W17">
        <v>9.2439203649133508E-2</v>
      </c>
      <c r="X17">
        <v>0.65741547934493172</v>
      </c>
      <c r="Y17">
        <v>0.64307968519453551</v>
      </c>
      <c r="Z17">
        <v>6.6925622975360297E-2</v>
      </c>
      <c r="AA17">
        <v>0.58368680642123605</v>
      </c>
      <c r="AB17">
        <v>0.83508731646886269</v>
      </c>
      <c r="AC17">
        <v>0.1249148313543255</v>
      </c>
      <c r="AD17">
        <v>0.89844256070881567</v>
      </c>
      <c r="AF17" t="s">
        <v>652</v>
      </c>
      <c r="AG17" t="s">
        <v>101</v>
      </c>
      <c r="AH17">
        <v>0</v>
      </c>
      <c r="AI17">
        <v>5.1403534993401138E-3</v>
      </c>
      <c r="AJ17">
        <v>0</v>
      </c>
      <c r="AK17">
        <v>0</v>
      </c>
      <c r="AL17">
        <v>2.7684153765793378E-3</v>
      </c>
      <c r="AM17">
        <v>0</v>
      </c>
      <c r="AN17">
        <v>0</v>
      </c>
      <c r="AO17">
        <v>2.5631508293377195E-4</v>
      </c>
      <c r="AP17">
        <v>0</v>
      </c>
      <c r="AQ17">
        <v>0</v>
      </c>
      <c r="AR17">
        <v>1.0921338743185308E-2</v>
      </c>
      <c r="AS17">
        <v>0</v>
      </c>
      <c r="AU17" t="s">
        <v>652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652</v>
      </c>
      <c r="BS17">
        <v>0</v>
      </c>
      <c r="BT17">
        <v>0.28512732923036221</v>
      </c>
      <c r="BU17">
        <v>1.3771525948398373E-4</v>
      </c>
      <c r="BV17">
        <v>1.2329551687487282E-2</v>
      </c>
      <c r="BW17">
        <v>0.46643216556837142</v>
      </c>
      <c r="BX17">
        <v>1.0959547843954122E-2</v>
      </c>
      <c r="BY17">
        <v>1.8772920790961524E-2</v>
      </c>
      <c r="BZ17">
        <v>0.49656882745413067</v>
      </c>
      <c r="CA17">
        <v>1.9123713166030901E-2</v>
      </c>
      <c r="CB17">
        <v>4.5485167890144352E-3</v>
      </c>
      <c r="CC17">
        <v>0.35646051777866566</v>
      </c>
      <c r="CD17">
        <v>1.4222788920080079E-3</v>
      </c>
      <c r="CF17" t="s">
        <v>652</v>
      </c>
      <c r="CG17" t="s">
        <v>108</v>
      </c>
      <c r="CH17" t="s">
        <v>109</v>
      </c>
      <c r="CI17">
        <v>0.45099208679522845</v>
      </c>
    </row>
    <row r="18" spans="2:87" x14ac:dyDescent="0.45">
      <c r="B18" t="s">
        <v>653</v>
      </c>
      <c r="C18" t="s">
        <v>99</v>
      </c>
      <c r="D18">
        <v>0</v>
      </c>
      <c r="E18">
        <v>0.31416161777478147</v>
      </c>
      <c r="F18">
        <v>0.96831054470879241</v>
      </c>
      <c r="G18">
        <v>0.84918054312613456</v>
      </c>
      <c r="H18">
        <v>0.19035108207129903</v>
      </c>
      <c r="I18">
        <v>0.76721994105562619</v>
      </c>
      <c r="J18">
        <v>0.78846849497215099</v>
      </c>
      <c r="K18">
        <v>0.13805738998850511</v>
      </c>
      <c r="L18">
        <v>0.69071244026985956</v>
      </c>
      <c r="M18">
        <v>0.93658315448515572</v>
      </c>
      <c r="N18">
        <v>0.24276529052095011</v>
      </c>
      <c r="O18">
        <v>0.92759740790751077</v>
      </c>
      <c r="Q18" t="s">
        <v>653</v>
      </c>
      <c r="R18" t="s">
        <v>100</v>
      </c>
      <c r="S18">
        <v>0</v>
      </c>
      <c r="T18">
        <v>0.17288447861603964</v>
      </c>
      <c r="U18">
        <v>0.9378266942272192</v>
      </c>
      <c r="V18">
        <v>0.73984742242930579</v>
      </c>
      <c r="W18">
        <v>0.10032769409498701</v>
      </c>
      <c r="X18">
        <v>0.63306788009835013</v>
      </c>
      <c r="Y18">
        <v>0.65253770068128514</v>
      </c>
      <c r="Z18">
        <v>6.7602225770621444E-2</v>
      </c>
      <c r="AA18">
        <v>0.55200508658521363</v>
      </c>
      <c r="AB18">
        <v>0.88020333166012077</v>
      </c>
      <c r="AC18">
        <v>0.13200262241509811</v>
      </c>
      <c r="AD18">
        <v>0.86741794343860013</v>
      </c>
      <c r="AF18" t="s">
        <v>653</v>
      </c>
      <c r="AG18" t="s">
        <v>101</v>
      </c>
      <c r="AH18">
        <v>0</v>
      </c>
      <c r="AI18">
        <v>1.1052428523132122E-2</v>
      </c>
      <c r="AJ18">
        <v>0</v>
      </c>
      <c r="AK18">
        <v>0</v>
      </c>
      <c r="AL18">
        <v>5.9707942167785827E-3</v>
      </c>
      <c r="AM18">
        <v>0</v>
      </c>
      <c r="AN18">
        <v>0</v>
      </c>
      <c r="AO18">
        <v>1.2585586653962348E-3</v>
      </c>
      <c r="AP18">
        <v>0</v>
      </c>
      <c r="AQ18">
        <v>0</v>
      </c>
      <c r="AR18">
        <v>7.1174597745975359E-3</v>
      </c>
      <c r="AS18">
        <v>0</v>
      </c>
      <c r="AU18" t="s">
        <v>653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653</v>
      </c>
      <c r="BS18">
        <v>0</v>
      </c>
      <c r="BT18">
        <v>0.28670520306835873</v>
      </c>
      <c r="BU18">
        <v>1.0086894166168973E-3</v>
      </c>
      <c r="BV18">
        <v>7.1666212215664412E-3</v>
      </c>
      <c r="BW18">
        <v>0.42488676775658457</v>
      </c>
      <c r="BX18">
        <v>1.6150203976892114E-2</v>
      </c>
      <c r="BY18">
        <v>1.2917107602933709E-2</v>
      </c>
      <c r="BZ18">
        <v>0.48891107286777058</v>
      </c>
      <c r="CA18">
        <v>2.7109792286962298E-2</v>
      </c>
      <c r="CB18">
        <v>1.836990521683431E-3</v>
      </c>
      <c r="CC18">
        <v>0.34405262882001997</v>
      </c>
      <c r="CD18">
        <v>3.0467766352490692E-3</v>
      </c>
      <c r="CF18" t="s">
        <v>653</v>
      </c>
      <c r="CG18" t="s">
        <v>108</v>
      </c>
      <c r="CH18" t="s">
        <v>109</v>
      </c>
      <c r="CI18">
        <v>0.40909616567617596</v>
      </c>
    </row>
    <row r="19" spans="2:87" x14ac:dyDescent="0.45">
      <c r="B19" t="s">
        <v>654</v>
      </c>
      <c r="C19" t="s">
        <v>99</v>
      </c>
      <c r="D19">
        <v>0</v>
      </c>
      <c r="E19">
        <v>0.33908214291867073</v>
      </c>
      <c r="F19">
        <v>0.97777777777777797</v>
      </c>
      <c r="G19">
        <v>0.84740316246775627</v>
      </c>
      <c r="H19">
        <v>0.2027503592784157</v>
      </c>
      <c r="I19">
        <v>0.76987246611405435</v>
      </c>
      <c r="J19">
        <v>0.78359588077619269</v>
      </c>
      <c r="K19">
        <v>0.13874152745814361</v>
      </c>
      <c r="L19">
        <v>0.69029566567228084</v>
      </c>
      <c r="M19">
        <v>0.93852381796621009</v>
      </c>
      <c r="N19">
        <v>0.26552596960178176</v>
      </c>
      <c r="O19">
        <v>0.93496388553475684</v>
      </c>
      <c r="Q19" t="s">
        <v>654</v>
      </c>
      <c r="R19" t="s">
        <v>100</v>
      </c>
      <c r="S19">
        <v>0</v>
      </c>
      <c r="T19">
        <v>0.19240550553484762</v>
      </c>
      <c r="U19">
        <v>0.95743554628903793</v>
      </c>
      <c r="V19">
        <v>0.7387276764861499</v>
      </c>
      <c r="W19">
        <v>0.10771320245393515</v>
      </c>
      <c r="X19">
        <v>0.62914258675429291</v>
      </c>
      <c r="Y19">
        <v>0.64368418563500962</v>
      </c>
      <c r="Z19">
        <v>6.8806304814187091E-2</v>
      </c>
      <c r="AA19">
        <v>0.54948084450658841</v>
      </c>
      <c r="AB19">
        <v>0.88391696085692206</v>
      </c>
      <c r="AC19">
        <v>0.13680209464848264</v>
      </c>
      <c r="AD19">
        <v>0.87778683504268362</v>
      </c>
      <c r="AF19" t="s">
        <v>654</v>
      </c>
      <c r="AG19" t="s">
        <v>101</v>
      </c>
      <c r="AH19">
        <v>0</v>
      </c>
      <c r="AI19">
        <v>1.3522836304237796E-2</v>
      </c>
      <c r="AJ19">
        <v>0</v>
      </c>
      <c r="AK19">
        <v>0</v>
      </c>
      <c r="AL19">
        <v>5.7914955327467181E-3</v>
      </c>
      <c r="AM19">
        <v>0</v>
      </c>
      <c r="AN19">
        <v>0</v>
      </c>
      <c r="AO19">
        <v>1.7772808672289139E-3</v>
      </c>
      <c r="AP19">
        <v>0</v>
      </c>
      <c r="AQ19">
        <v>0</v>
      </c>
      <c r="AR19">
        <v>1.7076429223299605E-2</v>
      </c>
      <c r="AS19">
        <v>0</v>
      </c>
      <c r="AU19" t="s">
        <v>654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654</v>
      </c>
      <c r="BS19">
        <v>0</v>
      </c>
      <c r="BT19">
        <v>0.24839524776697397</v>
      </c>
      <c r="BU19">
        <v>5.4975738976373366E-4</v>
      </c>
      <c r="BV19">
        <v>7.7765729189039432E-3</v>
      </c>
      <c r="BW19">
        <v>0.41702592497652902</v>
      </c>
      <c r="BX19">
        <v>1.4844495748997323E-2</v>
      </c>
      <c r="BY19">
        <v>1.3725737057794909E-2</v>
      </c>
      <c r="BZ19">
        <v>0.4914719901374246</v>
      </c>
      <c r="CA19">
        <v>2.6919075825002418E-2</v>
      </c>
      <c r="CB19">
        <v>2.0481757302129875E-3</v>
      </c>
      <c r="CC19">
        <v>0.32610174691332727</v>
      </c>
      <c r="CD19">
        <v>2.7633345053947977E-3</v>
      </c>
      <c r="CF19" t="s">
        <v>654</v>
      </c>
      <c r="CG19" t="s">
        <v>108</v>
      </c>
      <c r="CH19" t="s">
        <v>109</v>
      </c>
      <c r="CI19">
        <v>0.43448973563092308</v>
      </c>
    </row>
    <row r="20" spans="2:87" x14ac:dyDescent="0.45">
      <c r="B20" t="s">
        <v>655</v>
      </c>
      <c r="C20" t="s">
        <v>99</v>
      </c>
      <c r="D20">
        <v>0</v>
      </c>
      <c r="E20">
        <v>0.31184381577348891</v>
      </c>
      <c r="F20">
        <v>0.97777777777777797</v>
      </c>
      <c r="G20">
        <v>0.83813429809196105</v>
      </c>
      <c r="H20">
        <v>0.18377344553796451</v>
      </c>
      <c r="I20">
        <v>0.77596415811241737</v>
      </c>
      <c r="J20">
        <v>0.78098888300049707</v>
      </c>
      <c r="K20">
        <v>0.14009739423776058</v>
      </c>
      <c r="L20">
        <v>0.70178437053533094</v>
      </c>
      <c r="M20">
        <v>0.92719780219780223</v>
      </c>
      <c r="N20">
        <v>0.25440239623877675</v>
      </c>
      <c r="O20">
        <v>0.93762152668110343</v>
      </c>
      <c r="Q20" t="s">
        <v>655</v>
      </c>
      <c r="R20" t="s">
        <v>100</v>
      </c>
      <c r="S20">
        <v>0</v>
      </c>
      <c r="T20">
        <v>0.17461265549266092</v>
      </c>
      <c r="U20">
        <v>0.95648438343671682</v>
      </c>
      <c r="V20">
        <v>0.72740591906581886</v>
      </c>
      <c r="W20">
        <v>9.7224769156214266E-2</v>
      </c>
      <c r="X20">
        <v>0.64012826506298504</v>
      </c>
      <c r="Y20">
        <v>0.64292044383505476</v>
      </c>
      <c r="Z20">
        <v>7.037954222426504E-2</v>
      </c>
      <c r="AA20">
        <v>0.5614198282657249</v>
      </c>
      <c r="AB20">
        <v>0.86017197726318162</v>
      </c>
      <c r="AC20">
        <v>0.13367908440152518</v>
      </c>
      <c r="AD20">
        <v>0.88123932492413881</v>
      </c>
      <c r="AF20" t="s">
        <v>655</v>
      </c>
      <c r="AG20" t="s">
        <v>101</v>
      </c>
      <c r="AH20">
        <v>0</v>
      </c>
      <c r="AI20">
        <v>8.6691696642185751E-3</v>
      </c>
      <c r="AJ20">
        <v>0</v>
      </c>
      <c r="AK20">
        <v>0</v>
      </c>
      <c r="AL20">
        <v>4.3807884969682114E-3</v>
      </c>
      <c r="AM20">
        <v>0</v>
      </c>
      <c r="AN20">
        <v>0</v>
      </c>
      <c r="AO20">
        <v>1.3747840344901902E-3</v>
      </c>
      <c r="AP20">
        <v>0</v>
      </c>
      <c r="AQ20">
        <v>0</v>
      </c>
      <c r="AR20">
        <v>9.1615919599870831E-3</v>
      </c>
      <c r="AS20">
        <v>0</v>
      </c>
      <c r="AU20" t="s">
        <v>655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655</v>
      </c>
      <c r="BS20">
        <v>0</v>
      </c>
      <c r="BT20">
        <v>0.27016767796241836</v>
      </c>
      <c r="BU20">
        <v>4.1074767169611647E-4</v>
      </c>
      <c r="BV20">
        <v>9.3875576740155876E-3</v>
      </c>
      <c r="BW20">
        <v>0.44790579085495902</v>
      </c>
      <c r="BX20">
        <v>1.3492070417231612E-2</v>
      </c>
      <c r="BY20">
        <v>1.5537869480087372E-2</v>
      </c>
      <c r="BZ20">
        <v>0.48259957826803063</v>
      </c>
      <c r="CA20">
        <v>2.3097320441344119E-2</v>
      </c>
      <c r="CB20">
        <v>2.9424482752329895E-3</v>
      </c>
      <c r="CC20">
        <v>0.34872199910928392</v>
      </c>
      <c r="CD20">
        <v>2.1676236834443884E-3</v>
      </c>
      <c r="CF20" t="s">
        <v>655</v>
      </c>
      <c r="CG20" t="s">
        <v>108</v>
      </c>
      <c r="CH20" t="s">
        <v>109</v>
      </c>
      <c r="CI20">
        <v>0.43879846675457174</v>
      </c>
    </row>
    <row r="21" spans="2:87" x14ac:dyDescent="0.45">
      <c r="B21" t="s">
        <v>656</v>
      </c>
      <c r="C21" t="s">
        <v>99</v>
      </c>
      <c r="D21">
        <v>0</v>
      </c>
      <c r="E21">
        <v>0.30844111609853153</v>
      </c>
      <c r="F21">
        <v>0.95000000000000007</v>
      </c>
      <c r="G21">
        <v>0.88176154058999556</v>
      </c>
      <c r="H21">
        <v>0.20967735848605359</v>
      </c>
      <c r="I21">
        <v>0.70918811829760997</v>
      </c>
      <c r="J21">
        <v>0.80100479666518598</v>
      </c>
      <c r="K21">
        <v>0.15651419439190356</v>
      </c>
      <c r="L21">
        <v>0.63507114297697864</v>
      </c>
      <c r="M21">
        <v>0.96790943417879993</v>
      </c>
      <c r="N21">
        <v>0.27827835847826909</v>
      </c>
      <c r="O21">
        <v>0.89367546571303647</v>
      </c>
      <c r="Q21" t="s">
        <v>656</v>
      </c>
      <c r="R21" t="s">
        <v>100</v>
      </c>
      <c r="S21">
        <v>0</v>
      </c>
      <c r="T21">
        <v>0.17014145038668302</v>
      </c>
      <c r="U21">
        <v>0.58602167714968623</v>
      </c>
      <c r="V21">
        <v>0.79058622247100574</v>
      </c>
      <c r="W21">
        <v>0.11051898777752321</v>
      </c>
      <c r="X21">
        <v>0.52748464561865505</v>
      </c>
      <c r="Y21">
        <v>0.66530563778861906</v>
      </c>
      <c r="Z21">
        <v>7.9908987669212686E-2</v>
      </c>
      <c r="AA21">
        <v>0.45971919929288974</v>
      </c>
      <c r="AB21">
        <v>0.93732987787919475</v>
      </c>
      <c r="AC21">
        <v>0.15333675514046236</v>
      </c>
      <c r="AD21">
        <v>0.58522838049822656</v>
      </c>
      <c r="AF21" t="s">
        <v>656</v>
      </c>
      <c r="AG21" t="s">
        <v>101</v>
      </c>
      <c r="AH21">
        <v>0</v>
      </c>
      <c r="AI21">
        <v>6.3183886021042149E-3</v>
      </c>
      <c r="AJ21">
        <v>0.31817174538338155</v>
      </c>
      <c r="AK21">
        <v>0</v>
      </c>
      <c r="AL21">
        <v>1.022708380934602E-2</v>
      </c>
      <c r="AM21">
        <v>2.9153289831739388E-2</v>
      </c>
      <c r="AN21">
        <v>0</v>
      </c>
      <c r="AO21">
        <v>4.4900186844564777E-3</v>
      </c>
      <c r="AP21">
        <v>0</v>
      </c>
      <c r="AQ21">
        <v>0</v>
      </c>
      <c r="AR21">
        <v>1.4245681250043931E-2</v>
      </c>
      <c r="AS21">
        <v>0.22688287376404087</v>
      </c>
      <c r="AU21" t="s">
        <v>656</v>
      </c>
      <c r="AV21" t="s">
        <v>102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656</v>
      </c>
      <c r="BS21">
        <v>0</v>
      </c>
      <c r="BT21">
        <v>0.34640944847085092</v>
      </c>
      <c r="BU21">
        <v>3.6123556849699933E-3</v>
      </c>
      <c r="BV21">
        <v>4.3892856073728687E-3</v>
      </c>
      <c r="BW21">
        <v>0.46570847505070345</v>
      </c>
      <c r="BX21">
        <v>3.266722609246353E-2</v>
      </c>
      <c r="BY21">
        <v>7.7054743469031507E-3</v>
      </c>
      <c r="BZ21">
        <v>0.46548426920353819</v>
      </c>
      <c r="CA21">
        <v>4.3218253085441659E-2</v>
      </c>
      <c r="CB21">
        <v>2.7164629409089563E-4</v>
      </c>
      <c r="CC21">
        <v>0.32823795679064999</v>
      </c>
      <c r="CD21">
        <v>6.5208343451346592E-3</v>
      </c>
      <c r="CF21" t="s">
        <v>656</v>
      </c>
      <c r="CG21" t="s">
        <v>108</v>
      </c>
      <c r="CH21" t="s">
        <v>109</v>
      </c>
      <c r="CI21">
        <v>0.45609522048104262</v>
      </c>
    </row>
    <row r="22" spans="2:87" x14ac:dyDescent="0.45">
      <c r="B22" t="s">
        <v>657</v>
      </c>
      <c r="C22" t="s">
        <v>99</v>
      </c>
      <c r="D22">
        <v>0</v>
      </c>
      <c r="E22">
        <v>0.34776611975175298</v>
      </c>
      <c r="F22">
        <v>0.95922649062768472</v>
      </c>
      <c r="G22">
        <v>0.87806503898650312</v>
      </c>
      <c r="H22">
        <v>0.25936751782156026</v>
      </c>
      <c r="I22">
        <v>0.74235462817167841</v>
      </c>
      <c r="J22">
        <v>0.79332741804911633</v>
      </c>
      <c r="K22">
        <v>0.15835486590697503</v>
      </c>
      <c r="L22">
        <v>0.64673378993892705</v>
      </c>
      <c r="M22">
        <v>0.96141753455084733</v>
      </c>
      <c r="N22">
        <v>0.34126501326048242</v>
      </c>
      <c r="O22">
        <v>0.90427668803369921</v>
      </c>
      <c r="Q22" t="s">
        <v>657</v>
      </c>
      <c r="R22" t="s">
        <v>100</v>
      </c>
      <c r="S22">
        <v>0</v>
      </c>
      <c r="T22">
        <v>0.1904932976748164</v>
      </c>
      <c r="U22">
        <v>0.66623322222306991</v>
      </c>
      <c r="V22">
        <v>0.7858193426215957</v>
      </c>
      <c r="W22">
        <v>0.13080171470151314</v>
      </c>
      <c r="X22">
        <v>0.45061098162828039</v>
      </c>
      <c r="Y22">
        <v>0.65322720700340742</v>
      </c>
      <c r="Z22">
        <v>7.9595314246373283E-2</v>
      </c>
      <c r="AA22">
        <v>0.47474725560054004</v>
      </c>
      <c r="AB22">
        <v>0.92443993706812266</v>
      </c>
      <c r="AC22">
        <v>0.18152029850762283</v>
      </c>
      <c r="AD22">
        <v>0.35032613850707967</v>
      </c>
      <c r="AF22" t="s">
        <v>657</v>
      </c>
      <c r="AG22" t="s">
        <v>101</v>
      </c>
      <c r="AH22">
        <v>0</v>
      </c>
      <c r="AI22">
        <v>1.4497378771216773E-2</v>
      </c>
      <c r="AJ22">
        <v>0.25569001599131608</v>
      </c>
      <c r="AK22">
        <v>0</v>
      </c>
      <c r="AL22">
        <v>2.3650846794522451E-2</v>
      </c>
      <c r="AM22">
        <v>0.15059410519429678</v>
      </c>
      <c r="AN22">
        <v>0</v>
      </c>
      <c r="AO22">
        <v>3.9825999137078792E-3</v>
      </c>
      <c r="AP22">
        <v>0</v>
      </c>
      <c r="AQ22">
        <v>0</v>
      </c>
      <c r="AR22">
        <v>3.7261484397559941E-2</v>
      </c>
      <c r="AS22">
        <v>0.48674947141476882</v>
      </c>
      <c r="AU22" t="s">
        <v>657</v>
      </c>
      <c r="AV22" t="s">
        <v>102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657</v>
      </c>
      <c r="BS22">
        <v>0</v>
      </c>
      <c r="BT22">
        <v>0.2648831766668196</v>
      </c>
      <c r="BU22">
        <v>1.9537459630788101E-3</v>
      </c>
      <c r="BV22">
        <v>4.0374871691071425E-3</v>
      </c>
      <c r="BW22">
        <v>0.35320419564936151</v>
      </c>
      <c r="BX22">
        <v>2.0482436729784146E-2</v>
      </c>
      <c r="BY22">
        <v>8.7158730268568126E-3</v>
      </c>
      <c r="BZ22">
        <v>0.44169451448224034</v>
      </c>
      <c r="CA22">
        <v>3.5921674922114157E-2</v>
      </c>
      <c r="CB22">
        <v>5.438609206085092E-4</v>
      </c>
      <c r="CC22">
        <v>0.26347509460880886</v>
      </c>
      <c r="CD22">
        <v>4.7425707153247159E-3</v>
      </c>
      <c r="CF22" t="s">
        <v>657</v>
      </c>
      <c r="CG22" t="s">
        <v>108</v>
      </c>
      <c r="CH22" t="s">
        <v>109</v>
      </c>
      <c r="CI22">
        <v>0.40490734405522116</v>
      </c>
    </row>
    <row r="23" spans="2:87" x14ac:dyDescent="0.45">
      <c r="B23" t="s">
        <v>658</v>
      </c>
      <c r="C23" t="s">
        <v>99</v>
      </c>
      <c r="D23">
        <v>0</v>
      </c>
      <c r="E23">
        <v>0.36703879881541573</v>
      </c>
      <c r="F23">
        <v>0.9560961593510191</v>
      </c>
      <c r="G23">
        <v>0.87848955975331033</v>
      </c>
      <c r="H23">
        <v>0.26218099036249276</v>
      </c>
      <c r="I23">
        <v>0.74541329386861654</v>
      </c>
      <c r="J23">
        <v>0.79487715491784516</v>
      </c>
      <c r="K23">
        <v>0.14816299904959107</v>
      </c>
      <c r="L23">
        <v>0.65058381216090877</v>
      </c>
      <c r="M23">
        <v>0.96128571393561391</v>
      </c>
      <c r="N23">
        <v>0.33282645550445983</v>
      </c>
      <c r="O23">
        <v>0.90392628823144372</v>
      </c>
      <c r="Q23" t="s">
        <v>658</v>
      </c>
      <c r="R23" t="s">
        <v>100</v>
      </c>
      <c r="S23">
        <v>0</v>
      </c>
      <c r="T23">
        <v>0.20690469969616337</v>
      </c>
      <c r="U23">
        <v>0.57732720672291571</v>
      </c>
      <c r="V23">
        <v>0.79004573652255417</v>
      </c>
      <c r="W23">
        <v>0.13472945990719262</v>
      </c>
      <c r="X23">
        <v>0.50746196299500368</v>
      </c>
      <c r="Y23">
        <v>0.65465087710135983</v>
      </c>
      <c r="Z23">
        <v>7.5135048431921161E-2</v>
      </c>
      <c r="AA23">
        <v>0.48074306793825056</v>
      </c>
      <c r="AB23">
        <v>0.9243131864765517</v>
      </c>
      <c r="AC23">
        <v>0.17276631149774241</v>
      </c>
      <c r="AD23">
        <v>0.39022934877894855</v>
      </c>
      <c r="AF23" t="s">
        <v>658</v>
      </c>
      <c r="AG23" t="s">
        <v>101</v>
      </c>
      <c r="AH23">
        <v>0</v>
      </c>
      <c r="AI23">
        <v>1.9637968622883022E-2</v>
      </c>
      <c r="AJ23">
        <v>0.33981688687676581</v>
      </c>
      <c r="AK23">
        <v>0</v>
      </c>
      <c r="AL23">
        <v>2.0611991555820802E-2</v>
      </c>
      <c r="AM23">
        <v>9.7161658136612553E-2</v>
      </c>
      <c r="AN23">
        <v>0</v>
      </c>
      <c r="AO23">
        <v>2.3592908553617732E-3</v>
      </c>
      <c r="AP23">
        <v>0</v>
      </c>
      <c r="AQ23">
        <v>0</v>
      </c>
      <c r="AR23">
        <v>3.2936217886191964E-2</v>
      </c>
      <c r="AS23">
        <v>0.44555431014081764</v>
      </c>
      <c r="AU23" t="s">
        <v>658</v>
      </c>
      <c r="AV23" t="s">
        <v>102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658</v>
      </c>
      <c r="BS23">
        <v>0</v>
      </c>
      <c r="BT23">
        <v>0.23771290695150799</v>
      </c>
      <c r="BU23">
        <v>1.7954333690281628E-3</v>
      </c>
      <c r="BV23">
        <v>3.9946331046518827E-3</v>
      </c>
      <c r="BW23">
        <v>0.34533076591309148</v>
      </c>
      <c r="BX23">
        <v>1.9716938876627507E-2</v>
      </c>
      <c r="BY23">
        <v>8.5530523071526022E-3</v>
      </c>
      <c r="BZ23">
        <v>0.45821259708375112</v>
      </c>
      <c r="CA23">
        <v>3.6611971866009813E-2</v>
      </c>
      <c r="CB23">
        <v>5.907911746268797E-4</v>
      </c>
      <c r="CC23">
        <v>0.26261050258799229</v>
      </c>
      <c r="CD23">
        <v>4.9275035810622094E-3</v>
      </c>
      <c r="CF23" t="s">
        <v>658</v>
      </c>
      <c r="CG23" t="s">
        <v>108</v>
      </c>
      <c r="CH23" t="s">
        <v>109</v>
      </c>
      <c r="CI23">
        <v>0.39461159532313833</v>
      </c>
    </row>
    <row r="24" spans="2:87" x14ac:dyDescent="0.45">
      <c r="B24" t="s">
        <v>659</v>
      </c>
      <c r="C24" t="s">
        <v>99</v>
      </c>
      <c r="D24">
        <v>0</v>
      </c>
      <c r="E24">
        <v>0.34210959109468919</v>
      </c>
      <c r="F24">
        <v>0.95184929854842371</v>
      </c>
      <c r="G24">
        <v>0.88346159003486047</v>
      </c>
      <c r="H24">
        <v>0.2670943715265568</v>
      </c>
      <c r="I24">
        <v>0.73643109631332204</v>
      </c>
      <c r="J24">
        <v>0.79904188049025993</v>
      </c>
      <c r="K24">
        <v>0.15289311176062725</v>
      </c>
      <c r="L24">
        <v>0.64161405824714202</v>
      </c>
      <c r="M24">
        <v>0.963201932669704</v>
      </c>
      <c r="N24">
        <v>0.33608329542730769</v>
      </c>
      <c r="O24">
        <v>0.89463444109922097</v>
      </c>
      <c r="Q24" t="s">
        <v>659</v>
      </c>
      <c r="R24" t="s">
        <v>100</v>
      </c>
      <c r="S24">
        <v>0</v>
      </c>
      <c r="T24">
        <v>0.19000733516980722</v>
      </c>
      <c r="U24">
        <v>0.48992940423559433</v>
      </c>
      <c r="V24">
        <v>0.798967942931883</v>
      </c>
      <c r="W24">
        <v>0.13348202024249087</v>
      </c>
      <c r="X24">
        <v>0.40633092290932521</v>
      </c>
      <c r="Y24">
        <v>0.6636513653613777</v>
      </c>
      <c r="Z24">
        <v>7.7413944898350601E-2</v>
      </c>
      <c r="AA24">
        <v>0.46773890657877099</v>
      </c>
      <c r="AB24">
        <v>0.9288018636457861</v>
      </c>
      <c r="AC24">
        <v>0.17588494059754242</v>
      </c>
      <c r="AD24">
        <v>0.27898468230948026</v>
      </c>
      <c r="AF24" t="s">
        <v>659</v>
      </c>
      <c r="AG24" t="s">
        <v>101</v>
      </c>
      <c r="AH24">
        <v>0</v>
      </c>
      <c r="AI24">
        <v>1.2638280302429982E-2</v>
      </c>
      <c r="AJ24">
        <v>0.41779864566979102</v>
      </c>
      <c r="AK24">
        <v>0</v>
      </c>
      <c r="AL24">
        <v>2.3599337200000861E-2</v>
      </c>
      <c r="AM24">
        <v>0.1873777053233294</v>
      </c>
      <c r="AN24">
        <v>0</v>
      </c>
      <c r="AO24">
        <v>4.2959627016756268E-3</v>
      </c>
      <c r="AP24">
        <v>0</v>
      </c>
      <c r="AQ24">
        <v>0</v>
      </c>
      <c r="AR24">
        <v>3.3861809276614592E-2</v>
      </c>
      <c r="AS24">
        <v>0.53837594444035075</v>
      </c>
      <c r="AU24" t="s">
        <v>659</v>
      </c>
      <c r="AV24" t="s">
        <v>102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659</v>
      </c>
      <c r="BS24">
        <v>0</v>
      </c>
      <c r="BT24">
        <v>0.27809737596478851</v>
      </c>
      <c r="BU24">
        <v>2.5175232857418722E-3</v>
      </c>
      <c r="BV24">
        <v>3.3116244095730413E-3</v>
      </c>
      <c r="BW24">
        <v>0.35344987813264261</v>
      </c>
      <c r="BX24">
        <v>2.2560871530371052E-2</v>
      </c>
      <c r="BY24">
        <v>7.1958145339121185E-3</v>
      </c>
      <c r="BZ24">
        <v>0.44647288831597814</v>
      </c>
      <c r="CA24">
        <v>3.9194218538932853E-2</v>
      </c>
      <c r="CB24">
        <v>3.9984778260937921E-4</v>
      </c>
      <c r="CC24">
        <v>0.26414928759552575</v>
      </c>
      <c r="CD24">
        <v>5.6232444782663947E-3</v>
      </c>
      <c r="CF24" t="s">
        <v>659</v>
      </c>
      <c r="CG24" t="s">
        <v>108</v>
      </c>
      <c r="CH24" t="s">
        <v>109</v>
      </c>
      <c r="CI24">
        <v>0.40243922821623301</v>
      </c>
    </row>
    <row r="25" spans="2:87" x14ac:dyDescent="0.45">
      <c r="B25" t="s">
        <v>660</v>
      </c>
      <c r="C25" t="s">
        <v>99</v>
      </c>
      <c r="D25">
        <v>0</v>
      </c>
      <c r="E25">
        <v>0.3157162366771028</v>
      </c>
      <c r="F25">
        <v>0.9481481481481483</v>
      </c>
      <c r="G25">
        <v>0.88125558966263562</v>
      </c>
      <c r="H25">
        <v>0.21917423566544597</v>
      </c>
      <c r="I25">
        <v>0.72276505184821149</v>
      </c>
      <c r="J25">
        <v>0.80222297935819764</v>
      </c>
      <c r="K25">
        <v>0.14389459471189012</v>
      </c>
      <c r="L25">
        <v>0.6401989773915534</v>
      </c>
      <c r="M25">
        <v>0.96366062472752156</v>
      </c>
      <c r="N25">
        <v>0.25868676643131577</v>
      </c>
      <c r="O25">
        <v>0.88894107023182567</v>
      </c>
      <c r="Q25" t="s">
        <v>660</v>
      </c>
      <c r="R25" t="s">
        <v>100</v>
      </c>
      <c r="S25">
        <v>0</v>
      </c>
      <c r="T25">
        <v>0.17267234278527135</v>
      </c>
      <c r="U25">
        <v>0.60120260966886196</v>
      </c>
      <c r="V25">
        <v>0.79104570382190909</v>
      </c>
      <c r="W25">
        <v>0.11072116214252332</v>
      </c>
      <c r="X25">
        <v>0.56121124299218783</v>
      </c>
      <c r="Y25">
        <v>0.66597008472634689</v>
      </c>
      <c r="Z25">
        <v>7.2796847343728904E-2</v>
      </c>
      <c r="AA25">
        <v>0.46192726952166008</v>
      </c>
      <c r="AB25">
        <v>0.92924417384439573</v>
      </c>
      <c r="AC25">
        <v>0.13686902127923439</v>
      </c>
      <c r="AD25">
        <v>0.76385295222716576</v>
      </c>
      <c r="AF25" t="s">
        <v>660</v>
      </c>
      <c r="AG25" t="s">
        <v>101</v>
      </c>
      <c r="AH25">
        <v>0</v>
      </c>
      <c r="AI25">
        <v>8.3883053654520839E-3</v>
      </c>
      <c r="AJ25">
        <v>0.29945038345547009</v>
      </c>
      <c r="AK25">
        <v>0</v>
      </c>
      <c r="AL25">
        <v>1.4415018794044674E-2</v>
      </c>
      <c r="AM25">
        <v>1.856323990866901E-2</v>
      </c>
      <c r="AN25">
        <v>0</v>
      </c>
      <c r="AO25">
        <v>2.1787230784706129E-3</v>
      </c>
      <c r="AP25">
        <v>0</v>
      </c>
      <c r="AQ25">
        <v>0</v>
      </c>
      <c r="AR25">
        <v>1.4056957747499439E-2</v>
      </c>
      <c r="AS25">
        <v>3.9881405021082839E-2</v>
      </c>
      <c r="AU25" t="s">
        <v>660</v>
      </c>
      <c r="AV25" t="s">
        <v>102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660</v>
      </c>
      <c r="BS25">
        <v>0</v>
      </c>
      <c r="BT25">
        <v>0.31076757640138641</v>
      </c>
      <c r="BU25">
        <v>3.2427894693873621E-3</v>
      </c>
      <c r="BV25">
        <v>3.755918893400921E-3</v>
      </c>
      <c r="BW25">
        <v>0.41713829945713732</v>
      </c>
      <c r="BX25">
        <v>2.7217419293161061E-2</v>
      </c>
      <c r="BY25">
        <v>7.1572105665077476E-3</v>
      </c>
      <c r="BZ25">
        <v>0.46954251584692919</v>
      </c>
      <c r="CA25">
        <v>4.1468048014482992E-2</v>
      </c>
      <c r="CB25">
        <v>3.6027481246836033E-4</v>
      </c>
      <c r="CC25">
        <v>0.32489100277890465</v>
      </c>
      <c r="CD25">
        <v>6.5320897623620446E-3</v>
      </c>
      <c r="CF25" t="s">
        <v>660</v>
      </c>
      <c r="CG25" t="s">
        <v>108</v>
      </c>
      <c r="CH25" t="s">
        <v>109</v>
      </c>
      <c r="CI25">
        <v>0.43021146345327421</v>
      </c>
    </row>
    <row r="26" spans="2:87" x14ac:dyDescent="0.45">
      <c r="B26" t="s">
        <v>661</v>
      </c>
      <c r="C26" t="s">
        <v>99</v>
      </c>
      <c r="D26">
        <v>0</v>
      </c>
      <c r="E26">
        <v>0.35294755981820203</v>
      </c>
      <c r="F26">
        <v>0.96666666666666667</v>
      </c>
      <c r="G26">
        <v>0.86886460893563466</v>
      </c>
      <c r="H26">
        <v>0.24792486435009828</v>
      </c>
      <c r="I26">
        <v>0.7498974181452267</v>
      </c>
      <c r="J26">
        <v>0.78976332141550731</v>
      </c>
      <c r="K26">
        <v>0.14866185874339627</v>
      </c>
      <c r="L26">
        <v>0.65300758886887733</v>
      </c>
      <c r="M26">
        <v>0.95735020361136525</v>
      </c>
      <c r="N26">
        <v>0.32893884472975915</v>
      </c>
      <c r="O26">
        <v>0.91581509668599403</v>
      </c>
      <c r="Q26" t="s">
        <v>661</v>
      </c>
      <c r="R26" t="s">
        <v>100</v>
      </c>
      <c r="S26">
        <v>0</v>
      </c>
      <c r="T26">
        <v>0.19785219114610408</v>
      </c>
      <c r="U26">
        <v>0.82315507153500167</v>
      </c>
      <c r="V26">
        <v>0.77515144250385848</v>
      </c>
      <c r="W26">
        <v>0.1281968796895589</v>
      </c>
      <c r="X26">
        <v>0.58289306149614717</v>
      </c>
      <c r="Y26">
        <v>0.6494866518385507</v>
      </c>
      <c r="Z26">
        <v>7.607093921682366E-2</v>
      </c>
      <c r="AA26">
        <v>0.48117234298964701</v>
      </c>
      <c r="AB26">
        <v>0.91921400044552792</v>
      </c>
      <c r="AC26">
        <v>0.17415782195620783</v>
      </c>
      <c r="AD26">
        <v>0.64836630057757438</v>
      </c>
      <c r="AF26" t="s">
        <v>661</v>
      </c>
      <c r="AG26" t="s">
        <v>101</v>
      </c>
      <c r="AH26">
        <v>0</v>
      </c>
      <c r="AI26">
        <v>1.4737256215901839E-2</v>
      </c>
      <c r="AJ26">
        <v>0.11128937290944281</v>
      </c>
      <c r="AK26">
        <v>0</v>
      </c>
      <c r="AL26">
        <v>1.9781329960298324E-2</v>
      </c>
      <c r="AM26">
        <v>2.441992921672826E-2</v>
      </c>
      <c r="AN26">
        <v>0</v>
      </c>
      <c r="AO26">
        <v>4.1294934337743868E-3</v>
      </c>
      <c r="AP26">
        <v>0</v>
      </c>
      <c r="AQ26">
        <v>0</v>
      </c>
      <c r="AR26">
        <v>3.2076989819653491E-2</v>
      </c>
      <c r="AS26">
        <v>0.20345184582347153</v>
      </c>
      <c r="AU26" t="s">
        <v>661</v>
      </c>
      <c r="AV26" t="s">
        <v>102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661</v>
      </c>
      <c r="BS26">
        <v>0</v>
      </c>
      <c r="BT26">
        <v>0.26879588712556352</v>
      </c>
      <c r="BU26">
        <v>1.3155065048168506E-3</v>
      </c>
      <c r="BV26">
        <v>4.882451423684259E-3</v>
      </c>
      <c r="BW26">
        <v>0.35158045882626315</v>
      </c>
      <c r="BX26">
        <v>1.7485352613266881E-2</v>
      </c>
      <c r="BY26">
        <v>1.034853708356087E-2</v>
      </c>
      <c r="BZ26">
        <v>0.43144587099320836</v>
      </c>
      <c r="CA26">
        <v>3.1440424761915074E-2</v>
      </c>
      <c r="CB26">
        <v>8.1043827376014457E-4</v>
      </c>
      <c r="CC26">
        <v>0.27689471736769261</v>
      </c>
      <c r="CD26">
        <v>3.8875514533703967E-3</v>
      </c>
      <c r="CF26" t="s">
        <v>661</v>
      </c>
      <c r="CG26" t="s">
        <v>108</v>
      </c>
      <c r="CH26" t="s">
        <v>109</v>
      </c>
      <c r="CI26">
        <v>0.36087806088670893</v>
      </c>
    </row>
    <row r="27" spans="2:87" x14ac:dyDescent="0.45">
      <c r="B27" t="s">
        <v>662</v>
      </c>
      <c r="C27" t="s">
        <v>99</v>
      </c>
      <c r="D27">
        <v>0</v>
      </c>
      <c r="E27">
        <v>0.32987832720602062</v>
      </c>
      <c r="F27">
        <v>0.96641375055654855</v>
      </c>
      <c r="G27">
        <v>0.85150275513507956</v>
      </c>
      <c r="H27">
        <v>0.20963877686704951</v>
      </c>
      <c r="I27">
        <v>0.74047319662265532</v>
      </c>
      <c r="J27">
        <v>0.78427032068518765</v>
      </c>
      <c r="K27">
        <v>0.1539452850705153</v>
      </c>
      <c r="L27">
        <v>0.65651484677509575</v>
      </c>
      <c r="M27">
        <v>0.94975462778506548</v>
      </c>
      <c r="N27">
        <v>0.2981120391305328</v>
      </c>
      <c r="O27">
        <v>0.91580084644722659</v>
      </c>
      <c r="Q27" t="s">
        <v>662</v>
      </c>
      <c r="R27" t="s">
        <v>100</v>
      </c>
      <c r="S27">
        <v>0</v>
      </c>
      <c r="T27">
        <v>0.18585186309025298</v>
      </c>
      <c r="U27">
        <v>0.93569246734684697</v>
      </c>
      <c r="V27">
        <v>0.74467257000415898</v>
      </c>
      <c r="W27">
        <v>0.1137376901411784</v>
      </c>
      <c r="X27">
        <v>0.59010288498635088</v>
      </c>
      <c r="Y27">
        <v>0.63935624119362366</v>
      </c>
      <c r="Z27">
        <v>7.9894968234781163E-2</v>
      </c>
      <c r="AA27">
        <v>0.48831990085237065</v>
      </c>
      <c r="AB27">
        <v>0.90501248437143056</v>
      </c>
      <c r="AC27">
        <v>0.15908492773098673</v>
      </c>
      <c r="AD27">
        <v>0.79482032842303474</v>
      </c>
      <c r="AF27" t="s">
        <v>662</v>
      </c>
      <c r="AG27" t="s">
        <v>101</v>
      </c>
      <c r="AH27">
        <v>0</v>
      </c>
      <c r="AI27">
        <v>9.795967601766294E-3</v>
      </c>
      <c r="AJ27">
        <v>0</v>
      </c>
      <c r="AK27">
        <v>0</v>
      </c>
      <c r="AL27">
        <v>1.0909991976123303E-2</v>
      </c>
      <c r="AM27">
        <v>0</v>
      </c>
      <c r="AN27">
        <v>0</v>
      </c>
      <c r="AO27">
        <v>2.9817244586721817E-3</v>
      </c>
      <c r="AP27">
        <v>0</v>
      </c>
      <c r="AQ27">
        <v>0</v>
      </c>
      <c r="AR27">
        <v>1.9408312858668935E-2</v>
      </c>
      <c r="AS27">
        <v>6.0925440423883773E-2</v>
      </c>
      <c r="AU27" t="s">
        <v>662</v>
      </c>
      <c r="AV27" t="s">
        <v>102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662</v>
      </c>
      <c r="BS27">
        <v>0</v>
      </c>
      <c r="BT27">
        <v>0.29437580317211126</v>
      </c>
      <c r="BU27">
        <v>1.0631598402829881E-3</v>
      </c>
      <c r="BV27">
        <v>6.5888003738013871E-3</v>
      </c>
      <c r="BW27">
        <v>0.41856523265351347</v>
      </c>
      <c r="BX27">
        <v>1.9215875287254099E-2</v>
      </c>
      <c r="BY27">
        <v>1.2360821705548149E-2</v>
      </c>
      <c r="BZ27">
        <v>0.44697433704656603</v>
      </c>
      <c r="CA27">
        <v>3.0303887556795635E-2</v>
      </c>
      <c r="CB27">
        <v>9.27002539187603E-4</v>
      </c>
      <c r="CC27">
        <v>0.30224178794887974</v>
      </c>
      <c r="CD27">
        <v>3.4979242345776038E-3</v>
      </c>
      <c r="CF27" t="s">
        <v>662</v>
      </c>
      <c r="CG27" t="s">
        <v>108</v>
      </c>
      <c r="CH27" t="s">
        <v>109</v>
      </c>
      <c r="CI27">
        <v>0.40028018043499303</v>
      </c>
    </row>
    <row r="28" spans="2:87" x14ac:dyDescent="0.45">
      <c r="B28" t="s">
        <v>663</v>
      </c>
      <c r="C28" t="s">
        <v>99</v>
      </c>
      <c r="D28">
        <v>0</v>
      </c>
      <c r="E28">
        <v>0.3716904248272086</v>
      </c>
      <c r="F28">
        <v>0.98333333333333339</v>
      </c>
      <c r="G28">
        <v>0.84803297164025604</v>
      </c>
      <c r="H28">
        <v>0.24484800112759469</v>
      </c>
      <c r="I28">
        <v>0.7638453510279507</v>
      </c>
      <c r="J28">
        <v>0.77810125538695796</v>
      </c>
      <c r="K28">
        <v>0.14767193570737785</v>
      </c>
      <c r="L28">
        <v>0.67663697402151612</v>
      </c>
      <c r="M28">
        <v>0.94432725710009868</v>
      </c>
      <c r="N28">
        <v>0.32239330958396761</v>
      </c>
      <c r="O28">
        <v>0.93556563720117469</v>
      </c>
      <c r="Q28" t="s">
        <v>663</v>
      </c>
      <c r="R28" t="s">
        <v>100</v>
      </c>
      <c r="S28">
        <v>0</v>
      </c>
      <c r="T28">
        <v>0.21822595837081041</v>
      </c>
      <c r="U28">
        <v>0.69493645776259583</v>
      </c>
      <c r="V28">
        <v>0.74234782343508587</v>
      </c>
      <c r="W28">
        <v>0.12410240497192156</v>
      </c>
      <c r="X28">
        <v>0.62604319247791451</v>
      </c>
      <c r="Y28">
        <v>0.63684667258038341</v>
      </c>
      <c r="Z28">
        <v>7.498704575099438E-2</v>
      </c>
      <c r="AA28">
        <v>0.52686783129645287</v>
      </c>
      <c r="AB28">
        <v>0.89633260254968172</v>
      </c>
      <c r="AC28">
        <v>0.17411997698736725</v>
      </c>
      <c r="AD28">
        <v>0.81518897511415167</v>
      </c>
      <c r="AF28" t="s">
        <v>663</v>
      </c>
      <c r="AG28" t="s">
        <v>101</v>
      </c>
      <c r="AH28">
        <v>0</v>
      </c>
      <c r="AI28">
        <v>1.7862139389767072E-2</v>
      </c>
      <c r="AJ28">
        <v>0.27200798668184867</v>
      </c>
      <c r="AK28">
        <v>0</v>
      </c>
      <c r="AL28">
        <v>2.0096988347090027E-2</v>
      </c>
      <c r="AM28">
        <v>0</v>
      </c>
      <c r="AN28">
        <v>0</v>
      </c>
      <c r="AO28">
        <v>1.6238622786523573E-3</v>
      </c>
      <c r="AP28">
        <v>0</v>
      </c>
      <c r="AQ28">
        <v>0</v>
      </c>
      <c r="AR28">
        <v>2.5508767974706324E-2</v>
      </c>
      <c r="AS28">
        <v>6.480566195178647E-2</v>
      </c>
      <c r="AU28" t="s">
        <v>663</v>
      </c>
      <c r="AV28" t="s">
        <v>102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663</v>
      </c>
      <c r="BS28">
        <v>0</v>
      </c>
      <c r="BT28">
        <v>0.22238041829938182</v>
      </c>
      <c r="BU28">
        <v>3.6552197217413823E-4</v>
      </c>
      <c r="BV28">
        <v>6.9389830798421929E-3</v>
      </c>
      <c r="BW28">
        <v>0.34993449196342069</v>
      </c>
      <c r="BX28">
        <v>1.3139157676147909E-2</v>
      </c>
      <c r="BY28">
        <v>1.4143763512330584E-2</v>
      </c>
      <c r="BZ28">
        <v>0.46080534096555131</v>
      </c>
      <c r="CA28">
        <v>2.7039896448048117E-2</v>
      </c>
      <c r="CB28">
        <v>1.4867577957306294E-3</v>
      </c>
      <c r="CC28">
        <v>0.26004103402337181</v>
      </c>
      <c r="CD28">
        <v>2.346193945054123E-3</v>
      </c>
      <c r="CF28" t="s">
        <v>663</v>
      </c>
      <c r="CG28" t="s">
        <v>108</v>
      </c>
      <c r="CH28" t="s">
        <v>109</v>
      </c>
      <c r="CI28">
        <v>0.42089045567016509</v>
      </c>
    </row>
    <row r="29" spans="2:87" x14ac:dyDescent="0.45">
      <c r="B29" t="s">
        <v>664</v>
      </c>
      <c r="C29" t="s">
        <v>99</v>
      </c>
      <c r="D29">
        <v>0</v>
      </c>
      <c r="E29">
        <v>0.35985916348409275</v>
      </c>
      <c r="F29">
        <v>0.96941969968564579</v>
      </c>
      <c r="G29">
        <v>0.8561118579455127</v>
      </c>
      <c r="H29">
        <v>0.23776385542697745</v>
      </c>
      <c r="I29">
        <v>0.75743940582135638</v>
      </c>
      <c r="J29">
        <v>0.78397753746955812</v>
      </c>
      <c r="K29">
        <v>0.14156746171032281</v>
      </c>
      <c r="L29">
        <v>0.66818954636089478</v>
      </c>
      <c r="M29">
        <v>0.9480986801863881</v>
      </c>
      <c r="N29">
        <v>0.30233228610775792</v>
      </c>
      <c r="O29">
        <v>0.92625729909189247</v>
      </c>
      <c r="Q29" t="s">
        <v>664</v>
      </c>
      <c r="R29" t="s">
        <v>100</v>
      </c>
      <c r="S29">
        <v>0</v>
      </c>
      <c r="T29">
        <v>0.20927876648382088</v>
      </c>
      <c r="U29">
        <v>0.94249137469437783</v>
      </c>
      <c r="V29">
        <v>0.75303347264424203</v>
      </c>
      <c r="W29">
        <v>0.12191477874356048</v>
      </c>
      <c r="X29">
        <v>0.61641635792540794</v>
      </c>
      <c r="Y29">
        <v>0.6422854708717991</v>
      </c>
      <c r="Z29">
        <v>7.0444272305524275E-2</v>
      </c>
      <c r="AA29">
        <v>0.51284134849133423</v>
      </c>
      <c r="AB29">
        <v>0.90271054172615317</v>
      </c>
      <c r="AC29">
        <v>0.15851214719908621</v>
      </c>
      <c r="AD29">
        <v>0.81025356674038096</v>
      </c>
      <c r="AF29" t="s">
        <v>664</v>
      </c>
      <c r="AG29" t="s">
        <v>101</v>
      </c>
      <c r="AH29">
        <v>0</v>
      </c>
      <c r="AI29">
        <v>1.3665826773402943E-2</v>
      </c>
      <c r="AJ29">
        <v>0</v>
      </c>
      <c r="AK29">
        <v>0</v>
      </c>
      <c r="AL29">
        <v>1.7852319433114404E-2</v>
      </c>
      <c r="AM29">
        <v>0</v>
      </c>
      <c r="AN29">
        <v>0</v>
      </c>
      <c r="AO29">
        <v>2.6931293423495908E-3</v>
      </c>
      <c r="AP29">
        <v>0</v>
      </c>
      <c r="AQ29">
        <v>0</v>
      </c>
      <c r="AR29">
        <v>2.4096275089377162E-2</v>
      </c>
      <c r="AS29">
        <v>6.0360094359851006E-2</v>
      </c>
      <c r="AU29" t="s">
        <v>664</v>
      </c>
      <c r="AV29" t="s">
        <v>102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664</v>
      </c>
      <c r="BS29">
        <v>0</v>
      </c>
      <c r="BT29">
        <v>0.23921284797684647</v>
      </c>
      <c r="BU29">
        <v>7.0241638604470074E-4</v>
      </c>
      <c r="BV29">
        <v>6.0229038831760623E-3</v>
      </c>
      <c r="BW29">
        <v>0.3439744785186995</v>
      </c>
      <c r="BX29">
        <v>1.5029422108441636E-2</v>
      </c>
      <c r="BY29">
        <v>1.208902561535243E-2</v>
      </c>
      <c r="BZ29">
        <v>0.45771409433039328</v>
      </c>
      <c r="CA29">
        <v>2.9537239443051783E-2</v>
      </c>
      <c r="CB29">
        <v>1.1745752684579509E-3</v>
      </c>
      <c r="CC29">
        <v>0.2682866955791775</v>
      </c>
      <c r="CD29">
        <v>2.961912275458777E-3</v>
      </c>
      <c r="CF29" t="s">
        <v>664</v>
      </c>
      <c r="CG29" t="s">
        <v>108</v>
      </c>
      <c r="CH29" t="s">
        <v>109</v>
      </c>
      <c r="CI29">
        <v>0.39306064616041725</v>
      </c>
    </row>
    <row r="30" spans="2:87" x14ac:dyDescent="0.45">
      <c r="B30" t="s">
        <v>665</v>
      </c>
      <c r="C30" t="s">
        <v>99</v>
      </c>
      <c r="D30">
        <v>0</v>
      </c>
      <c r="E30">
        <v>0.35633071792273152</v>
      </c>
      <c r="F30">
        <v>0.97417001190041763</v>
      </c>
      <c r="G30">
        <v>0.85563283641224308</v>
      </c>
      <c r="H30">
        <v>0.22380907887515461</v>
      </c>
      <c r="I30">
        <v>0.76074667514342142</v>
      </c>
      <c r="J30">
        <v>0.78552952445035029</v>
      </c>
      <c r="K30">
        <v>0.14266019549600439</v>
      </c>
      <c r="L30">
        <v>0.67476191238531935</v>
      </c>
      <c r="M30">
        <v>0.95035786187704974</v>
      </c>
      <c r="N30">
        <v>0.29317987634234677</v>
      </c>
      <c r="O30">
        <v>0.92970663669858378</v>
      </c>
      <c r="Q30" t="s">
        <v>665</v>
      </c>
      <c r="R30" t="s">
        <v>100</v>
      </c>
      <c r="S30">
        <v>0</v>
      </c>
      <c r="T30">
        <v>0.20121290349672524</v>
      </c>
      <c r="U30">
        <v>0.95129134928809211</v>
      </c>
      <c r="V30">
        <v>0.75408842017685118</v>
      </c>
      <c r="W30">
        <v>0.11930839337131974</v>
      </c>
      <c r="X30">
        <v>0.62230384841825348</v>
      </c>
      <c r="Y30">
        <v>0.64305777671901088</v>
      </c>
      <c r="Z30">
        <v>7.0954747982282032E-2</v>
      </c>
      <c r="AA30">
        <v>0.52622863840787171</v>
      </c>
      <c r="AB30">
        <v>0.90666667194118389</v>
      </c>
      <c r="AC30">
        <v>0.1543880618881053</v>
      </c>
      <c r="AD30">
        <v>0.87247156215628485</v>
      </c>
      <c r="AF30" t="s">
        <v>665</v>
      </c>
      <c r="AG30" t="s">
        <v>101</v>
      </c>
      <c r="AH30">
        <v>0</v>
      </c>
      <c r="AI30">
        <v>1.868868606075004E-2</v>
      </c>
      <c r="AJ30">
        <v>0</v>
      </c>
      <c r="AK30">
        <v>0</v>
      </c>
      <c r="AL30">
        <v>9.7308706077002573E-3</v>
      </c>
      <c r="AM30">
        <v>0</v>
      </c>
      <c r="AN30">
        <v>0</v>
      </c>
      <c r="AO30">
        <v>1.3053244431167844E-3</v>
      </c>
      <c r="AP30">
        <v>0</v>
      </c>
      <c r="AQ30">
        <v>0</v>
      </c>
      <c r="AR30">
        <v>1.7423013710665236E-2</v>
      </c>
      <c r="AS30">
        <v>0</v>
      </c>
      <c r="AU30" t="s">
        <v>665</v>
      </c>
      <c r="AV30" t="s">
        <v>102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665</v>
      </c>
      <c r="BS30">
        <v>0</v>
      </c>
      <c r="BT30">
        <v>0.23190537590840057</v>
      </c>
      <c r="BU30">
        <v>7.8715994113535872E-4</v>
      </c>
      <c r="BV30">
        <v>6.5080980261549657E-3</v>
      </c>
      <c r="BW30">
        <v>0.3764489272104688</v>
      </c>
      <c r="BX30">
        <v>1.613535554923818E-2</v>
      </c>
      <c r="BY30">
        <v>1.2387700020036497E-2</v>
      </c>
      <c r="BZ30">
        <v>0.47638843286764077</v>
      </c>
      <c r="CA30">
        <v>3.0059961515793723E-2</v>
      </c>
      <c r="CB30">
        <v>1.3077992521746162E-3</v>
      </c>
      <c r="CC30">
        <v>0.28575366494731513</v>
      </c>
      <c r="CD30">
        <v>3.0396782593222218E-3</v>
      </c>
      <c r="CF30" t="s">
        <v>665</v>
      </c>
      <c r="CG30" t="s">
        <v>108</v>
      </c>
      <c r="CH30" t="s">
        <v>109</v>
      </c>
      <c r="CI30">
        <v>0.42235445965603879</v>
      </c>
    </row>
    <row r="31" spans="2:87" x14ac:dyDescent="0.45">
      <c r="B31" t="s">
        <v>666</v>
      </c>
      <c r="C31" t="s">
        <v>99</v>
      </c>
      <c r="D31">
        <v>0</v>
      </c>
      <c r="E31">
        <v>0.36140886184372428</v>
      </c>
      <c r="F31">
        <v>0.96431848221159611</v>
      </c>
      <c r="G31">
        <v>0.86696271814306913</v>
      </c>
      <c r="H31">
        <v>0.24244677434394027</v>
      </c>
      <c r="I31">
        <v>0.75618567373035717</v>
      </c>
      <c r="J31">
        <v>0.78969508559606261</v>
      </c>
      <c r="K31">
        <v>0.14174653381885194</v>
      </c>
      <c r="L31">
        <v>0.66401655393603554</v>
      </c>
      <c r="M31">
        <v>0.95540447037388765</v>
      </c>
      <c r="N31">
        <v>0.30516175238080251</v>
      </c>
      <c r="O31">
        <v>0.9175798163520491</v>
      </c>
      <c r="Q31" t="s">
        <v>666</v>
      </c>
      <c r="R31" t="s">
        <v>100</v>
      </c>
      <c r="S31">
        <v>0</v>
      </c>
      <c r="T31">
        <v>0.20683582612293902</v>
      </c>
      <c r="U31">
        <v>0.72112352460034534</v>
      </c>
      <c r="V31">
        <v>0.77277580070171836</v>
      </c>
      <c r="W31">
        <v>0.12608301038200759</v>
      </c>
      <c r="X31">
        <v>0.61579641923022865</v>
      </c>
      <c r="Y31">
        <v>0.64947608857761685</v>
      </c>
      <c r="Z31">
        <v>7.0309170873890076E-2</v>
      </c>
      <c r="AA31">
        <v>0.50390820580472784</v>
      </c>
      <c r="AB31">
        <v>0.91340866947833199</v>
      </c>
      <c r="AC31">
        <v>0.1603648486816425</v>
      </c>
      <c r="AD31">
        <v>0.79835480639694223</v>
      </c>
      <c r="AF31" t="s">
        <v>666</v>
      </c>
      <c r="AG31" t="s">
        <v>101</v>
      </c>
      <c r="AH31">
        <v>0</v>
      </c>
      <c r="AI31">
        <v>1.8550568011396297E-2</v>
      </c>
      <c r="AJ31">
        <v>0.21070771879223801</v>
      </c>
      <c r="AK31">
        <v>0</v>
      </c>
      <c r="AL31">
        <v>1.7902333746450824E-2</v>
      </c>
      <c r="AM31">
        <v>0</v>
      </c>
      <c r="AN31">
        <v>0</v>
      </c>
      <c r="AO31">
        <v>1.1686374515123006E-3</v>
      </c>
      <c r="AP31">
        <v>0</v>
      </c>
      <c r="AQ31">
        <v>0</v>
      </c>
      <c r="AR31">
        <v>3.0169075951470517E-2</v>
      </c>
      <c r="AS31">
        <v>5.4848710834102969E-2</v>
      </c>
      <c r="AU31" t="s">
        <v>666</v>
      </c>
      <c r="AV31" t="s">
        <v>102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666</v>
      </c>
      <c r="BS31">
        <v>0</v>
      </c>
      <c r="BT31">
        <v>0.23575804100383954</v>
      </c>
      <c r="BU31">
        <v>1.2005580916802292E-3</v>
      </c>
      <c r="BV31">
        <v>5.2284942570330721E-3</v>
      </c>
      <c r="BW31">
        <v>0.35475354421409849</v>
      </c>
      <c r="BX31">
        <v>1.7360346451495309E-2</v>
      </c>
      <c r="BY31">
        <v>1.0433887688964943E-2</v>
      </c>
      <c r="BZ31">
        <v>0.4688030762811532</v>
      </c>
      <c r="CA31">
        <v>3.2298506655239791E-2</v>
      </c>
      <c r="CB31">
        <v>9.9375771226855756E-4</v>
      </c>
      <c r="CC31">
        <v>0.27189607324624193</v>
      </c>
      <c r="CD31">
        <v>3.808060387147749E-3</v>
      </c>
      <c r="CF31" t="s">
        <v>666</v>
      </c>
      <c r="CG31" t="s">
        <v>108</v>
      </c>
      <c r="CH31" t="s">
        <v>109</v>
      </c>
      <c r="CI31">
        <v>0.42306047979272077</v>
      </c>
    </row>
    <row r="32" spans="2:87" x14ac:dyDescent="0.45">
      <c r="B32" t="s">
        <v>667</v>
      </c>
      <c r="C32" t="s">
        <v>99</v>
      </c>
      <c r="D32">
        <v>0</v>
      </c>
      <c r="E32">
        <v>0.33703500560652655</v>
      </c>
      <c r="F32">
        <v>0.96645914508316833</v>
      </c>
      <c r="G32">
        <v>0.85277095967773819</v>
      </c>
      <c r="H32">
        <v>0.19942978094549602</v>
      </c>
      <c r="I32">
        <v>0.76210686498377711</v>
      </c>
      <c r="J32">
        <v>0.78809157145352771</v>
      </c>
      <c r="K32">
        <v>0.13793614350972899</v>
      </c>
      <c r="L32">
        <v>0.68117950632927626</v>
      </c>
      <c r="M32">
        <v>0.94237008438838366</v>
      </c>
      <c r="N32">
        <v>0.26439396835802692</v>
      </c>
      <c r="O32">
        <v>0.9252073384691567</v>
      </c>
      <c r="Q32" t="s">
        <v>667</v>
      </c>
      <c r="R32" t="s">
        <v>100</v>
      </c>
      <c r="S32">
        <v>0</v>
      </c>
      <c r="T32">
        <v>0.19336526898574405</v>
      </c>
      <c r="U32">
        <v>0.82443037873742997</v>
      </c>
      <c r="V32">
        <v>0.7492423952697701</v>
      </c>
      <c r="W32">
        <v>0.10633168846841613</v>
      </c>
      <c r="X32">
        <v>0.61836057549224932</v>
      </c>
      <c r="Y32">
        <v>0.64889320990299382</v>
      </c>
      <c r="Z32">
        <v>6.8400760817310821E-2</v>
      </c>
      <c r="AA32">
        <v>0.53695992756532829</v>
      </c>
      <c r="AB32">
        <v>0.89373069612201228</v>
      </c>
      <c r="AC32">
        <v>0.13518677001436954</v>
      </c>
      <c r="AD32">
        <v>0.86515246907349297</v>
      </c>
      <c r="AF32" t="s">
        <v>667</v>
      </c>
      <c r="AG32" t="s">
        <v>101</v>
      </c>
      <c r="AH32">
        <v>0</v>
      </c>
      <c r="AI32">
        <v>1.5021318072577495E-2</v>
      </c>
      <c r="AJ32">
        <v>0.11148282660869098</v>
      </c>
      <c r="AK32">
        <v>0</v>
      </c>
      <c r="AL32">
        <v>8.1520718773072827E-3</v>
      </c>
      <c r="AM32">
        <v>0</v>
      </c>
      <c r="AN32">
        <v>0</v>
      </c>
      <c r="AO32">
        <v>1.813353940217771E-3</v>
      </c>
      <c r="AP32">
        <v>0</v>
      </c>
      <c r="AQ32">
        <v>0</v>
      </c>
      <c r="AR32">
        <v>1.9899310188883374E-2</v>
      </c>
      <c r="AS32">
        <v>0</v>
      </c>
      <c r="AU32" t="s">
        <v>667</v>
      </c>
      <c r="AV32" t="s">
        <v>102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667</v>
      </c>
      <c r="BS32">
        <v>0</v>
      </c>
      <c r="BT32">
        <v>0.2480475695571937</v>
      </c>
      <c r="BU32">
        <v>9.9198951863053975E-4</v>
      </c>
      <c r="BV32">
        <v>6.3990289704153767E-3</v>
      </c>
      <c r="BW32">
        <v>0.39549633535643858</v>
      </c>
      <c r="BX32">
        <v>1.6536113582965604E-2</v>
      </c>
      <c r="BY32">
        <v>1.2410893674017001E-2</v>
      </c>
      <c r="BZ32">
        <v>0.48915910650881733</v>
      </c>
      <c r="CA32">
        <v>2.8973279548595455E-2</v>
      </c>
      <c r="CB32">
        <v>1.4447351287170398E-3</v>
      </c>
      <c r="CC32">
        <v>0.31023456597179544</v>
      </c>
      <c r="CD32">
        <v>3.2095116863601596E-3</v>
      </c>
      <c r="CF32" t="s">
        <v>667</v>
      </c>
      <c r="CG32" t="s">
        <v>108</v>
      </c>
      <c r="CH32" t="s">
        <v>109</v>
      </c>
      <c r="CI32">
        <v>0.41028913347726442</v>
      </c>
    </row>
    <row r="33" spans="2:87" x14ac:dyDescent="0.45">
      <c r="B33" t="s">
        <v>668</v>
      </c>
      <c r="C33" t="s">
        <v>99</v>
      </c>
      <c r="D33">
        <v>0</v>
      </c>
      <c r="E33">
        <v>0.34300682944814487</v>
      </c>
      <c r="F33">
        <v>0.96111111111111114</v>
      </c>
      <c r="G33">
        <v>0.86475338139462365</v>
      </c>
      <c r="H33">
        <v>0.21782428102065404</v>
      </c>
      <c r="I33">
        <v>0.7551346292895933</v>
      </c>
      <c r="J33">
        <v>0.79217523393645461</v>
      </c>
      <c r="K33">
        <v>0.13819992283510735</v>
      </c>
      <c r="L33">
        <v>0.670933675574789</v>
      </c>
      <c r="M33">
        <v>0.95520627929174429</v>
      </c>
      <c r="N33">
        <v>0.27739562084345176</v>
      </c>
      <c r="O33">
        <v>0.9147927917135189</v>
      </c>
      <c r="Q33" t="s">
        <v>668</v>
      </c>
      <c r="R33" t="s">
        <v>100</v>
      </c>
      <c r="S33">
        <v>0</v>
      </c>
      <c r="T33">
        <v>0.19271545227364439</v>
      </c>
      <c r="U33">
        <v>0.75158242897319205</v>
      </c>
      <c r="V33">
        <v>0.76964976714575029</v>
      </c>
      <c r="W33">
        <v>0.11222587434360977</v>
      </c>
      <c r="X33">
        <v>0.61436090840451274</v>
      </c>
      <c r="Y33">
        <v>0.65368973603546177</v>
      </c>
      <c r="Z33">
        <v>7.0109137379807784E-2</v>
      </c>
      <c r="AA33">
        <v>0.51651248878519085</v>
      </c>
      <c r="AB33">
        <v>0.91321919009210661</v>
      </c>
      <c r="AC33">
        <v>0.14677168257203893</v>
      </c>
      <c r="AD33">
        <v>0.79937021243445527</v>
      </c>
      <c r="AF33" t="s">
        <v>668</v>
      </c>
      <c r="AG33" t="s">
        <v>101</v>
      </c>
      <c r="AH33">
        <v>0</v>
      </c>
      <c r="AI33">
        <v>1.8573019093762442E-2</v>
      </c>
      <c r="AJ33">
        <v>0.1731182118431365</v>
      </c>
      <c r="AK33">
        <v>0</v>
      </c>
      <c r="AL33">
        <v>1.2113143341631463E-2</v>
      </c>
      <c r="AM33">
        <v>0</v>
      </c>
      <c r="AN33">
        <v>0</v>
      </c>
      <c r="AO33">
        <v>7.1293139113839165E-5</v>
      </c>
      <c r="AP33">
        <v>0</v>
      </c>
      <c r="AQ33">
        <v>0</v>
      </c>
      <c r="AR33">
        <v>1.911146496504593E-2</v>
      </c>
      <c r="AS33">
        <v>5.0972357224380288E-2</v>
      </c>
      <c r="AU33" t="s">
        <v>668</v>
      </c>
      <c r="AV33" t="s">
        <v>102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668</v>
      </c>
      <c r="BS33">
        <v>0</v>
      </c>
      <c r="BT33">
        <v>0.25606359507988957</v>
      </c>
      <c r="BU33">
        <v>1.4901669231505909E-3</v>
      </c>
      <c r="BV33">
        <v>5.1439010158754427E-3</v>
      </c>
      <c r="BW33">
        <v>0.38374915832867595</v>
      </c>
      <c r="BX33">
        <v>1.9311976432608107E-2</v>
      </c>
      <c r="BY33">
        <v>1.0457617374403655E-2</v>
      </c>
      <c r="BZ33">
        <v>0.49177309183740958</v>
      </c>
      <c r="CA33">
        <v>3.3438070655739928E-2</v>
      </c>
      <c r="CB33">
        <v>9.9825358969934204E-4</v>
      </c>
      <c r="CC33">
        <v>0.29733363439260313</v>
      </c>
      <c r="CD33">
        <v>4.0716151183873839E-3</v>
      </c>
      <c r="CF33" t="s">
        <v>668</v>
      </c>
      <c r="CG33" t="s">
        <v>108</v>
      </c>
      <c r="CH33" t="s">
        <v>109</v>
      </c>
      <c r="CI33">
        <v>0.4248990786456443</v>
      </c>
    </row>
    <row r="34" spans="2:87" x14ac:dyDescent="0.45">
      <c r="B34" t="s">
        <v>669</v>
      </c>
      <c r="C34" t="s">
        <v>99</v>
      </c>
      <c r="D34">
        <v>0</v>
      </c>
      <c r="E34">
        <v>0.32198245989989055</v>
      </c>
      <c r="F34">
        <v>0.9609670771938541</v>
      </c>
      <c r="G34">
        <v>0.85802651244576911</v>
      </c>
      <c r="H34">
        <v>0.19732416686848631</v>
      </c>
      <c r="I34">
        <v>0.757781163996742</v>
      </c>
      <c r="J34">
        <v>0.79304426886953694</v>
      </c>
      <c r="K34">
        <v>0.1326082947031875</v>
      </c>
      <c r="L34">
        <v>0.67697237542844946</v>
      </c>
      <c r="M34">
        <v>0.95028785085400358</v>
      </c>
      <c r="N34">
        <v>0.25192893598100752</v>
      </c>
      <c r="O34">
        <v>0.91656722426067982</v>
      </c>
      <c r="Q34" t="s">
        <v>669</v>
      </c>
      <c r="R34" t="s">
        <v>100</v>
      </c>
      <c r="S34">
        <v>0</v>
      </c>
      <c r="T34">
        <v>0.1770860012576613</v>
      </c>
      <c r="U34">
        <v>0.92466458213773739</v>
      </c>
      <c r="V34">
        <v>0.75845464483017211</v>
      </c>
      <c r="W34">
        <v>0.10165353697401207</v>
      </c>
      <c r="X34">
        <v>0.61657346320770845</v>
      </c>
      <c r="Y34">
        <v>0.6547010332247063</v>
      </c>
      <c r="Z34">
        <v>6.7226310116064961E-2</v>
      </c>
      <c r="AA34">
        <v>0.53089605160997444</v>
      </c>
      <c r="AB34">
        <v>0.90460093494756089</v>
      </c>
      <c r="AC34">
        <v>0.13256260497347869</v>
      </c>
      <c r="AD34">
        <v>0.85148161261523569</v>
      </c>
      <c r="AF34" t="s">
        <v>669</v>
      </c>
      <c r="AG34" t="s">
        <v>101</v>
      </c>
      <c r="AH34">
        <v>0</v>
      </c>
      <c r="AI34">
        <v>1.5287452717214689E-2</v>
      </c>
      <c r="AJ34">
        <v>0</v>
      </c>
      <c r="AK34">
        <v>0</v>
      </c>
      <c r="AL34">
        <v>8.5109172682614753E-3</v>
      </c>
      <c r="AM34">
        <v>0</v>
      </c>
      <c r="AN34">
        <v>0</v>
      </c>
      <c r="AO34">
        <v>1.7560569590113157E-4</v>
      </c>
      <c r="AP34">
        <v>0</v>
      </c>
      <c r="AQ34">
        <v>0</v>
      </c>
      <c r="AR34">
        <v>1.150998697358924E-2</v>
      </c>
      <c r="AS34">
        <v>0</v>
      </c>
      <c r="AU34" t="s">
        <v>669</v>
      </c>
      <c r="AV34" t="s">
        <v>102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669</v>
      </c>
      <c r="BS34">
        <v>0</v>
      </c>
      <c r="BT34">
        <v>0.27586417434087146</v>
      </c>
      <c r="BU34">
        <v>1.69889720874399E-3</v>
      </c>
      <c r="BV34">
        <v>5.8252368177623822E-3</v>
      </c>
      <c r="BW34">
        <v>0.42258221752287012</v>
      </c>
      <c r="BX34">
        <v>1.9929702845584485E-2</v>
      </c>
      <c r="BY34">
        <v>1.0916727954524974E-2</v>
      </c>
      <c r="BZ34">
        <v>0.50205382089923445</v>
      </c>
      <c r="CA34">
        <v>3.2976683139098101E-2</v>
      </c>
      <c r="CB34">
        <v>1.1978348927084671E-3</v>
      </c>
      <c r="CC34">
        <v>0.33024475001967041</v>
      </c>
      <c r="CD34">
        <v>4.1558195803722926E-3</v>
      </c>
      <c r="CF34" t="s">
        <v>669</v>
      </c>
      <c r="CG34" t="s">
        <v>108</v>
      </c>
      <c r="CH34" t="s">
        <v>109</v>
      </c>
      <c r="CI34">
        <v>0.41114854578476695</v>
      </c>
    </row>
    <row r="35" spans="2:87" x14ac:dyDescent="0.45">
      <c r="B35" t="s">
        <v>670</v>
      </c>
      <c r="C35" t="s">
        <v>99</v>
      </c>
      <c r="D35">
        <v>0.39012218029085222</v>
      </c>
      <c r="E35">
        <v>0.37722725606122792</v>
      </c>
      <c r="F35">
        <v>0.37760377909318021</v>
      </c>
      <c r="G35">
        <v>0.35078772292460508</v>
      </c>
      <c r="H35">
        <v>0.3389537509341925</v>
      </c>
      <c r="I35">
        <v>0.31674189358747667</v>
      </c>
      <c r="J35">
        <v>0.29755472896300428</v>
      </c>
      <c r="K35">
        <v>0.42209772878705992</v>
      </c>
      <c r="L35">
        <v>0.33566451175488654</v>
      </c>
      <c r="M35">
        <v>0.4224241482752964</v>
      </c>
      <c r="N35">
        <v>0.43394115630669355</v>
      </c>
      <c r="O35">
        <v>0.39103188896089341</v>
      </c>
      <c r="Q35" t="s">
        <v>670</v>
      </c>
      <c r="R35" t="s">
        <v>100</v>
      </c>
      <c r="S35">
        <v>1.2770116591838559E-2</v>
      </c>
      <c r="T35">
        <v>2.7658977413176741E-2</v>
      </c>
      <c r="U35">
        <v>3.4984956291283585E-2</v>
      </c>
      <c r="V35">
        <v>2.6692760864661408E-2</v>
      </c>
      <c r="W35">
        <v>3.7067648275803486E-2</v>
      </c>
      <c r="X35">
        <v>3.0738797696041553E-2</v>
      </c>
      <c r="Y35">
        <v>2.3168793841117939E-2</v>
      </c>
      <c r="Z35">
        <v>3.992900675479219E-2</v>
      </c>
      <c r="AA35">
        <v>6.0190158266589126E-2</v>
      </c>
      <c r="AB35">
        <v>4.6880921781232668E-2</v>
      </c>
      <c r="AC35">
        <v>3.2601158932568819E-2</v>
      </c>
      <c r="AD35">
        <v>2.2501509758346059E-2</v>
      </c>
      <c r="AF35" t="s">
        <v>670</v>
      </c>
      <c r="AG35" t="s">
        <v>101</v>
      </c>
      <c r="AH35">
        <v>3.7988250076746645E-2</v>
      </c>
      <c r="AI35">
        <v>1.8525974915429389E-2</v>
      </c>
      <c r="AJ35">
        <v>5.8545851774844108E-2</v>
      </c>
      <c r="AK35">
        <v>4.3182101561513968E-2</v>
      </c>
      <c r="AL35">
        <v>4.5490312009708558E-2</v>
      </c>
      <c r="AM35">
        <v>4.1172478300082756E-2</v>
      </c>
      <c r="AN35">
        <v>4.7072435542830804E-2</v>
      </c>
      <c r="AO35">
        <v>5.2456407314478849E-2</v>
      </c>
      <c r="AP35">
        <v>3.4143099251342596E-2</v>
      </c>
      <c r="AQ35">
        <v>5.6692698868256515E-2</v>
      </c>
      <c r="AR35">
        <v>4.0126645081770496E-2</v>
      </c>
      <c r="AS35">
        <v>4.0432582591636582E-2</v>
      </c>
      <c r="AU35" t="s">
        <v>670</v>
      </c>
      <c r="AV35" t="s">
        <v>102</v>
      </c>
      <c r="AW35">
        <v>0.19989574081144851</v>
      </c>
      <c r="AX35">
        <v>0.18883839684363665</v>
      </c>
      <c r="AY35">
        <v>0.13723134092500031</v>
      </c>
      <c r="AZ35">
        <v>0.15954086107074136</v>
      </c>
      <c r="BA35">
        <v>0.13460711434309661</v>
      </c>
      <c r="BB35">
        <v>0.13064040010880895</v>
      </c>
      <c r="BC35">
        <v>0.12905367482470975</v>
      </c>
      <c r="BD35">
        <v>0.19955322418868049</v>
      </c>
      <c r="BE35">
        <v>0.12414655910395254</v>
      </c>
      <c r="BF35">
        <v>0.20365301615998954</v>
      </c>
      <c r="BG35">
        <v>0.22808080114032228</v>
      </c>
      <c r="BH35">
        <v>0.20827027533576742</v>
      </c>
      <c r="BR35" t="s">
        <v>670</v>
      </c>
      <c r="BS35">
        <v>0.30420901571495057</v>
      </c>
      <c r="BT35">
        <v>0.31742274277714894</v>
      </c>
      <c r="BU35">
        <v>0.31789744261730796</v>
      </c>
      <c r="BV35">
        <v>0.28353483632950544</v>
      </c>
      <c r="BW35">
        <v>0.29820598387635761</v>
      </c>
      <c r="BX35">
        <v>0.30892152221126024</v>
      </c>
      <c r="BY35">
        <v>0.18630030699856934</v>
      </c>
      <c r="BZ35">
        <v>0.13067545512696024</v>
      </c>
      <c r="CA35">
        <v>0.15788494177493989</v>
      </c>
      <c r="CB35">
        <v>0.17879959583084637</v>
      </c>
      <c r="CC35">
        <v>0.18996952663757438</v>
      </c>
      <c r="CD35">
        <v>0.19225804498292684</v>
      </c>
      <c r="CF35" t="s">
        <v>671</v>
      </c>
      <c r="CG35" t="s">
        <v>108</v>
      </c>
      <c r="CH35" t="s">
        <v>109</v>
      </c>
      <c r="CI35">
        <v>0.1377488885498207</v>
      </c>
    </row>
    <row r="36" spans="2:87" x14ac:dyDescent="0.45">
      <c r="B36" t="s">
        <v>672</v>
      </c>
      <c r="C36" t="s">
        <v>99</v>
      </c>
      <c r="D36">
        <v>0.37451547992590201</v>
      </c>
      <c r="E36">
        <v>0.39137381846664965</v>
      </c>
      <c r="F36">
        <v>0.3769560787406277</v>
      </c>
      <c r="G36">
        <v>0.35367333530333117</v>
      </c>
      <c r="H36">
        <v>0.37069164227407431</v>
      </c>
      <c r="I36">
        <v>0.34142934382358364</v>
      </c>
      <c r="J36">
        <v>0.33020409776969589</v>
      </c>
      <c r="K36">
        <v>0.33728032588373202</v>
      </c>
      <c r="L36">
        <v>0.35202716648987215</v>
      </c>
      <c r="M36">
        <v>0.42747832795328528</v>
      </c>
      <c r="N36">
        <v>0.43074845628286945</v>
      </c>
      <c r="O36">
        <v>0.44155173912318474</v>
      </c>
      <c r="Q36" t="s">
        <v>672</v>
      </c>
      <c r="R36" t="s">
        <v>100</v>
      </c>
      <c r="S36">
        <v>1.4581904335425718E-2</v>
      </c>
      <c r="T36">
        <v>2.5737129768975724E-2</v>
      </c>
      <c r="U36">
        <v>3.3753531382036378E-2</v>
      </c>
      <c r="V36">
        <v>2.2943726748563494E-2</v>
      </c>
      <c r="W36">
        <v>2.9942132311454876E-2</v>
      </c>
      <c r="X36">
        <v>2.9696585336261825E-2</v>
      </c>
      <c r="Y36">
        <v>1.8388122825445771E-2</v>
      </c>
      <c r="Z36">
        <v>1.9990860172255858E-2</v>
      </c>
      <c r="AA36">
        <v>2.2820041837237386E-2</v>
      </c>
      <c r="AB36">
        <v>1.5358039225838947E-2</v>
      </c>
      <c r="AC36">
        <v>2.572840121407171E-2</v>
      </c>
      <c r="AD36">
        <v>3.8844691493665706E-2</v>
      </c>
      <c r="AF36" t="s">
        <v>672</v>
      </c>
      <c r="AG36" t="s">
        <v>101</v>
      </c>
      <c r="AH36">
        <v>3.4167874919684538E-2</v>
      </c>
      <c r="AI36">
        <v>2.371732008530731E-2</v>
      </c>
      <c r="AJ36">
        <v>5.7173714040072508E-2</v>
      </c>
      <c r="AK36">
        <v>4.5351709592846672E-2</v>
      </c>
      <c r="AL36">
        <v>2.3761038540448299E-2</v>
      </c>
      <c r="AM36">
        <v>5.3793183193411323E-2</v>
      </c>
      <c r="AN36">
        <v>2.4451605437319279E-2</v>
      </c>
      <c r="AO36">
        <v>2.6296674625467153E-2</v>
      </c>
      <c r="AP36">
        <v>1.2268873434014692E-2</v>
      </c>
      <c r="AQ36">
        <v>4.8536787387117052E-2</v>
      </c>
      <c r="AR36">
        <v>3.9148510781830362E-2</v>
      </c>
      <c r="AS36">
        <v>5.0995608852160042E-2</v>
      </c>
      <c r="AU36" t="s">
        <v>672</v>
      </c>
      <c r="AV36" t="s">
        <v>102</v>
      </c>
      <c r="AW36">
        <v>0.18581789961566772</v>
      </c>
      <c r="AX36">
        <v>0.19923706265954769</v>
      </c>
      <c r="AY36">
        <v>0.13511784187476689</v>
      </c>
      <c r="AZ36">
        <v>0.16418492240129998</v>
      </c>
      <c r="BA36">
        <v>0.19231819914278911</v>
      </c>
      <c r="BB36">
        <v>0.14057331289175534</v>
      </c>
      <c r="BC36">
        <v>0.16810988573698568</v>
      </c>
      <c r="BD36">
        <v>0.18087728417323187</v>
      </c>
      <c r="BE36">
        <v>0.21078685876103129</v>
      </c>
      <c r="BF36">
        <v>0.22945770336978896</v>
      </c>
      <c r="BG36">
        <v>0.22825007638373429</v>
      </c>
      <c r="BH36">
        <v>0.20987168438880272</v>
      </c>
      <c r="BR36" t="s">
        <v>672</v>
      </c>
      <c r="BS36">
        <v>0.37469851490513262</v>
      </c>
      <c r="BT36">
        <v>0.36404590423899086</v>
      </c>
      <c r="BU36">
        <v>0.39321656680541955</v>
      </c>
      <c r="BV36">
        <v>0.36601608424276655</v>
      </c>
      <c r="BW36">
        <v>0.32458666405970843</v>
      </c>
      <c r="BX36">
        <v>0.37511740627191942</v>
      </c>
      <c r="BY36">
        <v>0.26667778234288519</v>
      </c>
      <c r="BZ36">
        <v>0.21026460185101153</v>
      </c>
      <c r="CA36">
        <v>0.2254701028200812</v>
      </c>
      <c r="CB36">
        <v>0.26157704293922679</v>
      </c>
      <c r="CC36">
        <v>0.24877257302257813</v>
      </c>
      <c r="CD36">
        <v>0.28184636946892228</v>
      </c>
      <c r="CF36" t="s">
        <v>673</v>
      </c>
      <c r="CG36" t="s">
        <v>108</v>
      </c>
      <c r="CH36" t="s">
        <v>109</v>
      </c>
      <c r="CI36">
        <v>0.15985961626196854</v>
      </c>
    </row>
    <row r="37" spans="2:87" x14ac:dyDescent="0.45">
      <c r="B37" t="s">
        <v>674</v>
      </c>
      <c r="C37" t="s">
        <v>99</v>
      </c>
      <c r="D37">
        <v>0.41250186599114902</v>
      </c>
      <c r="E37">
        <v>0.41089683764364593</v>
      </c>
      <c r="F37">
        <v>0.43262088683834737</v>
      </c>
      <c r="G37">
        <v>0.40448796742865922</v>
      </c>
      <c r="H37">
        <v>0.42060556870218968</v>
      </c>
      <c r="I37">
        <v>0.38617085996563466</v>
      </c>
      <c r="J37">
        <v>0.39773780353208882</v>
      </c>
      <c r="K37">
        <v>0.39297697467835002</v>
      </c>
      <c r="L37">
        <v>0.43081440702403567</v>
      </c>
      <c r="M37">
        <v>0.40527629096495332</v>
      </c>
      <c r="N37">
        <v>0.41738066808483748</v>
      </c>
      <c r="O37">
        <v>0.39851036827498343</v>
      </c>
      <c r="Q37" t="s">
        <v>674</v>
      </c>
      <c r="R37" t="s">
        <v>100</v>
      </c>
      <c r="S37">
        <v>2.8850143446314362E-2</v>
      </c>
      <c r="T37">
        <v>4.2464238764665069E-2</v>
      </c>
      <c r="U37">
        <v>4.1278430358755766E-2</v>
      </c>
      <c r="V37">
        <v>3.7542631572611278E-2</v>
      </c>
      <c r="W37">
        <v>5.1163053087838188E-2</v>
      </c>
      <c r="X37">
        <v>2.5160722037343871E-2</v>
      </c>
      <c r="Y37">
        <v>3.975393133186194E-2</v>
      </c>
      <c r="Z37">
        <v>4.3478920209441059E-2</v>
      </c>
      <c r="AA37">
        <v>3.7339554361122941E-2</v>
      </c>
      <c r="AB37">
        <v>2.2970044681703349E-2</v>
      </c>
      <c r="AC37">
        <v>5.2616875364927422E-2</v>
      </c>
      <c r="AD37">
        <v>4.5802680869171643E-2</v>
      </c>
      <c r="AF37" t="s">
        <v>674</v>
      </c>
      <c r="AG37" t="s">
        <v>101</v>
      </c>
      <c r="AH37">
        <v>3.6331637579123E-2</v>
      </c>
      <c r="AI37">
        <v>5.6525325092114727E-2</v>
      </c>
      <c r="AJ37">
        <v>7.2873765051727407E-2</v>
      </c>
      <c r="AK37">
        <v>2.9439500214871763E-2</v>
      </c>
      <c r="AL37">
        <v>3.7416102053696249E-2</v>
      </c>
      <c r="AM37">
        <v>8.5594549500270609E-2</v>
      </c>
      <c r="AN37">
        <v>4.4776546244576221E-2</v>
      </c>
      <c r="AO37">
        <v>2.2908980823138712E-2</v>
      </c>
      <c r="AP37">
        <v>6.7329497557744977E-2</v>
      </c>
      <c r="AQ37">
        <v>3.4850885239757788E-2</v>
      </c>
      <c r="AR37">
        <v>3.653873970209244E-2</v>
      </c>
      <c r="AS37">
        <v>6.7170338102352095E-2</v>
      </c>
      <c r="AU37" t="s">
        <v>674</v>
      </c>
      <c r="AV37" t="s">
        <v>102</v>
      </c>
      <c r="AW37">
        <v>0.21393977938532932</v>
      </c>
      <c r="AX37">
        <v>0.17662821321966671</v>
      </c>
      <c r="AY37">
        <v>0.17565206828778729</v>
      </c>
      <c r="AZ37">
        <v>0.20761947158924546</v>
      </c>
      <c r="BA37">
        <v>0.19660019195044268</v>
      </c>
      <c r="BB37">
        <v>0.13388700692673233</v>
      </c>
      <c r="BC37">
        <v>0.18267646730380066</v>
      </c>
      <c r="BD37">
        <v>0.21053970298596686</v>
      </c>
      <c r="BE37">
        <v>0.19202555407075914</v>
      </c>
      <c r="BF37">
        <v>0.22432769115884571</v>
      </c>
      <c r="BG37">
        <v>0.20164357182174364</v>
      </c>
      <c r="BH37">
        <v>0.14993500547426747</v>
      </c>
      <c r="BR37" t="s">
        <v>674</v>
      </c>
      <c r="BS37">
        <v>0.29282441903856377</v>
      </c>
      <c r="BT37">
        <v>0.29188599792335063</v>
      </c>
      <c r="BU37">
        <v>0.29244772582416051</v>
      </c>
      <c r="BV37">
        <v>0.28912956515602556</v>
      </c>
      <c r="BW37">
        <v>0.26945465338345986</v>
      </c>
      <c r="BX37">
        <v>0.33347553607179103</v>
      </c>
      <c r="BY37">
        <v>0.17510241062493478</v>
      </c>
      <c r="BZ37">
        <v>0.17433501040313626</v>
      </c>
      <c r="CA37">
        <v>0.2205679273466517</v>
      </c>
      <c r="CB37">
        <v>0.22943499234252671</v>
      </c>
      <c r="CC37">
        <v>0.23561784804368258</v>
      </c>
      <c r="CD37">
        <v>0.27989374820411417</v>
      </c>
      <c r="CF37" t="s">
        <v>675</v>
      </c>
      <c r="CG37" t="s">
        <v>108</v>
      </c>
      <c r="CH37" t="s">
        <v>109</v>
      </c>
      <c r="CI37">
        <v>0.1729333001075849</v>
      </c>
    </row>
    <row r="38" spans="2:87" x14ac:dyDescent="0.45">
      <c r="B38" t="s">
        <v>676</v>
      </c>
      <c r="C38" t="s">
        <v>99</v>
      </c>
      <c r="D38">
        <v>0.37736670423757357</v>
      </c>
      <c r="E38">
        <v>0.39437942638502566</v>
      </c>
      <c r="F38">
        <v>0.38111097458969651</v>
      </c>
      <c r="G38">
        <v>0.3380780208849487</v>
      </c>
      <c r="H38">
        <v>0.34885620544872686</v>
      </c>
      <c r="I38">
        <v>0.3291275156777046</v>
      </c>
      <c r="J38">
        <v>0.31912345673398185</v>
      </c>
      <c r="K38">
        <v>0.32993142669760978</v>
      </c>
      <c r="L38">
        <v>0.37105860098292293</v>
      </c>
      <c r="M38">
        <v>0.36781192502578364</v>
      </c>
      <c r="N38">
        <v>0.40489275823906007</v>
      </c>
      <c r="O38">
        <v>0.39709917170086007</v>
      </c>
      <c r="Q38" t="s">
        <v>676</v>
      </c>
      <c r="R38" t="s">
        <v>100</v>
      </c>
      <c r="S38">
        <v>2.4126238595638654E-2</v>
      </c>
      <c r="T38">
        <v>3.6462647337999497E-2</v>
      </c>
      <c r="U38">
        <v>3.7021926608657378E-2</v>
      </c>
      <c r="V38">
        <v>1.7911398141151915E-2</v>
      </c>
      <c r="W38">
        <v>3.6693296042786289E-2</v>
      </c>
      <c r="X38">
        <v>3.102442654126257E-2</v>
      </c>
      <c r="Y38">
        <v>3.1070375490783966E-2</v>
      </c>
      <c r="Z38">
        <v>3.2084650999404746E-2</v>
      </c>
      <c r="AA38">
        <v>1.9196958623365731E-2</v>
      </c>
      <c r="AB38">
        <v>1.9010529131539857E-2</v>
      </c>
      <c r="AC38">
        <v>2.4172435046256678E-2</v>
      </c>
      <c r="AD38">
        <v>2.1189015360528266E-2</v>
      </c>
      <c r="AF38" t="s">
        <v>676</v>
      </c>
      <c r="AG38" t="s">
        <v>101</v>
      </c>
      <c r="AH38">
        <v>3.6543794092550548E-2</v>
      </c>
      <c r="AI38">
        <v>3.6291377435143601E-2</v>
      </c>
      <c r="AJ38">
        <v>5.0206228039265714E-2</v>
      </c>
      <c r="AK38">
        <v>3.4285514737176052E-2</v>
      </c>
      <c r="AL38">
        <v>2.5972723922956416E-2</v>
      </c>
      <c r="AM38">
        <v>6.0790687425717013E-2</v>
      </c>
      <c r="AN38">
        <v>3.7059307026927155E-2</v>
      </c>
      <c r="AO38">
        <v>2.4652609345856495E-2</v>
      </c>
      <c r="AP38">
        <v>4.6753226960567718E-2</v>
      </c>
      <c r="AQ38">
        <v>3.5153455650593184E-2</v>
      </c>
      <c r="AR38">
        <v>2.5114553406316121E-2</v>
      </c>
      <c r="AS38">
        <v>4.541824615172927E-2</v>
      </c>
      <c r="AU38" t="s">
        <v>676</v>
      </c>
      <c r="AV38" t="s">
        <v>102</v>
      </c>
      <c r="AW38">
        <v>0.18153293439998544</v>
      </c>
      <c r="AX38">
        <v>0.18482280476039054</v>
      </c>
      <c r="AY38">
        <v>0.15950470779952888</v>
      </c>
      <c r="AZ38">
        <v>0.16100545761823537</v>
      </c>
      <c r="BA38">
        <v>0.17340062136909862</v>
      </c>
      <c r="BB38">
        <v>0.11207735755103421</v>
      </c>
      <c r="BC38">
        <v>0.12993933092271795</v>
      </c>
      <c r="BD38">
        <v>0.17050140884913897</v>
      </c>
      <c r="BE38">
        <v>0.18592983823354289</v>
      </c>
      <c r="BF38">
        <v>0.19205992764491533</v>
      </c>
      <c r="BG38">
        <v>0.22281141961846054</v>
      </c>
      <c r="BH38">
        <v>0.19050109919897157</v>
      </c>
      <c r="BR38" t="s">
        <v>676</v>
      </c>
      <c r="BS38">
        <v>0.3414967971046054</v>
      </c>
      <c r="BT38">
        <v>0.32287833398785931</v>
      </c>
      <c r="BU38">
        <v>0.34329096128774583</v>
      </c>
      <c r="BV38">
        <v>0.37103740202687774</v>
      </c>
      <c r="BW38">
        <v>0.31807206172757446</v>
      </c>
      <c r="BX38">
        <v>0.38646319193558049</v>
      </c>
      <c r="BY38">
        <v>0.25729796609743688</v>
      </c>
      <c r="BZ38">
        <v>0.22733226402873749</v>
      </c>
      <c r="CA38">
        <v>0.25961228895716326</v>
      </c>
      <c r="CB38">
        <v>0.27309413568395613</v>
      </c>
      <c r="CC38">
        <v>0.26525515597256932</v>
      </c>
      <c r="CD38">
        <v>0.29647006431947132</v>
      </c>
      <c r="CF38" t="s">
        <v>677</v>
      </c>
      <c r="CG38" t="s">
        <v>108</v>
      </c>
      <c r="CH38" t="s">
        <v>109</v>
      </c>
      <c r="CI38">
        <v>0.23956064482829381</v>
      </c>
    </row>
    <row r="39" spans="2:87" x14ac:dyDescent="0.45">
      <c r="B39" t="s">
        <v>678</v>
      </c>
      <c r="C39" t="s">
        <v>99</v>
      </c>
      <c r="D39">
        <v>0.39296208124866461</v>
      </c>
      <c r="E39">
        <v>0.40311523446717529</v>
      </c>
      <c r="F39">
        <v>0.40549283153864329</v>
      </c>
      <c r="G39">
        <v>0.42258659819828742</v>
      </c>
      <c r="H39">
        <v>0.44135116476252051</v>
      </c>
      <c r="I39">
        <v>0.4060320908566819</v>
      </c>
      <c r="J39">
        <v>0.3804209584777602</v>
      </c>
      <c r="K39">
        <v>0.40691572912381924</v>
      </c>
      <c r="L39">
        <v>0.41952109231812751</v>
      </c>
      <c r="M39">
        <v>0.42641490244283198</v>
      </c>
      <c r="N39">
        <v>0.43989553092547429</v>
      </c>
      <c r="O39">
        <v>0.4150307940861595</v>
      </c>
      <c r="Q39" t="s">
        <v>678</v>
      </c>
      <c r="R39" t="s">
        <v>100</v>
      </c>
      <c r="S39">
        <v>2.5955808505696235E-2</v>
      </c>
      <c r="T39">
        <v>3.9775097250195776E-2</v>
      </c>
      <c r="U39">
        <v>6.5760960260195372E-2</v>
      </c>
      <c r="V39">
        <v>4.7560913840737351E-2</v>
      </c>
      <c r="W39">
        <v>4.7819608955265609E-2</v>
      </c>
      <c r="X39">
        <v>2.8987647327314705E-2</v>
      </c>
      <c r="Y39">
        <v>4.8067778339347847E-2</v>
      </c>
      <c r="Z39">
        <v>4.359342689584729E-2</v>
      </c>
      <c r="AA39">
        <v>4.5757483940908061E-2</v>
      </c>
      <c r="AB39">
        <v>3.7115285266990754E-2</v>
      </c>
      <c r="AC39">
        <v>5.072843320923634E-2</v>
      </c>
      <c r="AD39">
        <v>5.6560854599223991E-2</v>
      </c>
      <c r="AF39" t="s">
        <v>678</v>
      </c>
      <c r="AG39" t="s">
        <v>101</v>
      </c>
      <c r="AH39">
        <v>6.8780803234306104E-2</v>
      </c>
      <c r="AI39">
        <v>4.2320364281395011E-2</v>
      </c>
      <c r="AJ39">
        <v>5.6378630117942238E-2</v>
      </c>
      <c r="AK39">
        <v>4.1749416963988241E-2</v>
      </c>
      <c r="AL39">
        <v>5.7002952728259129E-2</v>
      </c>
      <c r="AM39">
        <v>8.5120832834188531E-2</v>
      </c>
      <c r="AN39">
        <v>3.502100541026313E-2</v>
      </c>
      <c r="AO39">
        <v>3.0922860261658389E-2</v>
      </c>
      <c r="AP39">
        <v>4.3747411698512567E-2</v>
      </c>
      <c r="AQ39">
        <v>4.9634062542294181E-2</v>
      </c>
      <c r="AR39">
        <v>5.8062797549018275E-2</v>
      </c>
      <c r="AS39">
        <v>3.9354250514394978E-2</v>
      </c>
      <c r="AU39" t="s">
        <v>678</v>
      </c>
      <c r="AV39" t="s">
        <v>102</v>
      </c>
      <c r="AW39">
        <v>0.18375293810116974</v>
      </c>
      <c r="AX39">
        <v>0.2050057319758041</v>
      </c>
      <c r="AY39">
        <v>0.15842474250153915</v>
      </c>
      <c r="AZ39">
        <v>0.20592791888027709</v>
      </c>
      <c r="BA39">
        <v>0.21217346661324138</v>
      </c>
      <c r="BB39">
        <v>0.17067936446118256</v>
      </c>
      <c r="BC39">
        <v>0.17288092571371297</v>
      </c>
      <c r="BD39">
        <v>0.21321884078760669</v>
      </c>
      <c r="BE39">
        <v>0.19494014098014348</v>
      </c>
      <c r="BF39">
        <v>0.21727527392699969</v>
      </c>
      <c r="BG39">
        <v>0.2152700433729654</v>
      </c>
      <c r="BH39">
        <v>0.19507751110009386</v>
      </c>
      <c r="BR39" t="s">
        <v>678</v>
      </c>
      <c r="BS39">
        <v>0.25609121988441674</v>
      </c>
      <c r="BT39">
        <v>0.24548515904354551</v>
      </c>
      <c r="BU39">
        <v>0.25269913654466397</v>
      </c>
      <c r="BV39">
        <v>0.25353216572158904</v>
      </c>
      <c r="BW39">
        <v>0.23710056657483894</v>
      </c>
      <c r="BX39">
        <v>0.2696008017990319</v>
      </c>
      <c r="BY39">
        <v>0.14620763052200725</v>
      </c>
      <c r="BZ39">
        <v>0.13117804078136766</v>
      </c>
      <c r="CA39">
        <v>0.16293488556465427</v>
      </c>
      <c r="CB39">
        <v>0.22295357179010364</v>
      </c>
      <c r="CC39">
        <v>0.22100817270839826</v>
      </c>
      <c r="CD39">
        <v>0.23868518436727573</v>
      </c>
      <c r="CF39" t="s">
        <v>679</v>
      </c>
      <c r="CG39" t="s">
        <v>108</v>
      </c>
      <c r="CH39" t="s">
        <v>109</v>
      </c>
      <c r="CI39">
        <v>0.15866561644188681</v>
      </c>
    </row>
    <row r="40" spans="2:87" x14ac:dyDescent="0.45">
      <c r="B40" t="s">
        <v>680</v>
      </c>
      <c r="C40" t="s">
        <v>99</v>
      </c>
      <c r="D40">
        <v>0.45331865518773584</v>
      </c>
      <c r="E40">
        <v>0.45346183206542756</v>
      </c>
      <c r="F40">
        <v>0.44486844944192155</v>
      </c>
      <c r="G40">
        <v>0.38746946104356494</v>
      </c>
      <c r="H40">
        <v>0.38655213663570526</v>
      </c>
      <c r="I40">
        <v>0.36078707796568027</v>
      </c>
      <c r="J40">
        <v>0.44859721219733761</v>
      </c>
      <c r="K40">
        <v>0.43139981517599557</v>
      </c>
      <c r="L40">
        <v>0.4280786650397716</v>
      </c>
      <c r="M40">
        <v>0.43717344409940756</v>
      </c>
      <c r="N40">
        <v>0.45735970976588131</v>
      </c>
      <c r="O40">
        <v>0.41700196509984871</v>
      </c>
      <c r="Q40" t="s">
        <v>680</v>
      </c>
      <c r="R40" t="s">
        <v>100</v>
      </c>
      <c r="S40">
        <v>3.8805161852500894E-2</v>
      </c>
      <c r="T40">
        <v>3.5235485607965279E-2</v>
      </c>
      <c r="U40">
        <v>4.518026137122845E-2</v>
      </c>
      <c r="V40">
        <v>6.1914313031445789E-2</v>
      </c>
      <c r="W40">
        <v>4.4922556877351076E-2</v>
      </c>
      <c r="X40">
        <v>4.8843591278082396E-2</v>
      </c>
      <c r="Y40">
        <v>4.2475880072286011E-2</v>
      </c>
      <c r="Z40">
        <v>6.7623450363028303E-2</v>
      </c>
      <c r="AA40">
        <v>3.7756780406819138E-2</v>
      </c>
      <c r="AB40">
        <v>2.9709939540286095E-2</v>
      </c>
      <c r="AC40">
        <v>2.1393607700349451E-2</v>
      </c>
      <c r="AD40">
        <v>2.6617151864769574E-2</v>
      </c>
      <c r="AF40" t="s">
        <v>680</v>
      </c>
      <c r="AG40" t="s">
        <v>101</v>
      </c>
      <c r="AH40">
        <v>5.4846040675005245E-2</v>
      </c>
      <c r="AI40">
        <v>5.3987744910678967E-2</v>
      </c>
      <c r="AJ40">
        <v>6.6892544151269856E-2</v>
      </c>
      <c r="AK40">
        <v>4.8245969182315031E-2</v>
      </c>
      <c r="AL40">
        <v>6.1749072308099499E-2</v>
      </c>
      <c r="AM40">
        <v>4.6396573669500327E-2</v>
      </c>
      <c r="AN40">
        <v>3.9639761078334376E-2</v>
      </c>
      <c r="AO40">
        <v>6.428520863475197E-2</v>
      </c>
      <c r="AP40">
        <v>5.3311122313162124E-2</v>
      </c>
      <c r="AQ40">
        <v>4.381871048614356E-2</v>
      </c>
      <c r="AR40">
        <v>5.2912824424988833E-2</v>
      </c>
      <c r="AS40">
        <v>9.7399149454637582E-3</v>
      </c>
      <c r="AU40" t="s">
        <v>680</v>
      </c>
      <c r="AV40" t="s">
        <v>102</v>
      </c>
      <c r="AW40">
        <v>0.21436496220276827</v>
      </c>
      <c r="AX40">
        <v>0.22707860048471296</v>
      </c>
      <c r="AY40">
        <v>0.20013682036489469</v>
      </c>
      <c r="AZ40">
        <v>0.16405749775127965</v>
      </c>
      <c r="BA40">
        <v>0.15398274846432139</v>
      </c>
      <c r="BB40">
        <v>0.14080587925942603</v>
      </c>
      <c r="BC40">
        <v>0.24477064793207662</v>
      </c>
      <c r="BD40">
        <v>0.18753186656857651</v>
      </c>
      <c r="BE40">
        <v>0.21494305758049134</v>
      </c>
      <c r="BF40">
        <v>0.22896836592957173</v>
      </c>
      <c r="BG40">
        <v>0.24360393085273346</v>
      </c>
      <c r="BH40">
        <v>0.24283977806721588</v>
      </c>
      <c r="BR40" t="s">
        <v>680</v>
      </c>
      <c r="BS40">
        <v>0.28672835588666162</v>
      </c>
      <c r="BT40">
        <v>0.2740023298574541</v>
      </c>
      <c r="BU40">
        <v>0.27682072789748008</v>
      </c>
      <c r="BV40">
        <v>0.25521484123365029</v>
      </c>
      <c r="BW40">
        <v>0.30153970533210872</v>
      </c>
      <c r="BX40">
        <v>0.28653569472868406</v>
      </c>
      <c r="BY40">
        <v>0.10371740632690876</v>
      </c>
      <c r="BZ40">
        <v>9.9447518101605181E-2</v>
      </c>
      <c r="CA40">
        <v>0.13462737312227996</v>
      </c>
      <c r="CB40">
        <v>0.2580918197520185</v>
      </c>
      <c r="CC40">
        <v>0.26414031564537321</v>
      </c>
      <c r="CD40">
        <v>0.27956322784406079</v>
      </c>
      <c r="CF40" t="s">
        <v>681</v>
      </c>
      <c r="CG40" t="s">
        <v>108</v>
      </c>
      <c r="CH40" t="s">
        <v>109</v>
      </c>
      <c r="CI40">
        <v>0.15419692505507765</v>
      </c>
    </row>
    <row r="41" spans="2:87" x14ac:dyDescent="0.45">
      <c r="B41" t="s">
        <v>682</v>
      </c>
      <c r="C41" t="s">
        <v>99</v>
      </c>
      <c r="D41">
        <v>0.40948734569279016</v>
      </c>
      <c r="E41">
        <v>0.43170903180367132</v>
      </c>
      <c r="F41">
        <v>0.39735773242398098</v>
      </c>
      <c r="G41">
        <v>0.33237727031880626</v>
      </c>
      <c r="H41">
        <v>0.34715470038585988</v>
      </c>
      <c r="I41">
        <v>0.31558476398943169</v>
      </c>
      <c r="J41">
        <v>0.46154275353646557</v>
      </c>
      <c r="K41">
        <v>0.41827183447155053</v>
      </c>
      <c r="L41">
        <v>0.42680878444289744</v>
      </c>
      <c r="M41">
        <v>0.41518590239194825</v>
      </c>
      <c r="N41">
        <v>0.43345181740051053</v>
      </c>
      <c r="O41">
        <v>0.40708242731031258</v>
      </c>
      <c r="Q41" t="s">
        <v>682</v>
      </c>
      <c r="R41" t="s">
        <v>100</v>
      </c>
      <c r="S41">
        <v>1.8566975696320848E-2</v>
      </c>
      <c r="T41">
        <v>3.2764354218813824E-2</v>
      </c>
      <c r="U41">
        <v>3.5524821728956359E-2</v>
      </c>
      <c r="V41">
        <v>4.4459008549527605E-2</v>
      </c>
      <c r="W41">
        <v>2.4887417946658774E-2</v>
      </c>
      <c r="X41">
        <v>1.9506187456145026E-2</v>
      </c>
      <c r="Y41">
        <v>8.8967664996325267E-3</v>
      </c>
      <c r="Z41">
        <v>6.7646711860579231E-2</v>
      </c>
      <c r="AA41">
        <v>2.7090281299769588E-2</v>
      </c>
      <c r="AB41">
        <v>2.0075462220715899E-2</v>
      </c>
      <c r="AC41">
        <v>1.6702897421915705E-2</v>
      </c>
      <c r="AD41">
        <v>8.0358722163980986E-3</v>
      </c>
      <c r="AF41" t="s">
        <v>682</v>
      </c>
      <c r="AG41" t="s">
        <v>101</v>
      </c>
      <c r="AH41">
        <v>4.1775479836927143E-2</v>
      </c>
      <c r="AI41">
        <v>3.5368365895561943E-2</v>
      </c>
      <c r="AJ41">
        <v>3.3031855671767023E-2</v>
      </c>
      <c r="AK41">
        <v>2.1917921418377749E-2</v>
      </c>
      <c r="AL41">
        <v>5.1233893605693401E-2</v>
      </c>
      <c r="AM41">
        <v>2.4744213381545789E-2</v>
      </c>
      <c r="AN41">
        <v>5.0803081323693662E-2</v>
      </c>
      <c r="AO41">
        <v>2.6031490821137988E-2</v>
      </c>
      <c r="AP41">
        <v>8.8102694976808615E-2</v>
      </c>
      <c r="AQ41">
        <v>2.8674780817711382E-2</v>
      </c>
      <c r="AR41">
        <v>3.6114241001107238E-2</v>
      </c>
      <c r="AS41">
        <v>2.1302732507817199E-2</v>
      </c>
      <c r="AU41" t="s">
        <v>682</v>
      </c>
      <c r="AV41" t="s">
        <v>102</v>
      </c>
      <c r="AW41">
        <v>0.21092625853156527</v>
      </c>
      <c r="AX41">
        <v>0.22639746621891535</v>
      </c>
      <c r="AY41">
        <v>0.18522449622793311</v>
      </c>
      <c r="AZ41">
        <v>0.14274586429842409</v>
      </c>
      <c r="BA41">
        <v>0.13892207450590657</v>
      </c>
      <c r="BB41">
        <v>0.14889946477241819</v>
      </c>
      <c r="BC41">
        <v>0.28506277918257567</v>
      </c>
      <c r="BD41">
        <v>0.21151143752139925</v>
      </c>
      <c r="BE41">
        <v>0.1869690592459208</v>
      </c>
      <c r="BF41">
        <v>0.23040259391809984</v>
      </c>
      <c r="BG41">
        <v>0.23629898082213133</v>
      </c>
      <c r="BH41">
        <v>0.24370797500785829</v>
      </c>
      <c r="BR41" t="s">
        <v>682</v>
      </c>
      <c r="BS41">
        <v>0.32009632413313815</v>
      </c>
      <c r="BT41">
        <v>0.31188322010571728</v>
      </c>
      <c r="BU41">
        <v>0.33722831855770913</v>
      </c>
      <c r="BV41">
        <v>0.35021699997459071</v>
      </c>
      <c r="BW41">
        <v>0.37371795790450274</v>
      </c>
      <c r="BX41">
        <v>0.39028294220901022</v>
      </c>
      <c r="BY41">
        <v>0.12478962695134167</v>
      </c>
      <c r="BZ41">
        <v>0.11476142669544812</v>
      </c>
      <c r="CA41">
        <v>0.15017632741334597</v>
      </c>
      <c r="CB41">
        <v>0.29506713141527224</v>
      </c>
      <c r="CC41">
        <v>0.29522081251222015</v>
      </c>
      <c r="CD41">
        <v>0.31913903509018415</v>
      </c>
      <c r="CF41" t="s">
        <v>683</v>
      </c>
      <c r="CG41" t="s">
        <v>108</v>
      </c>
      <c r="CH41" t="s">
        <v>109</v>
      </c>
      <c r="CI41">
        <v>0.16052659969575281</v>
      </c>
    </row>
    <row r="42" spans="2:87" x14ac:dyDescent="0.45">
      <c r="B42" t="s">
        <v>684</v>
      </c>
      <c r="C42" t="s">
        <v>99</v>
      </c>
      <c r="D42">
        <v>0.43901675002989909</v>
      </c>
      <c r="E42">
        <v>0.46763398205889689</v>
      </c>
      <c r="F42">
        <v>0.46432650640934453</v>
      </c>
      <c r="G42">
        <v>0.47610781251689249</v>
      </c>
      <c r="H42">
        <v>0.43375934475482236</v>
      </c>
      <c r="I42">
        <v>0.49043438234938785</v>
      </c>
      <c r="J42">
        <v>0.53941431195907352</v>
      </c>
      <c r="K42">
        <v>0.49274232827794895</v>
      </c>
      <c r="L42">
        <v>0.43283955671243518</v>
      </c>
      <c r="M42">
        <v>0.43159673066106008</v>
      </c>
      <c r="N42">
        <v>0.43067790421912749</v>
      </c>
      <c r="O42">
        <v>0.4290210952367694</v>
      </c>
      <c r="Q42" t="s">
        <v>684</v>
      </c>
      <c r="R42" t="s">
        <v>100</v>
      </c>
      <c r="S42">
        <v>5.678636283798634E-2</v>
      </c>
      <c r="T42">
        <v>4.4412682438690738E-2</v>
      </c>
      <c r="U42">
        <v>3.6404473476562553E-2</v>
      </c>
      <c r="V42">
        <v>3.7402013974984653E-2</v>
      </c>
      <c r="W42">
        <v>4.9429506914754437E-2</v>
      </c>
      <c r="X42">
        <v>4.4083464976605639E-2</v>
      </c>
      <c r="Y42">
        <v>7.7468466763636307E-2</v>
      </c>
      <c r="Z42">
        <v>5.5825983615772165E-2</v>
      </c>
      <c r="AA42">
        <v>0.12953953846133837</v>
      </c>
      <c r="AB42">
        <v>3.2402328097233084E-2</v>
      </c>
      <c r="AC42">
        <v>5.2875313366480298E-2</v>
      </c>
      <c r="AD42">
        <v>3.2633762396362384E-2</v>
      </c>
      <c r="AF42" t="s">
        <v>684</v>
      </c>
      <c r="AG42" t="s">
        <v>101</v>
      </c>
      <c r="AH42">
        <v>2.3201335545065104E-2</v>
      </c>
      <c r="AI42">
        <v>9.1094216872228684E-2</v>
      </c>
      <c r="AJ42">
        <v>4.7712171126096083E-2</v>
      </c>
      <c r="AK42">
        <v>5.6153384121925567E-2</v>
      </c>
      <c r="AL42">
        <v>4.806469497582673E-2</v>
      </c>
      <c r="AM42">
        <v>6.6136604990776518E-2</v>
      </c>
      <c r="AN42">
        <v>0.1247386885544149</v>
      </c>
      <c r="AO42">
        <v>8.0156485415545847E-2</v>
      </c>
      <c r="AP42">
        <v>7.9797778713303305E-2</v>
      </c>
      <c r="AQ42">
        <v>3.3508152971970705E-2</v>
      </c>
      <c r="AR42">
        <v>4.7401077130687516E-2</v>
      </c>
      <c r="AS42">
        <v>5.6579757239958693E-2</v>
      </c>
      <c r="AU42" t="s">
        <v>684</v>
      </c>
      <c r="AV42" t="s">
        <v>102</v>
      </c>
      <c r="AW42">
        <v>0.2287630193463174</v>
      </c>
      <c r="AX42">
        <v>0.18735849075604394</v>
      </c>
      <c r="AY42">
        <v>0.24004593244606126</v>
      </c>
      <c r="AZ42">
        <v>0.23462224268183843</v>
      </c>
      <c r="BA42">
        <v>0.19447014210082983</v>
      </c>
      <c r="BB42">
        <v>0.23510113011783293</v>
      </c>
      <c r="BC42">
        <v>0.21931003440537433</v>
      </c>
      <c r="BD42">
        <v>0.24572309977188253</v>
      </c>
      <c r="BE42">
        <v>0.12165458793817312</v>
      </c>
      <c r="BF42">
        <v>0.22849645794773218</v>
      </c>
      <c r="BG42">
        <v>0.1857039201393258</v>
      </c>
      <c r="BH42">
        <v>0.19967472240164666</v>
      </c>
      <c r="BR42" t="s">
        <v>684</v>
      </c>
      <c r="BS42">
        <v>0.29312579319726523</v>
      </c>
      <c r="BT42">
        <v>0.29018734767937071</v>
      </c>
      <c r="BU42">
        <v>0.29573697833774432</v>
      </c>
      <c r="BV42">
        <v>0.26781319110402912</v>
      </c>
      <c r="BW42">
        <v>0.28878336948011601</v>
      </c>
      <c r="BX42">
        <v>0.27360525169980043</v>
      </c>
      <c r="BY42">
        <v>9.5303595235759209E-2</v>
      </c>
      <c r="BZ42">
        <v>9.6882621925386478E-2</v>
      </c>
      <c r="CA42">
        <v>6.6204555854253805E-2</v>
      </c>
      <c r="CB42">
        <v>0.29845292550257574</v>
      </c>
      <c r="CC42">
        <v>0.30321921679329716</v>
      </c>
      <c r="CD42">
        <v>0.31237059451626298</v>
      </c>
      <c r="CF42" t="s">
        <v>685</v>
      </c>
      <c r="CG42" t="s">
        <v>108</v>
      </c>
      <c r="CH42" t="s">
        <v>109</v>
      </c>
      <c r="CI42">
        <v>0.11643415172882787</v>
      </c>
    </row>
    <row r="43" spans="2:87" x14ac:dyDescent="0.45">
      <c r="B43" t="s">
        <v>686</v>
      </c>
      <c r="C43" t="s">
        <v>99</v>
      </c>
      <c r="D43">
        <v>0.46484600666841125</v>
      </c>
      <c r="E43">
        <v>0.45634857865697998</v>
      </c>
      <c r="F43">
        <v>0.47079258573190824</v>
      </c>
      <c r="G43">
        <v>0.40150436541309698</v>
      </c>
      <c r="H43">
        <v>0.39539492919923569</v>
      </c>
      <c r="I43">
        <v>0.39645917220774135</v>
      </c>
      <c r="J43">
        <v>0.45563880493543824</v>
      </c>
      <c r="K43">
        <v>0.4655509275196037</v>
      </c>
      <c r="L43">
        <v>0.43399105229416651</v>
      </c>
      <c r="M43">
        <v>0.42892055909373633</v>
      </c>
      <c r="N43">
        <v>0.43055784984945383</v>
      </c>
      <c r="O43">
        <v>0.41734880291396814</v>
      </c>
      <c r="Q43" t="s">
        <v>686</v>
      </c>
      <c r="R43" t="s">
        <v>100</v>
      </c>
      <c r="S43">
        <v>4.8706810077306102E-2</v>
      </c>
      <c r="T43">
        <v>3.6982322482599715E-2</v>
      </c>
      <c r="U43">
        <v>2.8878905191565996E-2</v>
      </c>
      <c r="V43">
        <v>5.0018276583760797E-2</v>
      </c>
      <c r="W43">
        <v>4.3700662263591747E-2</v>
      </c>
      <c r="X43">
        <v>3.5906175071852474E-2</v>
      </c>
      <c r="Y43">
        <v>4.724062891553401E-2</v>
      </c>
      <c r="Z43">
        <v>4.5513264147915587E-2</v>
      </c>
      <c r="AA43">
        <v>5.1580247770857297E-2</v>
      </c>
      <c r="AB43">
        <v>2.9564564446506958E-2</v>
      </c>
      <c r="AC43">
        <v>2.8065643915328925E-2</v>
      </c>
      <c r="AD43">
        <v>1.667600336906826E-2</v>
      </c>
      <c r="AF43" t="s">
        <v>686</v>
      </c>
      <c r="AG43" t="s">
        <v>101</v>
      </c>
      <c r="AH43">
        <v>4.2786185969553123E-2</v>
      </c>
      <c r="AI43">
        <v>7.2210261968080947E-2</v>
      </c>
      <c r="AJ43">
        <v>4.6718272816112259E-2</v>
      </c>
      <c r="AK43">
        <v>4.7624264162012521E-2</v>
      </c>
      <c r="AL43">
        <v>6.1484447258661583E-2</v>
      </c>
      <c r="AM43">
        <v>6.0424107976461271E-2</v>
      </c>
      <c r="AN43">
        <v>8.2995430893539918E-2</v>
      </c>
      <c r="AO43">
        <v>8.9988990686151113E-2</v>
      </c>
      <c r="AP43">
        <v>1.8628928891891612E-2</v>
      </c>
      <c r="AQ43">
        <v>3.1337033620770331E-2</v>
      </c>
      <c r="AR43">
        <v>3.3897952827230446E-2</v>
      </c>
      <c r="AS43">
        <v>4.2872817712934164E-2</v>
      </c>
      <c r="AU43" t="s">
        <v>686</v>
      </c>
      <c r="AV43" t="s">
        <v>102</v>
      </c>
      <c r="AW43">
        <v>0.24336036258117863</v>
      </c>
      <c r="AX43">
        <v>0.2149941328479153</v>
      </c>
      <c r="AY43">
        <v>0.25875217999093947</v>
      </c>
      <c r="AZ43">
        <v>0.16605716102194804</v>
      </c>
      <c r="BA43">
        <v>0.15050396869901864</v>
      </c>
      <c r="BB43">
        <v>0.16088844694391088</v>
      </c>
      <c r="BC43">
        <v>0.20725554475442926</v>
      </c>
      <c r="BD43">
        <v>0.21818003820171025</v>
      </c>
      <c r="BE43">
        <v>0.24570309373935992</v>
      </c>
      <c r="BF43">
        <v>0.21737976258803623</v>
      </c>
      <c r="BG43">
        <v>0.22905961015518111</v>
      </c>
      <c r="BH43">
        <v>0.21549171584950172</v>
      </c>
      <c r="BR43" t="s">
        <v>686</v>
      </c>
      <c r="BS43">
        <v>0.23676332350697274</v>
      </c>
      <c r="BT43">
        <v>0.23816963048910364</v>
      </c>
      <c r="BU43">
        <v>0.23546025882649133</v>
      </c>
      <c r="BV43">
        <v>0.29270279901581364</v>
      </c>
      <c r="BW43">
        <v>0.29934424766626638</v>
      </c>
      <c r="BX43">
        <v>0.2885609328795023</v>
      </c>
      <c r="BY43">
        <v>9.5452548233473156E-2</v>
      </c>
      <c r="BZ43">
        <v>9.3620100794679278E-2</v>
      </c>
      <c r="CA43">
        <v>0.1168554213769582</v>
      </c>
      <c r="CB43">
        <v>0.29748309661724764</v>
      </c>
      <c r="CC43">
        <v>0.27541944045958033</v>
      </c>
      <c r="CD43">
        <v>0.30496010196765827</v>
      </c>
      <c r="CF43" t="s">
        <v>687</v>
      </c>
      <c r="CG43" t="s">
        <v>108</v>
      </c>
      <c r="CH43" t="s">
        <v>109</v>
      </c>
      <c r="CI43">
        <v>0.1511950455359152</v>
      </c>
    </row>
    <row r="44" spans="2:87" x14ac:dyDescent="0.45">
      <c r="B44" t="s">
        <v>688</v>
      </c>
      <c r="C44" t="s">
        <v>99</v>
      </c>
      <c r="D44">
        <v>0.41185891783742129</v>
      </c>
      <c r="E44">
        <v>0.40810519628257247</v>
      </c>
      <c r="F44">
        <v>0.42639998447723321</v>
      </c>
      <c r="G44">
        <v>0.33357966567808128</v>
      </c>
      <c r="H44">
        <v>0.35218497805545135</v>
      </c>
      <c r="I44">
        <v>0.35889209240164816</v>
      </c>
      <c r="J44">
        <v>0.49415087143813874</v>
      </c>
      <c r="K44">
        <v>0.45569606144127373</v>
      </c>
      <c r="L44">
        <v>0.41961629599945527</v>
      </c>
      <c r="M44">
        <v>0.46100758304915318</v>
      </c>
      <c r="N44">
        <v>0.446258067233339</v>
      </c>
      <c r="O44">
        <v>0.49302693556471333</v>
      </c>
      <c r="Q44" t="s">
        <v>688</v>
      </c>
      <c r="R44" t="s">
        <v>100</v>
      </c>
      <c r="S44">
        <v>2.8625565895488078E-2</v>
      </c>
      <c r="T44">
        <v>3.6371310706842262E-2</v>
      </c>
      <c r="U44">
        <v>2.268360695220558E-2</v>
      </c>
      <c r="V44">
        <v>2.8244484588784244E-2</v>
      </c>
      <c r="W44">
        <v>3.5121320745312851E-2</v>
      </c>
      <c r="X44">
        <v>2.605898401736402E-2</v>
      </c>
      <c r="Y44">
        <v>7.5913623778133807E-2</v>
      </c>
      <c r="Z44">
        <v>5.6426275052126017E-2</v>
      </c>
      <c r="AA44">
        <v>5.3114121052154406E-2</v>
      </c>
      <c r="AB44">
        <v>4.3584641399434368E-2</v>
      </c>
      <c r="AC44">
        <v>3.3862721274276524E-2</v>
      </c>
      <c r="AD44">
        <v>2.5819029087913781E-2</v>
      </c>
      <c r="AF44" t="s">
        <v>688</v>
      </c>
      <c r="AG44" t="s">
        <v>101</v>
      </c>
      <c r="AH44">
        <v>2.4812648868559266E-2</v>
      </c>
      <c r="AI44">
        <v>5.3548063349801833E-2</v>
      </c>
      <c r="AJ44">
        <v>2.7201980848399275E-2</v>
      </c>
      <c r="AK44">
        <v>3.0257830884319846E-2</v>
      </c>
      <c r="AL44">
        <v>2.538441147257817E-2</v>
      </c>
      <c r="AM44">
        <v>4.2091591429018062E-2</v>
      </c>
      <c r="AN44">
        <v>8.8133343090321198E-2</v>
      </c>
      <c r="AO44">
        <v>6.9089886098942482E-2</v>
      </c>
      <c r="AP44">
        <v>6.661585158628433E-2</v>
      </c>
      <c r="AQ44">
        <v>4.4137560766252353E-2</v>
      </c>
      <c r="AR44">
        <v>6.0957345322394073E-2</v>
      </c>
      <c r="AS44">
        <v>5.5416175132441771E-2</v>
      </c>
      <c r="AU44" t="s">
        <v>688</v>
      </c>
      <c r="AV44" t="s">
        <v>102</v>
      </c>
      <c r="AW44">
        <v>0.21376103034169863</v>
      </c>
      <c r="AX44">
        <v>0.17074446191306999</v>
      </c>
      <c r="AY44">
        <v>0.23765530486497469</v>
      </c>
      <c r="AZ44">
        <v>0.14396636560998785</v>
      </c>
      <c r="BA44">
        <v>0.16062061022292012</v>
      </c>
      <c r="BB44">
        <v>0.14550873438800282</v>
      </c>
      <c r="BC44">
        <v>0.21286881273965561</v>
      </c>
      <c r="BD44">
        <v>0.23693618114608794</v>
      </c>
      <c r="BE44">
        <v>0.20155575506107404</v>
      </c>
      <c r="BF44">
        <v>0.24455253824034445</v>
      </c>
      <c r="BG44">
        <v>0.23414100895037818</v>
      </c>
      <c r="BH44">
        <v>0.29795912268467933</v>
      </c>
      <c r="BR44" t="s">
        <v>688</v>
      </c>
      <c r="BS44">
        <v>0.36041800119752293</v>
      </c>
      <c r="BT44">
        <v>0.39622718195736595</v>
      </c>
      <c r="BU44">
        <v>0.33786236538067071</v>
      </c>
      <c r="BV44">
        <v>0.42928775584071888</v>
      </c>
      <c r="BW44">
        <v>0.41585265590878723</v>
      </c>
      <c r="BX44">
        <v>0.43293283525050541</v>
      </c>
      <c r="BY44">
        <v>0.10222527271422285</v>
      </c>
      <c r="BZ44">
        <v>0.12119467893800497</v>
      </c>
      <c r="CA44">
        <v>0.11253505741278882</v>
      </c>
      <c r="CB44">
        <v>0.23794043868292328</v>
      </c>
      <c r="CC44">
        <v>0.24619335082433935</v>
      </c>
      <c r="CD44">
        <v>0.22979674158658872</v>
      </c>
      <c r="CF44" t="s">
        <v>689</v>
      </c>
      <c r="CG44" t="s">
        <v>108</v>
      </c>
      <c r="CH44" t="s">
        <v>109</v>
      </c>
      <c r="CI44">
        <v>0.25412138173719234</v>
      </c>
    </row>
    <row r="45" spans="2:87" x14ac:dyDescent="0.45">
      <c r="B45" t="s">
        <v>690</v>
      </c>
      <c r="C45" t="s">
        <v>99</v>
      </c>
      <c r="D45">
        <v>0.41803621236831651</v>
      </c>
      <c r="E45">
        <v>0.43448444097547689</v>
      </c>
      <c r="F45">
        <v>0.42159960290649839</v>
      </c>
      <c r="G45">
        <v>0.37972980100591675</v>
      </c>
      <c r="H45">
        <v>0.3939695282601241</v>
      </c>
      <c r="I45">
        <v>0.38370137348184663</v>
      </c>
      <c r="J45">
        <v>0.51941915349232148</v>
      </c>
      <c r="K45">
        <v>0.47930210945627499</v>
      </c>
      <c r="L45">
        <v>0.47686483294369603</v>
      </c>
      <c r="M45">
        <v>0.5309628758472672</v>
      </c>
      <c r="N45">
        <v>0.52979388544866879</v>
      </c>
      <c r="O45">
        <v>0.49101766699075888</v>
      </c>
      <c r="Q45" t="s">
        <v>690</v>
      </c>
      <c r="R45" t="s">
        <v>100</v>
      </c>
      <c r="S45">
        <v>1.5655453124408567E-2</v>
      </c>
      <c r="T45">
        <v>4.0787682021584337E-2</v>
      </c>
      <c r="U45">
        <v>1.9340200759374686E-2</v>
      </c>
      <c r="V45">
        <v>2.2464963248506553E-2</v>
      </c>
      <c r="W45">
        <v>1.9754418006662073E-2</v>
      </c>
      <c r="X45">
        <v>2.4884842869959574E-2</v>
      </c>
      <c r="Y45">
        <v>2.971532534646483E-2</v>
      </c>
      <c r="Z45">
        <v>3.9130818630899025E-2</v>
      </c>
      <c r="AA45">
        <v>1.3176411468311972E-2</v>
      </c>
      <c r="AB45">
        <v>5.3940931005653656E-2</v>
      </c>
      <c r="AC45">
        <v>1.7415287294287745E-2</v>
      </c>
      <c r="AD45">
        <v>1.964775659914007E-2</v>
      </c>
      <c r="AF45" t="s">
        <v>690</v>
      </c>
      <c r="AG45" t="s">
        <v>101</v>
      </c>
      <c r="AH45">
        <v>3.1080879793927301E-2</v>
      </c>
      <c r="AI45">
        <v>1.9409049521494484E-2</v>
      </c>
      <c r="AJ45">
        <v>4.9397990338392046E-2</v>
      </c>
      <c r="AK45">
        <v>3.7372517598125196E-2</v>
      </c>
      <c r="AL45">
        <v>2.8608948357123184E-2</v>
      </c>
      <c r="AM45">
        <v>2.9049662066335576E-2</v>
      </c>
      <c r="AN45">
        <v>2.6079797581632355E-2</v>
      </c>
      <c r="AO45">
        <v>5.1215572392475962E-2</v>
      </c>
      <c r="AP45">
        <v>3.044291663123324E-2</v>
      </c>
      <c r="AQ45">
        <v>4.4111322300234346E-2</v>
      </c>
      <c r="AR45">
        <v>6.1430201400047721E-2</v>
      </c>
      <c r="AS45">
        <v>3.2684936111693971E-2</v>
      </c>
      <c r="AU45" t="s">
        <v>690</v>
      </c>
      <c r="AV45" t="s">
        <v>102</v>
      </c>
      <c r="AW45">
        <v>0.23040367120430627</v>
      </c>
      <c r="AX45">
        <v>0.23575670057932388</v>
      </c>
      <c r="AY45">
        <v>0.2073042115222134</v>
      </c>
      <c r="AZ45">
        <v>0.17058226006863259</v>
      </c>
      <c r="BA45">
        <v>0.2013358804371623</v>
      </c>
      <c r="BB45">
        <v>0.17188706896660011</v>
      </c>
      <c r="BC45">
        <v>0.34631380163972908</v>
      </c>
      <c r="BD45">
        <v>0.2849200757124094</v>
      </c>
      <c r="BE45">
        <v>0.33226724653599249</v>
      </c>
      <c r="BF45">
        <v>0.30855657218675553</v>
      </c>
      <c r="BG45">
        <v>0.31361228243210348</v>
      </c>
      <c r="BH45">
        <v>0.31537357297393953</v>
      </c>
      <c r="BR45" t="s">
        <v>690</v>
      </c>
      <c r="BS45">
        <v>0.29001674509736258</v>
      </c>
      <c r="BT45">
        <v>0.29385177394250389</v>
      </c>
      <c r="BU45">
        <v>0.30191182377138609</v>
      </c>
      <c r="BV45">
        <v>0.37253850118626647</v>
      </c>
      <c r="BW45">
        <v>0.35309569013861336</v>
      </c>
      <c r="BX45">
        <v>0.38163946666547927</v>
      </c>
      <c r="BY45">
        <v>6.5869497702454871E-2</v>
      </c>
      <c r="BZ45">
        <v>8.1561015378717308E-2</v>
      </c>
      <c r="CA45">
        <v>8.919861904695886E-2</v>
      </c>
      <c r="CB45">
        <v>0.16999730846739838</v>
      </c>
      <c r="CC45">
        <v>0.18274394730935373</v>
      </c>
      <c r="CD45">
        <v>0.17754185342157491</v>
      </c>
      <c r="CF45" t="s">
        <v>691</v>
      </c>
      <c r="CG45" t="s">
        <v>108</v>
      </c>
      <c r="CH45" t="s">
        <v>109</v>
      </c>
      <c r="CI45">
        <v>0.20442200214935213</v>
      </c>
    </row>
    <row r="46" spans="2:87" x14ac:dyDescent="0.45">
      <c r="B46" t="s">
        <v>692</v>
      </c>
      <c r="C46" t="s">
        <v>99</v>
      </c>
      <c r="D46">
        <v>0.46020875793736526</v>
      </c>
      <c r="E46">
        <v>0.49713144704310525</v>
      </c>
      <c r="F46">
        <v>0.44220578801148896</v>
      </c>
      <c r="G46">
        <v>0.39431316358083518</v>
      </c>
      <c r="H46">
        <v>0.39350997978838836</v>
      </c>
      <c r="I46">
        <v>0.39368554361340308</v>
      </c>
      <c r="J46">
        <v>0.43813834735687657</v>
      </c>
      <c r="K46">
        <v>0.44794685758948399</v>
      </c>
      <c r="L46">
        <v>0.43888967498227421</v>
      </c>
      <c r="M46">
        <v>0.45580160866456398</v>
      </c>
      <c r="N46">
        <v>0.44540039075447602</v>
      </c>
      <c r="O46">
        <v>0.4688380211245417</v>
      </c>
      <c r="Q46" t="s">
        <v>692</v>
      </c>
      <c r="R46" t="s">
        <v>100</v>
      </c>
      <c r="S46">
        <v>3.9291798772654138E-2</v>
      </c>
      <c r="T46">
        <v>6.7376779511262613E-2</v>
      </c>
      <c r="U46">
        <v>2.2173598907188421E-2</v>
      </c>
      <c r="V46">
        <v>3.569588591747444E-2</v>
      </c>
      <c r="W46">
        <v>4.8424425158110976E-2</v>
      </c>
      <c r="X46">
        <v>3.333458363430318E-2</v>
      </c>
      <c r="Y46">
        <v>5.7033356419530591E-2</v>
      </c>
      <c r="Z46">
        <v>0.10380392946842659</v>
      </c>
      <c r="AA46">
        <v>2.3939875476648959E-2</v>
      </c>
      <c r="AB46">
        <v>3.7464058571882973E-2</v>
      </c>
      <c r="AC46">
        <v>3.8384726397832372E-2</v>
      </c>
      <c r="AD46">
        <v>5.4722038134631945E-2</v>
      </c>
      <c r="AF46" t="s">
        <v>692</v>
      </c>
      <c r="AG46" t="s">
        <v>101</v>
      </c>
      <c r="AH46">
        <v>4.637458056208818E-2</v>
      </c>
      <c r="AI46">
        <v>5.7579287211483456E-2</v>
      </c>
      <c r="AJ46">
        <v>5.7276419013475154E-2</v>
      </c>
      <c r="AK46">
        <v>3.7473205601385048E-2</v>
      </c>
      <c r="AL46">
        <v>4.7180574847808188E-2</v>
      </c>
      <c r="AM46">
        <v>6.233582280094959E-2</v>
      </c>
      <c r="AN46">
        <v>3.5146806320260821E-2</v>
      </c>
      <c r="AO46">
        <v>3.8437341934302975E-2</v>
      </c>
      <c r="AP46">
        <v>9.8819796565965956E-2</v>
      </c>
      <c r="AQ46">
        <v>6.9850522422076192E-2</v>
      </c>
      <c r="AR46">
        <v>4.9134893172910345E-2</v>
      </c>
      <c r="AS46">
        <v>6.194941132881903E-2</v>
      </c>
      <c r="AU46" t="s">
        <v>692</v>
      </c>
      <c r="AV46" t="s">
        <v>102</v>
      </c>
      <c r="AW46">
        <v>0.24803943969036038</v>
      </c>
      <c r="AX46">
        <v>0.23394232010514737</v>
      </c>
      <c r="AY46">
        <v>0.22957488875928747</v>
      </c>
      <c r="AZ46">
        <v>0.20026053268704375</v>
      </c>
      <c r="BA46">
        <v>0.16090067663516242</v>
      </c>
      <c r="BB46">
        <v>0.16668593949958749</v>
      </c>
      <c r="BC46">
        <v>0.24827568626958388</v>
      </c>
      <c r="BD46">
        <v>0.20193377786226926</v>
      </c>
      <c r="BE46">
        <v>0.22482318262737466</v>
      </c>
      <c r="BF46">
        <v>0.21281492693726123</v>
      </c>
      <c r="BG46">
        <v>0.23562947604112777</v>
      </c>
      <c r="BH46">
        <v>0.21930846006819363</v>
      </c>
      <c r="BR46" t="s">
        <v>692</v>
      </c>
      <c r="BS46">
        <v>0.21496935783620669</v>
      </c>
      <c r="BT46">
        <v>0.24694566119619038</v>
      </c>
      <c r="BU46">
        <v>0.2486586470119326</v>
      </c>
      <c r="BV46">
        <v>0.30724682816306037</v>
      </c>
      <c r="BW46">
        <v>0.33570205106610468</v>
      </c>
      <c r="BX46">
        <v>0.35098505209208991</v>
      </c>
      <c r="BY46">
        <v>6.7483262264559349E-2</v>
      </c>
      <c r="BZ46">
        <v>9.8809587652399E-2</v>
      </c>
      <c r="CA46">
        <v>0.11700881247580437</v>
      </c>
      <c r="CB46">
        <v>0.18881018827128393</v>
      </c>
      <c r="CC46">
        <v>0.20696653944598234</v>
      </c>
      <c r="CD46">
        <v>0.21680983159609318</v>
      </c>
      <c r="CF46" t="s">
        <v>693</v>
      </c>
      <c r="CG46" t="s">
        <v>108</v>
      </c>
      <c r="CH46" t="s">
        <v>109</v>
      </c>
      <c r="CI46">
        <v>0.19587552914630407</v>
      </c>
    </row>
    <row r="47" spans="2:87" x14ac:dyDescent="0.45">
      <c r="B47" t="s">
        <v>694</v>
      </c>
      <c r="C47" t="s">
        <v>99</v>
      </c>
      <c r="D47">
        <v>0.45812093824221056</v>
      </c>
      <c r="E47">
        <v>0.48575298110802684</v>
      </c>
      <c r="F47">
        <v>0.44825409761394747</v>
      </c>
      <c r="G47">
        <v>0.40821086713206284</v>
      </c>
      <c r="H47">
        <v>0.41248492264861264</v>
      </c>
      <c r="I47">
        <v>0.39463410025659812</v>
      </c>
      <c r="J47">
        <v>0.4279419322511438</v>
      </c>
      <c r="K47">
        <v>0.44973297386768635</v>
      </c>
      <c r="L47">
        <v>0.42113197662203111</v>
      </c>
      <c r="M47">
        <v>0.50265142203415325</v>
      </c>
      <c r="N47">
        <v>0.48717733367498223</v>
      </c>
      <c r="O47">
        <v>0.49869227947131983</v>
      </c>
      <c r="Q47" t="s">
        <v>694</v>
      </c>
      <c r="R47" t="s">
        <v>100</v>
      </c>
      <c r="S47">
        <v>5.5290878938119577E-2</v>
      </c>
      <c r="T47">
        <v>7.7161924834203754E-2</v>
      </c>
      <c r="U47">
        <v>2.6416688192588446E-2</v>
      </c>
      <c r="V47">
        <v>4.2591228861409036E-2</v>
      </c>
      <c r="W47">
        <v>3.972832904156863E-2</v>
      </c>
      <c r="X47">
        <v>4.2559317098373531E-2</v>
      </c>
      <c r="Y47">
        <v>5.1948550808083999E-2</v>
      </c>
      <c r="Z47">
        <v>0.15612241193760754</v>
      </c>
      <c r="AA47">
        <v>5.1809419087773208E-2</v>
      </c>
      <c r="AB47">
        <v>4.342171629214342E-2</v>
      </c>
      <c r="AC47">
        <v>7.6005077737963819E-2</v>
      </c>
      <c r="AD47">
        <v>7.2640606405904792E-2</v>
      </c>
      <c r="AF47" t="s">
        <v>694</v>
      </c>
      <c r="AG47" t="s">
        <v>101</v>
      </c>
      <c r="AH47">
        <v>7.2800895192367446E-2</v>
      </c>
      <c r="AI47">
        <v>7.8079121543853588E-2</v>
      </c>
      <c r="AJ47">
        <v>9.2521065509251141E-2</v>
      </c>
      <c r="AK47">
        <v>7.10193435756174E-2</v>
      </c>
      <c r="AL47">
        <v>2.7754850117548868E-2</v>
      </c>
      <c r="AM47">
        <v>6.5972865505674064E-2</v>
      </c>
      <c r="AN47">
        <v>3.5339253201517366E-2</v>
      </c>
      <c r="AO47">
        <v>2.079386209035362E-2</v>
      </c>
      <c r="AP47">
        <v>0.12875434384112464</v>
      </c>
      <c r="AQ47">
        <v>5.377376240976689E-2</v>
      </c>
      <c r="AR47">
        <v>6.7326556780433838E-2</v>
      </c>
      <c r="AS47">
        <v>8.0329616729027095E-2</v>
      </c>
      <c r="AU47" t="s">
        <v>694</v>
      </c>
      <c r="AV47" t="s">
        <v>102</v>
      </c>
      <c r="AW47">
        <v>0.19675920000161023</v>
      </c>
      <c r="AX47">
        <v>0.1986957845288046</v>
      </c>
      <c r="AY47">
        <v>0.20063791309676185</v>
      </c>
      <c r="AZ47">
        <v>0.1566820381322972</v>
      </c>
      <c r="BA47">
        <v>0.20856331008735984</v>
      </c>
      <c r="BB47">
        <v>0.14142431008171943</v>
      </c>
      <c r="BC47">
        <v>0.23493328681631026</v>
      </c>
      <c r="BD47">
        <v>0.16311979483798222</v>
      </c>
      <c r="BE47">
        <v>0.13185952956718022</v>
      </c>
      <c r="BF47">
        <v>0.27024411456586805</v>
      </c>
      <c r="BG47">
        <v>0.20747215592263085</v>
      </c>
      <c r="BH47">
        <v>0.21105129000943451</v>
      </c>
      <c r="BR47" t="s">
        <v>694</v>
      </c>
      <c r="BS47">
        <v>0.25088955083607384</v>
      </c>
      <c r="BT47">
        <v>0.25928069263510567</v>
      </c>
      <c r="BU47">
        <v>0.26402732826310926</v>
      </c>
      <c r="BV47">
        <v>0.32027318426303486</v>
      </c>
      <c r="BW47">
        <v>0.31794988862059398</v>
      </c>
      <c r="BX47">
        <v>0.36134981166235686</v>
      </c>
      <c r="BY47">
        <v>5.467246821721708E-2</v>
      </c>
      <c r="BZ47">
        <v>8.0013745368450642E-2</v>
      </c>
      <c r="CA47">
        <v>0.11626030623830128</v>
      </c>
      <c r="CB47">
        <v>0.19002198329800771</v>
      </c>
      <c r="CC47">
        <v>0.17436304700538185</v>
      </c>
      <c r="CD47">
        <v>0.21277930698644126</v>
      </c>
      <c r="CF47" t="s">
        <v>695</v>
      </c>
      <c r="CG47" t="s">
        <v>108</v>
      </c>
      <c r="CH47" t="s">
        <v>109</v>
      </c>
      <c r="CI47">
        <v>0.18155086982662652</v>
      </c>
    </row>
    <row r="48" spans="2:87" x14ac:dyDescent="0.45">
      <c r="B48" t="s">
        <v>696</v>
      </c>
      <c r="C48" t="s">
        <v>99</v>
      </c>
      <c r="D48">
        <v>0.33988124897529021</v>
      </c>
      <c r="E48">
        <v>0.31811662307930488</v>
      </c>
      <c r="F48">
        <v>0.30653991176285977</v>
      </c>
      <c r="G48">
        <v>0.31740761360957315</v>
      </c>
      <c r="H48">
        <v>0.28637993916390836</v>
      </c>
      <c r="I48">
        <v>0.29897896724021661</v>
      </c>
      <c r="J48">
        <v>0.51787848508172973</v>
      </c>
      <c r="K48">
        <v>0.47767800915036829</v>
      </c>
      <c r="L48">
        <v>0.49408081276189841</v>
      </c>
      <c r="M48">
        <v>0.46865719697145969</v>
      </c>
      <c r="N48">
        <v>0.46895589618781897</v>
      </c>
      <c r="O48">
        <v>0.45916186446743323</v>
      </c>
      <c r="Q48" t="s">
        <v>696</v>
      </c>
      <c r="R48" t="s">
        <v>100</v>
      </c>
      <c r="S48">
        <v>1.1452653183221386E-2</v>
      </c>
      <c r="T48">
        <v>2.479822949950608E-2</v>
      </c>
      <c r="U48">
        <v>2.0036546873167495E-2</v>
      </c>
      <c r="V48">
        <v>1.9253056928308341E-2</v>
      </c>
      <c r="W48">
        <v>2.0678686024524291E-2</v>
      </c>
      <c r="X48">
        <v>9.6291049426207864E-3</v>
      </c>
      <c r="Y48">
        <v>1.1656700479347552E-2</v>
      </c>
      <c r="Z48">
        <v>3.7669991981192058E-2</v>
      </c>
      <c r="AA48">
        <v>1.8746587153462384E-2</v>
      </c>
      <c r="AB48">
        <v>3.1157796494487782E-2</v>
      </c>
      <c r="AC48">
        <v>2.8975024456472112E-2</v>
      </c>
      <c r="AD48">
        <v>5.2161201457161807E-3</v>
      </c>
      <c r="AF48" t="s">
        <v>696</v>
      </c>
      <c r="AG48" t="s">
        <v>101</v>
      </c>
      <c r="AH48">
        <v>2.6934578728687566E-2</v>
      </c>
      <c r="AI48">
        <v>1.8882693781934787E-2</v>
      </c>
      <c r="AJ48">
        <v>5.0456021919751189E-2</v>
      </c>
      <c r="AK48">
        <v>2.0443964740499729E-2</v>
      </c>
      <c r="AL48">
        <v>2.9125520559695178E-2</v>
      </c>
      <c r="AM48">
        <v>2.4904430767068626E-2</v>
      </c>
      <c r="AN48">
        <v>2.2760277781038021E-2</v>
      </c>
      <c r="AO48">
        <v>5.5400860087261625E-2</v>
      </c>
      <c r="AP48">
        <v>3.865096992771689E-2</v>
      </c>
      <c r="AQ48">
        <v>1.5573178592889307E-2</v>
      </c>
      <c r="AR48">
        <v>7.2877092814657735E-2</v>
      </c>
      <c r="AS48">
        <v>2.3772113360862494E-2</v>
      </c>
      <c r="AU48" t="s">
        <v>696</v>
      </c>
      <c r="AV48" t="s">
        <v>102</v>
      </c>
      <c r="AW48">
        <v>0.17210490318756461</v>
      </c>
      <c r="AX48">
        <v>0.14074514105901387</v>
      </c>
      <c r="AY48">
        <v>0.10802163193326304</v>
      </c>
      <c r="AZ48">
        <v>0.14946647030714671</v>
      </c>
      <c r="BA48">
        <v>0.11547680198647173</v>
      </c>
      <c r="BB48">
        <v>0.13961147355931555</v>
      </c>
      <c r="BC48">
        <v>0.37839291195415459</v>
      </c>
      <c r="BD48">
        <v>0.27533747468688802</v>
      </c>
      <c r="BE48">
        <v>0.32264652419193141</v>
      </c>
      <c r="BF48">
        <v>0.28552167462098471</v>
      </c>
      <c r="BG48">
        <v>0.22803028706369674</v>
      </c>
      <c r="BH48">
        <v>0.2991461196955959</v>
      </c>
      <c r="BR48" t="s">
        <v>696</v>
      </c>
      <c r="BS48">
        <v>0.43529283918515266</v>
      </c>
      <c r="BT48">
        <v>0.45292524919037408</v>
      </c>
      <c r="BU48">
        <v>0.47812241590912136</v>
      </c>
      <c r="BV48">
        <v>0.45499496957080116</v>
      </c>
      <c r="BW48">
        <v>0.49782032146067434</v>
      </c>
      <c r="BX48">
        <v>0.47877118445787914</v>
      </c>
      <c r="BY48">
        <v>0.14250822510525718</v>
      </c>
      <c r="BZ48">
        <v>0.16249452474663559</v>
      </c>
      <c r="CA48">
        <v>0.18701787263564484</v>
      </c>
      <c r="CB48">
        <v>0.21820843258799888</v>
      </c>
      <c r="CC48">
        <v>0.2530891449488939</v>
      </c>
      <c r="CD48">
        <v>0.2549608753133184</v>
      </c>
      <c r="CF48" t="s">
        <v>697</v>
      </c>
      <c r="CG48" t="s">
        <v>108</v>
      </c>
      <c r="CH48" t="s">
        <v>109</v>
      </c>
      <c r="CI48">
        <v>0.35932772268173729</v>
      </c>
    </row>
    <row r="49" spans="2:87" x14ac:dyDescent="0.45">
      <c r="B49" t="s">
        <v>698</v>
      </c>
      <c r="C49" t="s">
        <v>99</v>
      </c>
      <c r="D49">
        <v>0.30120548751302095</v>
      </c>
      <c r="E49">
        <v>0.28049192940992046</v>
      </c>
      <c r="F49">
        <v>0.30105867731774322</v>
      </c>
      <c r="G49">
        <v>0.29682984735906454</v>
      </c>
      <c r="H49">
        <v>0.32756134895178757</v>
      </c>
      <c r="I49">
        <v>0.32184214024374397</v>
      </c>
      <c r="J49">
        <v>0.47468370558586598</v>
      </c>
      <c r="K49">
        <v>0.47308416177335788</v>
      </c>
      <c r="L49">
        <v>0.4458354206156388</v>
      </c>
      <c r="M49">
        <v>0.40761236892531882</v>
      </c>
      <c r="N49">
        <v>0.43082565003596413</v>
      </c>
      <c r="O49">
        <v>0.40578656181912298</v>
      </c>
      <c r="Q49" t="s">
        <v>698</v>
      </c>
      <c r="R49" t="s">
        <v>100</v>
      </c>
      <c r="S49">
        <v>1.5108407738923546E-2</v>
      </c>
      <c r="T49">
        <v>2.0103629288640807E-2</v>
      </c>
      <c r="U49">
        <v>1.2220822293068328E-2</v>
      </c>
      <c r="V49">
        <v>1.8794360520749145E-2</v>
      </c>
      <c r="W49">
        <v>1.9685410757673528E-2</v>
      </c>
      <c r="X49">
        <v>1.5726684639593255E-2</v>
      </c>
      <c r="Y49">
        <v>2.4038588307908809E-2</v>
      </c>
      <c r="Z49">
        <v>3.1737632143613248E-2</v>
      </c>
      <c r="AA49">
        <v>4.2322758795219984E-3</v>
      </c>
      <c r="AB49">
        <v>2.7082586338199131E-2</v>
      </c>
      <c r="AC49">
        <v>1.0755844441988812E-2</v>
      </c>
      <c r="AD49">
        <v>1.4794872117516197E-2</v>
      </c>
      <c r="AF49" t="s">
        <v>698</v>
      </c>
      <c r="AG49" t="s">
        <v>101</v>
      </c>
      <c r="AH49">
        <v>2.1150906567302102E-2</v>
      </c>
      <c r="AI49">
        <v>1.9613301707411705E-2</v>
      </c>
      <c r="AJ49">
        <v>3.2923037980285175E-2</v>
      </c>
      <c r="AK49">
        <v>2.7245115563833671E-2</v>
      </c>
      <c r="AL49">
        <v>2.7069296314502625E-2</v>
      </c>
      <c r="AM49">
        <v>2.0764985346158251E-2</v>
      </c>
      <c r="AN49">
        <v>4.5415419947858242E-2</v>
      </c>
      <c r="AO49">
        <v>2.7851507389613814E-2</v>
      </c>
      <c r="AP49">
        <v>4.0832016485726902E-2</v>
      </c>
      <c r="AQ49">
        <v>3.0435022268566047E-2</v>
      </c>
      <c r="AR49">
        <v>3.2672217119893966E-2</v>
      </c>
      <c r="AS49">
        <v>2.2273304431830059E-2</v>
      </c>
      <c r="AU49" t="s">
        <v>698</v>
      </c>
      <c r="AV49" t="s">
        <v>102</v>
      </c>
      <c r="AW49">
        <v>0.13013172668071152</v>
      </c>
      <c r="AX49">
        <v>0.10728534773346889</v>
      </c>
      <c r="AY49">
        <v>0.11448232926683057</v>
      </c>
      <c r="AZ49">
        <v>0.13093096339013113</v>
      </c>
      <c r="BA49">
        <v>0.15322640937519882</v>
      </c>
      <c r="BB49">
        <v>0.15734277110560937</v>
      </c>
      <c r="BC49">
        <v>0.27062327424208149</v>
      </c>
      <c r="BD49">
        <v>0.27850046121645944</v>
      </c>
      <c r="BE49">
        <v>0.2718923647636059</v>
      </c>
      <c r="BF49">
        <v>0.21806530112322983</v>
      </c>
      <c r="BG49">
        <v>0.25561434070146188</v>
      </c>
      <c r="BH49">
        <v>0.23764306395779142</v>
      </c>
      <c r="BR49" t="s">
        <v>698</v>
      </c>
      <c r="BS49">
        <v>0.50255432432970015</v>
      </c>
      <c r="BT49">
        <v>0.53572170816761011</v>
      </c>
      <c r="BU49">
        <v>0.53279969032323005</v>
      </c>
      <c r="BV49">
        <v>0.50949142291187566</v>
      </c>
      <c r="BW49">
        <v>0.47137455206689038</v>
      </c>
      <c r="BX49">
        <v>0.48775324773198286</v>
      </c>
      <c r="BY49">
        <v>0.24424729405377746</v>
      </c>
      <c r="BZ49">
        <v>0.22842852161011809</v>
      </c>
      <c r="CA49">
        <v>0.2643943046872313</v>
      </c>
      <c r="CB49">
        <v>0.30581590817834925</v>
      </c>
      <c r="CC49">
        <v>0.2814621626093467</v>
      </c>
      <c r="CD49">
        <v>0.31429666025913916</v>
      </c>
      <c r="CF49" t="s">
        <v>699</v>
      </c>
      <c r="CG49" t="s">
        <v>108</v>
      </c>
      <c r="CH49" t="s">
        <v>109</v>
      </c>
      <c r="CI49">
        <v>0.30296296616515833</v>
      </c>
    </row>
    <row r="50" spans="2:87" x14ac:dyDescent="0.45">
      <c r="B50" t="s">
        <v>700</v>
      </c>
      <c r="C50" t="s">
        <v>99</v>
      </c>
      <c r="D50">
        <v>0.3634871817575549</v>
      </c>
      <c r="E50">
        <v>0.32459777215383112</v>
      </c>
      <c r="F50">
        <v>0.33477190479981822</v>
      </c>
      <c r="G50">
        <v>0.34035197463108863</v>
      </c>
      <c r="H50">
        <v>0.33866581515888339</v>
      </c>
      <c r="I50">
        <v>0.34131017602306329</v>
      </c>
      <c r="J50">
        <v>0.42542488352899605</v>
      </c>
      <c r="K50">
        <v>0.45138986227342803</v>
      </c>
      <c r="L50">
        <v>0.40879387573562026</v>
      </c>
      <c r="M50">
        <v>0.43877883207732882</v>
      </c>
      <c r="N50">
        <v>0.42699110250382705</v>
      </c>
      <c r="O50">
        <v>0.42933861554715425</v>
      </c>
      <c r="Q50" t="s">
        <v>700</v>
      </c>
      <c r="R50" t="s">
        <v>100</v>
      </c>
      <c r="S50">
        <v>2.2145896680739144E-2</v>
      </c>
      <c r="T50">
        <v>3.6297577606464182E-2</v>
      </c>
      <c r="U50">
        <v>3.0266900626948479E-2</v>
      </c>
      <c r="V50">
        <v>2.4632541314929153E-2</v>
      </c>
      <c r="W50">
        <v>2.0869095803007331E-2</v>
      </c>
      <c r="X50">
        <v>1.5544522120785496E-2</v>
      </c>
      <c r="Y50">
        <v>2.5846656897430167E-2</v>
      </c>
      <c r="Z50">
        <v>6.4118846186514783E-2</v>
      </c>
      <c r="AA50">
        <v>1.3302933219120258E-2</v>
      </c>
      <c r="AB50">
        <v>2.6063826330894376E-2</v>
      </c>
      <c r="AC50">
        <v>3.1092360432469178E-2</v>
      </c>
      <c r="AD50">
        <v>1.1537623376584932E-2</v>
      </c>
      <c r="AF50" t="s">
        <v>700</v>
      </c>
      <c r="AG50" t="s">
        <v>101</v>
      </c>
      <c r="AH50">
        <v>3.0428721969432696E-2</v>
      </c>
      <c r="AI50">
        <v>2.7540502065434392E-2</v>
      </c>
      <c r="AJ50">
        <v>6.2232029460431305E-2</v>
      </c>
      <c r="AK50">
        <v>2.4495767355489854E-2</v>
      </c>
      <c r="AL50">
        <v>3.2914546090444856E-2</v>
      </c>
      <c r="AM50">
        <v>2.3575362028789945E-2</v>
      </c>
      <c r="AN50">
        <v>2.1724153870619049E-2</v>
      </c>
      <c r="AO50">
        <v>6.1380086941916281E-2</v>
      </c>
      <c r="AP50">
        <v>4.7118988108899938E-2</v>
      </c>
      <c r="AQ50">
        <v>4.5176484601108041E-2</v>
      </c>
      <c r="AR50">
        <v>4.2092907965731757E-2</v>
      </c>
      <c r="AS50">
        <v>3.347013436864648E-2</v>
      </c>
      <c r="AU50" t="s">
        <v>700</v>
      </c>
      <c r="AV50" t="s">
        <v>102</v>
      </c>
      <c r="AW50">
        <v>0.18237694803384857</v>
      </c>
      <c r="AX50">
        <v>0.12092762543651836</v>
      </c>
      <c r="AY50">
        <v>0.10805489303214134</v>
      </c>
      <c r="AZ50">
        <v>0.14875192700075962</v>
      </c>
      <c r="BA50">
        <v>0.14762799334341753</v>
      </c>
      <c r="BB50">
        <v>0.16607171060016429</v>
      </c>
      <c r="BC50">
        <v>0.24995127118748323</v>
      </c>
      <c r="BD50">
        <v>0.18512321180596306</v>
      </c>
      <c r="BE50">
        <v>0.2027576024619322</v>
      </c>
      <c r="BF50">
        <v>0.23655519786053258</v>
      </c>
      <c r="BG50">
        <v>0.22371940000844615</v>
      </c>
      <c r="BH50">
        <v>0.25372469786982643</v>
      </c>
      <c r="BR50" t="s">
        <v>700</v>
      </c>
      <c r="BS50">
        <v>0.38776245303224055</v>
      </c>
      <c r="BT50">
        <v>0.43907242145772696</v>
      </c>
      <c r="BU50">
        <v>0.42314328393851219</v>
      </c>
      <c r="BV50">
        <v>0.44634425467529615</v>
      </c>
      <c r="BW50">
        <v>0.450958943487273</v>
      </c>
      <c r="BX50">
        <v>0.43907302127109171</v>
      </c>
      <c r="BY50">
        <v>0.16745457098204652</v>
      </c>
      <c r="BZ50">
        <v>0.22170319703432248</v>
      </c>
      <c r="CA50">
        <v>0.25296455006427682</v>
      </c>
      <c r="CB50">
        <v>0.25432327896668877</v>
      </c>
      <c r="CC50">
        <v>0.27075257328583008</v>
      </c>
      <c r="CD50">
        <v>0.26197643653235708</v>
      </c>
      <c r="CF50" t="s">
        <v>701</v>
      </c>
      <c r="CG50" t="s">
        <v>108</v>
      </c>
      <c r="CH50" t="s">
        <v>109</v>
      </c>
      <c r="CI50">
        <v>0.36422400485770029</v>
      </c>
    </row>
    <row r="51" spans="2:87" x14ac:dyDescent="0.45">
      <c r="B51" t="s">
        <v>702</v>
      </c>
      <c r="C51" t="s">
        <v>99</v>
      </c>
      <c r="D51">
        <v>0.32136466524108448</v>
      </c>
      <c r="E51">
        <v>0.32156761211217222</v>
      </c>
      <c r="F51">
        <v>0.34068046425912901</v>
      </c>
      <c r="G51">
        <v>0.26736286015184346</v>
      </c>
      <c r="H51">
        <v>0.31569057101901599</v>
      </c>
      <c r="I51">
        <v>0.29398102677089677</v>
      </c>
      <c r="J51">
        <v>0.41491866844315578</v>
      </c>
      <c r="K51">
        <v>0.41622608889043761</v>
      </c>
      <c r="L51">
        <v>0.38766429450999418</v>
      </c>
      <c r="M51">
        <v>0.36923334468611524</v>
      </c>
      <c r="N51">
        <v>0.37602596791125509</v>
      </c>
      <c r="O51">
        <v>0.37912748227411563</v>
      </c>
      <c r="Q51" t="s">
        <v>702</v>
      </c>
      <c r="R51" t="s">
        <v>100</v>
      </c>
      <c r="S51">
        <v>1.8630748421444791E-2</v>
      </c>
      <c r="T51">
        <v>2.2975074341646057E-2</v>
      </c>
      <c r="U51">
        <v>5.4039073961494157E-3</v>
      </c>
      <c r="V51">
        <v>1.0543633273887723E-2</v>
      </c>
      <c r="W51">
        <v>1.6603629631963605E-2</v>
      </c>
      <c r="X51">
        <v>1.2041119400718009E-2</v>
      </c>
      <c r="Y51">
        <v>1.9953454546742466E-2</v>
      </c>
      <c r="Z51">
        <v>1.7936212539416158E-2</v>
      </c>
      <c r="AA51">
        <v>1.5675335595314064E-2</v>
      </c>
      <c r="AB51">
        <v>2.2007878633094106E-2</v>
      </c>
      <c r="AC51">
        <v>1.5733293614134853E-2</v>
      </c>
      <c r="AD51">
        <v>1.1648532970550027E-2</v>
      </c>
      <c r="AF51" t="s">
        <v>702</v>
      </c>
      <c r="AG51" t="s">
        <v>101</v>
      </c>
      <c r="AH51">
        <v>1.3619311402326048E-2</v>
      </c>
      <c r="AI51">
        <v>2.8261581305699123E-2</v>
      </c>
      <c r="AJ51">
        <v>3.4651940817210639E-2</v>
      </c>
      <c r="AK51">
        <v>1.6272677351350122E-2</v>
      </c>
      <c r="AL51">
        <v>2.7841522127837571E-2</v>
      </c>
      <c r="AM51">
        <v>1.1666500761889331E-2</v>
      </c>
      <c r="AN51">
        <v>3.0725159933518931E-2</v>
      </c>
      <c r="AO51">
        <v>3.2861944454889803E-2</v>
      </c>
      <c r="AP51">
        <v>1.9919852635793284E-2</v>
      </c>
      <c r="AQ51">
        <v>2.2753336611920961E-2</v>
      </c>
      <c r="AR51">
        <v>3.4401663450413428E-2</v>
      </c>
      <c r="AS51">
        <v>3.2960365825477615E-2</v>
      </c>
      <c r="AU51" t="s">
        <v>702</v>
      </c>
      <c r="AV51" t="s">
        <v>102</v>
      </c>
      <c r="AW51">
        <v>0.15128730974585242</v>
      </c>
      <c r="AX51">
        <v>0.12529100560107978</v>
      </c>
      <c r="AY51">
        <v>0.16114563737871396</v>
      </c>
      <c r="AZ51">
        <v>0.12258457006280279</v>
      </c>
      <c r="BA51">
        <v>0.13679515231709696</v>
      </c>
      <c r="BB51">
        <v>0.13721871230941513</v>
      </c>
      <c r="BC51">
        <v>0.23982659611420989</v>
      </c>
      <c r="BD51">
        <v>0.24427877809287282</v>
      </c>
      <c r="BE51">
        <v>0.23968945492587121</v>
      </c>
      <c r="BF51">
        <v>0.19821300122596464</v>
      </c>
      <c r="BG51">
        <v>0.2043452563680154</v>
      </c>
      <c r="BH51">
        <v>0.20351735217102299</v>
      </c>
      <c r="BR51" t="s">
        <v>702</v>
      </c>
      <c r="BS51">
        <v>0.48335194843955948</v>
      </c>
      <c r="BT51">
        <v>0.49491153627339901</v>
      </c>
      <c r="BU51">
        <v>0.45624822170370649</v>
      </c>
      <c r="BV51">
        <v>0.5293761893050668</v>
      </c>
      <c r="BW51">
        <v>0.48526532862898575</v>
      </c>
      <c r="BX51">
        <v>0.51727926202052088</v>
      </c>
      <c r="BY51">
        <v>0.20272840818107388</v>
      </c>
      <c r="BZ51">
        <v>0.20640113248118772</v>
      </c>
      <c r="CA51">
        <v>0.23798065036487387</v>
      </c>
      <c r="CB51">
        <v>0.36406223665787713</v>
      </c>
      <c r="CC51">
        <v>0.33826959386623617</v>
      </c>
      <c r="CD51">
        <v>0.36207483004171825</v>
      </c>
      <c r="CF51" t="s">
        <v>703</v>
      </c>
      <c r="CG51" t="s">
        <v>108</v>
      </c>
      <c r="CH51" t="s">
        <v>109</v>
      </c>
      <c r="CI51">
        <v>0.25982225111425222</v>
      </c>
    </row>
    <row r="52" spans="2:87" x14ac:dyDescent="0.45">
      <c r="B52" t="s">
        <v>704</v>
      </c>
      <c r="C52" t="s">
        <v>99</v>
      </c>
      <c r="D52">
        <v>0.32422591184380911</v>
      </c>
      <c r="E52">
        <v>0.33661817538057653</v>
      </c>
      <c r="F52">
        <v>0.33415851807972985</v>
      </c>
      <c r="G52">
        <v>0.29704741913449045</v>
      </c>
      <c r="H52">
        <v>0.29660705919284841</v>
      </c>
      <c r="I52">
        <v>0.27129022550461479</v>
      </c>
      <c r="J52">
        <v>0.44309365640610548</v>
      </c>
      <c r="K52">
        <v>0.42783993000398202</v>
      </c>
      <c r="L52">
        <v>0.39270929354122158</v>
      </c>
      <c r="M52">
        <v>0.36669047777263569</v>
      </c>
      <c r="N52">
        <v>0.38457215396394062</v>
      </c>
      <c r="O52">
        <v>0.37263602108130189</v>
      </c>
      <c r="Q52" t="s">
        <v>704</v>
      </c>
      <c r="R52" t="s">
        <v>100</v>
      </c>
      <c r="S52">
        <v>1.3317899892642669E-2</v>
      </c>
      <c r="T52">
        <v>1.7591887536400789E-2</v>
      </c>
      <c r="U52">
        <v>8.3088930101436909E-3</v>
      </c>
      <c r="V52">
        <v>1.3650875607746299E-2</v>
      </c>
      <c r="W52">
        <v>1.8091904266430675E-2</v>
      </c>
      <c r="X52">
        <v>1.8268532235799429E-2</v>
      </c>
      <c r="Y52">
        <v>5.7702955775162891E-3</v>
      </c>
      <c r="Z52">
        <v>2.3038344091125578E-2</v>
      </c>
      <c r="AA52">
        <v>1.3842796158150053E-2</v>
      </c>
      <c r="AB52">
        <v>9.8121983272333336E-3</v>
      </c>
      <c r="AC52">
        <v>2.4769395096773335E-2</v>
      </c>
      <c r="AD52">
        <v>5.8203458719914862E-3</v>
      </c>
      <c r="AF52" t="s">
        <v>704</v>
      </c>
      <c r="AG52" t="s">
        <v>101</v>
      </c>
      <c r="AH52">
        <v>1.614789389829473E-2</v>
      </c>
      <c r="AI52">
        <v>3.1972299130735363E-2</v>
      </c>
      <c r="AJ52">
        <v>9.0065466459128014E-3</v>
      </c>
      <c r="AK52">
        <v>1.4153110529429188E-2</v>
      </c>
      <c r="AL52">
        <v>2.1410921627883057E-2</v>
      </c>
      <c r="AM52">
        <v>3.2877825197670317E-2</v>
      </c>
      <c r="AN52">
        <v>2.5578347049107893E-2</v>
      </c>
      <c r="AO52">
        <v>2.4230502948128264E-2</v>
      </c>
      <c r="AP52">
        <v>3.0403661800250125E-2</v>
      </c>
      <c r="AQ52">
        <v>1.8597371454190621E-2</v>
      </c>
      <c r="AR52">
        <v>2.3119669933326061E-2</v>
      </c>
      <c r="AS52">
        <v>3.9304954734009044E-2</v>
      </c>
      <c r="AU52" t="s">
        <v>704</v>
      </c>
      <c r="AV52" t="s">
        <v>102</v>
      </c>
      <c r="AW52">
        <v>0.1504419997772794</v>
      </c>
      <c r="AX52">
        <v>0.14442021284924228</v>
      </c>
      <c r="AY52">
        <v>0.17335224092600052</v>
      </c>
      <c r="AZ52">
        <v>0.15347484691212876</v>
      </c>
      <c r="BA52">
        <v>0.14047072842535133</v>
      </c>
      <c r="BB52">
        <v>0.10636263834844441</v>
      </c>
      <c r="BC52">
        <v>0.28312867150111881</v>
      </c>
      <c r="BD52">
        <v>0.25521872852330557</v>
      </c>
      <c r="BE52">
        <v>0.22638179672254197</v>
      </c>
      <c r="BF52">
        <v>0.21842841052785064</v>
      </c>
      <c r="BG52">
        <v>0.20682643171749523</v>
      </c>
      <c r="BH52">
        <v>0.20290805418148636</v>
      </c>
      <c r="BR52" t="s">
        <v>704</v>
      </c>
      <c r="BS52">
        <v>0.46646850832991588</v>
      </c>
      <c r="BT52">
        <v>0.45500690192471605</v>
      </c>
      <c r="BU52">
        <v>0.44815069336369884</v>
      </c>
      <c r="BV52">
        <v>0.46384938936467007</v>
      </c>
      <c r="BW52">
        <v>0.46681028767076455</v>
      </c>
      <c r="BX52">
        <v>0.48777698110224998</v>
      </c>
      <c r="BY52">
        <v>0.219592887171665</v>
      </c>
      <c r="BZ52">
        <v>0.23266020800385614</v>
      </c>
      <c r="CA52">
        <v>0.26351698052941436</v>
      </c>
      <c r="CB52">
        <v>0.33796699620368459</v>
      </c>
      <c r="CC52">
        <v>0.32190822238788847</v>
      </c>
      <c r="CD52">
        <v>0.34571592301961035</v>
      </c>
      <c r="CF52" t="s">
        <v>705</v>
      </c>
      <c r="CG52" t="s">
        <v>108</v>
      </c>
      <c r="CH52" t="s">
        <v>109</v>
      </c>
      <c r="CI52">
        <v>0.21653042432364414</v>
      </c>
    </row>
    <row r="53" spans="2:87" x14ac:dyDescent="0.45">
      <c r="B53" t="s">
        <v>706</v>
      </c>
      <c r="C53" t="s">
        <v>99</v>
      </c>
      <c r="D53">
        <v>0.39913652629086199</v>
      </c>
      <c r="E53">
        <v>0.42371068661409145</v>
      </c>
      <c r="F53">
        <v>0.42094095164993606</v>
      </c>
      <c r="G53">
        <v>0.31424882014900413</v>
      </c>
      <c r="H53">
        <v>0.3318373032553002</v>
      </c>
      <c r="I53">
        <v>0.33927972237684206</v>
      </c>
      <c r="J53">
        <v>0.46388053373724081</v>
      </c>
      <c r="K53">
        <v>0.46483419314490693</v>
      </c>
      <c r="L53">
        <v>0.46630985560538196</v>
      </c>
      <c r="M53">
        <v>0.39827922237610824</v>
      </c>
      <c r="N53">
        <v>0.40492054088852714</v>
      </c>
      <c r="O53">
        <v>0.38920107321924807</v>
      </c>
      <c r="Q53" t="s">
        <v>706</v>
      </c>
      <c r="R53" t="s">
        <v>100</v>
      </c>
      <c r="S53">
        <v>3.0046777675876171E-2</v>
      </c>
      <c r="T53">
        <v>2.5779373113046365E-2</v>
      </c>
      <c r="U53">
        <v>3.6194422747225785E-2</v>
      </c>
      <c r="V53">
        <v>2.1878022677083834E-2</v>
      </c>
      <c r="W53">
        <v>3.1366826647033837E-2</v>
      </c>
      <c r="X53">
        <v>3.1368204519576476E-2</v>
      </c>
      <c r="Y53">
        <v>1.6605339137783739E-2</v>
      </c>
      <c r="Z53">
        <v>3.6432368561116819E-2</v>
      </c>
      <c r="AA53">
        <v>4.838036920642242E-2</v>
      </c>
      <c r="AB53">
        <v>2.473572749425355E-2</v>
      </c>
      <c r="AC53">
        <v>1.0513411123842992E-2</v>
      </c>
      <c r="AD53">
        <v>1.749133184658952E-2</v>
      </c>
      <c r="AF53" t="s">
        <v>706</v>
      </c>
      <c r="AG53" t="s">
        <v>101</v>
      </c>
      <c r="AH53">
        <v>4.3215315063165706E-2</v>
      </c>
      <c r="AI53">
        <v>4.5342882269772566E-2</v>
      </c>
      <c r="AJ53">
        <v>3.4731457974932385E-2</v>
      </c>
      <c r="AK53">
        <v>4.100468389876951E-2</v>
      </c>
      <c r="AL53">
        <v>2.700630610773793E-2</v>
      </c>
      <c r="AM53">
        <v>3.2803138899607655E-2</v>
      </c>
      <c r="AN53">
        <v>5.5654139633425873E-2</v>
      </c>
      <c r="AO53">
        <v>3.5579440772682068E-2</v>
      </c>
      <c r="AP53">
        <v>5.5247026612303317E-2</v>
      </c>
      <c r="AQ53">
        <v>3.3523425387985417E-2</v>
      </c>
      <c r="AR53">
        <v>2.3042533172836981E-2</v>
      </c>
      <c r="AS53">
        <v>2.4025985678943311E-2</v>
      </c>
      <c r="AU53" t="s">
        <v>706</v>
      </c>
      <c r="AV53" t="s">
        <v>102</v>
      </c>
      <c r="AW53">
        <v>0.18056057486683974</v>
      </c>
      <c r="AX53">
        <v>0.21000436958683011</v>
      </c>
      <c r="AY53">
        <v>0.19805666176615086</v>
      </c>
      <c r="AZ53">
        <v>0.12740526219443687</v>
      </c>
      <c r="BA53">
        <v>0.14998809715847314</v>
      </c>
      <c r="BB53">
        <v>0.14447678285792634</v>
      </c>
      <c r="BC53">
        <v>0.26291254972370948</v>
      </c>
      <c r="BD53">
        <v>0.26777891173707158</v>
      </c>
      <c r="BE53">
        <v>0.22953398833693076</v>
      </c>
      <c r="BF53">
        <v>0.19483326997395156</v>
      </c>
      <c r="BG53">
        <v>0.22130919069190833</v>
      </c>
      <c r="BH53">
        <v>0.1964000354211389</v>
      </c>
      <c r="BR53" t="s">
        <v>706</v>
      </c>
      <c r="BS53">
        <v>0.34921140107692944</v>
      </c>
      <c r="BT53">
        <v>0.34411313935993565</v>
      </c>
      <c r="BU53">
        <v>0.35197630934538204</v>
      </c>
      <c r="BV53">
        <v>0.40493304327176594</v>
      </c>
      <c r="BW53">
        <v>0.39202508407983438</v>
      </c>
      <c r="BX53">
        <v>0.41536419841118483</v>
      </c>
      <c r="BY53">
        <v>0.16471678755041874</v>
      </c>
      <c r="BZ53">
        <v>0.1432600004631174</v>
      </c>
      <c r="CA53">
        <v>0.16660129179371166</v>
      </c>
      <c r="CB53">
        <v>0.34294811762042937</v>
      </c>
      <c r="CC53">
        <v>0.35128536612270622</v>
      </c>
      <c r="CD53">
        <v>0.35791586163123928</v>
      </c>
      <c r="CF53" t="s">
        <v>707</v>
      </c>
      <c r="CG53" t="s">
        <v>108</v>
      </c>
      <c r="CH53" t="s">
        <v>109</v>
      </c>
      <c r="CI53">
        <v>0.20789387002778062</v>
      </c>
    </row>
    <row r="54" spans="2:87" x14ac:dyDescent="0.45">
      <c r="B54" t="s">
        <v>708</v>
      </c>
      <c r="C54" t="s">
        <v>99</v>
      </c>
      <c r="D54">
        <v>0.37571156930651489</v>
      </c>
      <c r="E54">
        <v>0.38672860283049093</v>
      </c>
      <c r="F54">
        <v>0.39336955037916871</v>
      </c>
      <c r="G54">
        <v>0.36573654242291459</v>
      </c>
      <c r="H54">
        <v>0.34020524609856945</v>
      </c>
      <c r="I54">
        <v>0.33169463133865124</v>
      </c>
      <c r="J54">
        <v>0.48402877645503878</v>
      </c>
      <c r="K54">
        <v>0.40911071935113824</v>
      </c>
      <c r="L54">
        <v>0.37498876904592415</v>
      </c>
      <c r="M54">
        <v>0.42907501598664244</v>
      </c>
      <c r="N54">
        <v>0.41228386315208049</v>
      </c>
      <c r="O54">
        <v>0.38197178087760536</v>
      </c>
      <c r="Q54" t="s">
        <v>708</v>
      </c>
      <c r="R54" t="s">
        <v>100</v>
      </c>
      <c r="S54">
        <v>1.8774074132887106E-2</v>
      </c>
      <c r="T54">
        <v>3.2840954875048081E-2</v>
      </c>
      <c r="U54">
        <v>1.4898385820973895E-2</v>
      </c>
      <c r="V54">
        <v>2.5210048324342555E-2</v>
      </c>
      <c r="W54">
        <v>1.8213972018612159E-2</v>
      </c>
      <c r="X54">
        <v>1.2983931682397748E-2</v>
      </c>
      <c r="Y54">
        <v>1.7230193480237289E-2</v>
      </c>
      <c r="Z54">
        <v>5.2081668095345889E-2</v>
      </c>
      <c r="AA54">
        <v>1.6463546275888509E-2</v>
      </c>
      <c r="AB54">
        <v>1.9014383629891631E-2</v>
      </c>
      <c r="AC54">
        <v>1.5658373509624603E-2</v>
      </c>
      <c r="AD54">
        <v>2.4667543499435288E-2</v>
      </c>
      <c r="AF54" t="s">
        <v>708</v>
      </c>
      <c r="AG54" t="s">
        <v>101</v>
      </c>
      <c r="AH54">
        <v>2.66485862279769E-2</v>
      </c>
      <c r="AI54">
        <v>3.5888714377142764E-2</v>
      </c>
      <c r="AJ54">
        <v>3.6499208601875673E-2</v>
      </c>
      <c r="AK54">
        <v>1.7843723186817855E-2</v>
      </c>
      <c r="AL54">
        <v>3.9302258341660276E-2</v>
      </c>
      <c r="AM54">
        <v>1.1014212247414959E-2</v>
      </c>
      <c r="AN54">
        <v>1.2405383384493053E-2</v>
      </c>
      <c r="AO54">
        <v>2.8997058083202423E-2</v>
      </c>
      <c r="AP54">
        <v>5.1789620169836778E-2</v>
      </c>
      <c r="AQ54">
        <v>4.1347016075100933E-2</v>
      </c>
      <c r="AR54">
        <v>1.2268014118625721E-2</v>
      </c>
      <c r="AS54">
        <v>3.9201415127605145E-2</v>
      </c>
      <c r="AU54" t="s">
        <v>708</v>
      </c>
      <c r="AV54" t="s">
        <v>102</v>
      </c>
      <c r="AW54">
        <v>0.19134667954896964</v>
      </c>
      <c r="AX54">
        <v>0.17217147289656567</v>
      </c>
      <c r="AY54">
        <v>0.19108978855319636</v>
      </c>
      <c r="AZ54">
        <v>0.181177851449913</v>
      </c>
      <c r="BA54">
        <v>0.14075464954551065</v>
      </c>
      <c r="BB54">
        <v>0.18094411388861437</v>
      </c>
      <c r="BC54">
        <v>0.32978976506668806</v>
      </c>
      <c r="BD54">
        <v>0.21399299482464043</v>
      </c>
      <c r="BE54">
        <v>0.19394024104040986</v>
      </c>
      <c r="BF54">
        <v>0.23207248091710689</v>
      </c>
      <c r="BG54">
        <v>0.25411364281730853</v>
      </c>
      <c r="BH54">
        <v>0.20230748968222814</v>
      </c>
      <c r="BR54" t="s">
        <v>708</v>
      </c>
      <c r="BS54">
        <v>0.36370514713836571</v>
      </c>
      <c r="BT54">
        <v>0.37507536520679252</v>
      </c>
      <c r="BU54">
        <v>0.37774387723616931</v>
      </c>
      <c r="BV54">
        <v>0.37117621012493024</v>
      </c>
      <c r="BW54">
        <v>0.39301685293987992</v>
      </c>
      <c r="BX54">
        <v>0.38188571806692756</v>
      </c>
      <c r="BY54">
        <v>0.1300408354445452</v>
      </c>
      <c r="BZ54">
        <v>0.14727582783477156</v>
      </c>
      <c r="CA54">
        <v>0.15630257812139206</v>
      </c>
      <c r="CB54">
        <v>0.29744747938188637</v>
      </c>
      <c r="CC54">
        <v>0.29180322502130818</v>
      </c>
      <c r="CD54">
        <v>0.28683327014816135</v>
      </c>
      <c r="CF54" t="s">
        <v>670</v>
      </c>
      <c r="CG54" t="s">
        <v>108</v>
      </c>
      <c r="CH54" t="s">
        <v>109</v>
      </c>
      <c r="CI54">
        <v>0.31522330650558267</v>
      </c>
    </row>
    <row r="55" spans="2:87" x14ac:dyDescent="0.45">
      <c r="B55" t="s">
        <v>671</v>
      </c>
      <c r="C55" t="s">
        <v>99</v>
      </c>
      <c r="D55">
        <v>0.49058795954096179</v>
      </c>
      <c r="E55">
        <v>0.5185213706903542</v>
      </c>
      <c r="F55">
        <v>0.53089625054430511</v>
      </c>
      <c r="G55">
        <v>0.42613734484736104</v>
      </c>
      <c r="H55">
        <v>0.47189732439544307</v>
      </c>
      <c r="I55">
        <v>0.43715951710233186</v>
      </c>
      <c r="J55">
        <v>0.43771421470531136</v>
      </c>
      <c r="K55">
        <v>0.42528799549673196</v>
      </c>
      <c r="L55">
        <v>0.41918254173012703</v>
      </c>
      <c r="M55">
        <v>0.44490018517096031</v>
      </c>
      <c r="N55">
        <v>0.47434457768808785</v>
      </c>
      <c r="O55">
        <v>0.47804597145967698</v>
      </c>
      <c r="Q55" t="s">
        <v>671</v>
      </c>
      <c r="R55" t="s">
        <v>100</v>
      </c>
      <c r="S55">
        <v>2.1695446246800604E-2</v>
      </c>
      <c r="T55">
        <v>2.5360425397789245E-2</v>
      </c>
      <c r="U55">
        <v>1.7492781505909119E-2</v>
      </c>
      <c r="V55">
        <v>8.252022512348009E-2</v>
      </c>
      <c r="W55">
        <v>3.4896881500526319E-2</v>
      </c>
      <c r="X55">
        <v>5.2452680652037377E-2</v>
      </c>
      <c r="Y55">
        <v>8.0332221923897662E-2</v>
      </c>
      <c r="Z55">
        <v>5.8739380117421927E-2</v>
      </c>
      <c r="AA55">
        <v>9.6874219165832068E-2</v>
      </c>
      <c r="AB55">
        <v>3.4973549007575225E-2</v>
      </c>
      <c r="AC55">
        <v>5.3015019409590594E-2</v>
      </c>
      <c r="AD55">
        <v>6.4118355594839749E-2</v>
      </c>
      <c r="AF55" t="s">
        <v>671</v>
      </c>
      <c r="AG55" t="s">
        <v>101</v>
      </c>
      <c r="AH55">
        <v>3.5601114797934839E-2</v>
      </c>
      <c r="AI55">
        <v>4.5977361399222628E-2</v>
      </c>
      <c r="AJ55">
        <v>9.6448481154453147E-2</v>
      </c>
      <c r="AK55">
        <v>0.10396466845547639</v>
      </c>
      <c r="AL55">
        <v>7.3158403869594366E-2</v>
      </c>
      <c r="AM55">
        <v>5.4878417036198772E-2</v>
      </c>
      <c r="AN55">
        <v>0.11319947180271113</v>
      </c>
      <c r="AO55">
        <v>2.9765712473762595E-2</v>
      </c>
      <c r="AP55">
        <v>2.1664171861310939E-2</v>
      </c>
      <c r="AQ55">
        <v>8.6624144200920281E-2</v>
      </c>
      <c r="AR55">
        <v>4.569279540231766E-2</v>
      </c>
      <c r="AS55">
        <v>9.9432478956583845E-2</v>
      </c>
      <c r="AU55" t="s">
        <v>671</v>
      </c>
      <c r="AV55" t="s">
        <v>102</v>
      </c>
      <c r="AW55">
        <v>0.31116675455434728</v>
      </c>
      <c r="AX55">
        <v>0.32476703810438257</v>
      </c>
      <c r="AY55">
        <v>0.29563523032996764</v>
      </c>
      <c r="AZ55">
        <v>0.12839149852331536</v>
      </c>
      <c r="BA55">
        <v>0.25724879526648248</v>
      </c>
      <c r="BB55">
        <v>0.21251516726202813</v>
      </c>
      <c r="BC55">
        <v>0.13078871592244723</v>
      </c>
      <c r="BD55">
        <v>0.24051800252949684</v>
      </c>
      <c r="BE55">
        <v>0.20825421227367727</v>
      </c>
      <c r="BF55">
        <v>0.1932878906056697</v>
      </c>
      <c r="BG55">
        <v>0.26017032306998483</v>
      </c>
      <c r="BH55">
        <v>0.18658877950494171</v>
      </c>
      <c r="BR55" t="s">
        <v>671</v>
      </c>
      <c r="BS55">
        <v>0.13398242611318309</v>
      </c>
      <c r="BT55">
        <v>0.11212758774024188</v>
      </c>
      <c r="BU55">
        <v>0.12604589519239051</v>
      </c>
      <c r="BV55">
        <v>0.11535705622872046</v>
      </c>
      <c r="BW55">
        <v>0.10335254302764529</v>
      </c>
      <c r="BX55">
        <v>0.10717989964366166</v>
      </c>
      <c r="BY55">
        <v>7.9724088403674995E-2</v>
      </c>
      <c r="BZ55">
        <v>5.6840963296577438E-2</v>
      </c>
      <c r="CA55">
        <v>4.8736907929616199E-2</v>
      </c>
      <c r="CB55">
        <v>0.14172064810692633</v>
      </c>
      <c r="CC55">
        <v>0.12237318074468652</v>
      </c>
      <c r="CD55">
        <v>0.12967886097074063</v>
      </c>
      <c r="CF55" t="s">
        <v>672</v>
      </c>
      <c r="CG55" t="s">
        <v>108</v>
      </c>
      <c r="CH55" t="s">
        <v>109</v>
      </c>
      <c r="CI55">
        <v>0.39141978984742243</v>
      </c>
    </row>
    <row r="56" spans="2:87" x14ac:dyDescent="0.45">
      <c r="B56" t="s">
        <v>673</v>
      </c>
      <c r="C56" t="s">
        <v>99</v>
      </c>
      <c r="D56">
        <v>0.4008798445429525</v>
      </c>
      <c r="E56">
        <v>0.5163177028216912</v>
      </c>
      <c r="F56">
        <v>0.44524431453901842</v>
      </c>
      <c r="G56">
        <v>0.41918534098117327</v>
      </c>
      <c r="H56">
        <v>0.46610028460502295</v>
      </c>
      <c r="I56">
        <v>0.35927203035698646</v>
      </c>
      <c r="J56">
        <v>0.39398553578624768</v>
      </c>
      <c r="K56">
        <v>0.45713694517918613</v>
      </c>
      <c r="L56">
        <v>0.33063325618283423</v>
      </c>
      <c r="M56">
        <v>0.38217847645272285</v>
      </c>
      <c r="N56">
        <v>0.45355731606198002</v>
      </c>
      <c r="O56">
        <v>0.3553709456786866</v>
      </c>
      <c r="Q56" t="s">
        <v>673</v>
      </c>
      <c r="R56" t="s">
        <v>100</v>
      </c>
      <c r="S56">
        <v>5.8648714947960784E-2</v>
      </c>
      <c r="T56">
        <v>6.3098073745473021E-2</v>
      </c>
      <c r="U56">
        <v>4.8055860660226449E-2</v>
      </c>
      <c r="V56">
        <v>5.3611375651597529E-2</v>
      </c>
      <c r="W56">
        <v>7.84884792949926E-2</v>
      </c>
      <c r="X56">
        <v>4.7303552545796462E-2</v>
      </c>
      <c r="Y56">
        <v>6.6703149055874281E-2</v>
      </c>
      <c r="Z56">
        <v>6.1826496237116509E-2</v>
      </c>
      <c r="AA56">
        <v>0.11548529659830098</v>
      </c>
      <c r="AB56">
        <v>3.518660696060337E-2</v>
      </c>
      <c r="AC56">
        <v>5.8624177012079434E-2</v>
      </c>
      <c r="AD56">
        <v>6.1632570903891522E-2</v>
      </c>
      <c r="AF56" t="s">
        <v>673</v>
      </c>
      <c r="AG56" t="s">
        <v>101</v>
      </c>
      <c r="AH56">
        <v>4.3753823272716319E-2</v>
      </c>
      <c r="AI56">
        <v>6.8308559965405954E-2</v>
      </c>
      <c r="AJ56">
        <v>8.6972242816378192E-2</v>
      </c>
      <c r="AK56">
        <v>3.0754712938759941E-2</v>
      </c>
      <c r="AL56">
        <v>7.0850827505157046E-2</v>
      </c>
      <c r="AM56">
        <v>0.10164927538795804</v>
      </c>
      <c r="AN56">
        <v>9.007793162409064E-2</v>
      </c>
      <c r="AO56">
        <v>3.7999581312639717E-2</v>
      </c>
      <c r="AP56">
        <v>4.6185502564976402E-2</v>
      </c>
      <c r="AQ56">
        <v>7.0747030900339972E-2</v>
      </c>
      <c r="AR56">
        <v>4.129306086882379E-2</v>
      </c>
      <c r="AS56">
        <v>7.6265162959573501E-2</v>
      </c>
      <c r="AU56" t="s">
        <v>673</v>
      </c>
      <c r="AV56" t="s">
        <v>102</v>
      </c>
      <c r="AW56">
        <v>0.18293379281008418</v>
      </c>
      <c r="AX56">
        <v>0.26856784613963969</v>
      </c>
      <c r="AY56">
        <v>0.19917242008363456</v>
      </c>
      <c r="AZ56">
        <v>0.23082209579320331</v>
      </c>
      <c r="BA56">
        <v>0.19733045366771773</v>
      </c>
      <c r="BB56">
        <v>9.9689544280570849E-2</v>
      </c>
      <c r="BC56">
        <v>0.12727665137024302</v>
      </c>
      <c r="BD56">
        <v>0.25719318513165623</v>
      </c>
      <c r="BE56">
        <v>7.4588159763733577E-2</v>
      </c>
      <c r="BF56">
        <v>0.16961181602246506</v>
      </c>
      <c r="BG56">
        <v>0.22765032664777521</v>
      </c>
      <c r="BH56">
        <v>0.11389886750043289</v>
      </c>
      <c r="BR56" t="s">
        <v>673</v>
      </c>
      <c r="BS56">
        <v>0.12633524987377062</v>
      </c>
      <c r="BT56">
        <v>0.10607748767914658</v>
      </c>
      <c r="BU56">
        <v>0.12775273958688491</v>
      </c>
      <c r="BV56">
        <v>0.15212483896974768</v>
      </c>
      <c r="BW56">
        <v>0.11500302252375685</v>
      </c>
      <c r="BX56">
        <v>0.16198982273001447</v>
      </c>
      <c r="BY56">
        <v>8.6448232286840662E-2</v>
      </c>
      <c r="BZ56">
        <v>5.2960313711287253E-2</v>
      </c>
      <c r="CA56">
        <v>8.4915827576457339E-2</v>
      </c>
      <c r="CB56">
        <v>0.13976341395010891</v>
      </c>
      <c r="CC56">
        <v>0.10475424135122999</v>
      </c>
      <c r="CD56">
        <v>0.15423766124287902</v>
      </c>
      <c r="CF56" t="s">
        <v>674</v>
      </c>
      <c r="CG56" t="s">
        <v>108</v>
      </c>
      <c r="CH56" t="s">
        <v>109</v>
      </c>
      <c r="CI56">
        <v>0.33067440331517445</v>
      </c>
    </row>
    <row r="57" spans="2:87" x14ac:dyDescent="0.45">
      <c r="B57" t="s">
        <v>675</v>
      </c>
      <c r="C57" t="s">
        <v>99</v>
      </c>
      <c r="D57">
        <v>0.45771788905329119</v>
      </c>
      <c r="E57">
        <v>0.50873687851119476</v>
      </c>
      <c r="F57">
        <v>0.46713503391232097</v>
      </c>
      <c r="G57">
        <v>0.39455384412202094</v>
      </c>
      <c r="H57">
        <v>0.40205800028164729</v>
      </c>
      <c r="I57">
        <v>0.40239430221869271</v>
      </c>
      <c r="J57">
        <v>0.4666875293857688</v>
      </c>
      <c r="K57">
        <v>0.3932667550018013</v>
      </c>
      <c r="L57">
        <v>0.42898610058469161</v>
      </c>
      <c r="M57">
        <v>0.42996359099719794</v>
      </c>
      <c r="N57">
        <v>0.44885147369301792</v>
      </c>
      <c r="O57">
        <v>0.44156926099377825</v>
      </c>
      <c r="Q57" t="s">
        <v>675</v>
      </c>
      <c r="R57" t="s">
        <v>100</v>
      </c>
      <c r="S57">
        <v>4.2817674400532392E-2</v>
      </c>
      <c r="T57">
        <v>5.414810948679942E-2</v>
      </c>
      <c r="U57">
        <v>3.5650894079805887E-2</v>
      </c>
      <c r="V57">
        <v>4.7874071682133812E-2</v>
      </c>
      <c r="W57">
        <v>4.5425978694769956E-2</v>
      </c>
      <c r="X57">
        <v>2.6975946652605852E-2</v>
      </c>
      <c r="Y57">
        <v>4.9319594253498904E-2</v>
      </c>
      <c r="Z57">
        <v>0.13577095911420387</v>
      </c>
      <c r="AA57">
        <v>6.0634615287207511E-2</v>
      </c>
      <c r="AB57">
        <v>4.4589671668585081E-2</v>
      </c>
      <c r="AC57">
        <v>6.0891327333177668E-2</v>
      </c>
      <c r="AD57">
        <v>2.4957105536512661E-2</v>
      </c>
      <c r="AF57" t="s">
        <v>675</v>
      </c>
      <c r="AG57" t="s">
        <v>101</v>
      </c>
      <c r="AH57">
        <v>5.8244546958849779E-2</v>
      </c>
      <c r="AI57">
        <v>8.0263538459739658E-2</v>
      </c>
      <c r="AJ57">
        <v>4.8063053563061932E-2</v>
      </c>
      <c r="AK57">
        <v>3.3770766051685011E-2</v>
      </c>
      <c r="AL57">
        <v>5.8333715540175662E-2</v>
      </c>
      <c r="AM57">
        <v>5.9977488739357848E-2</v>
      </c>
      <c r="AN57">
        <v>4.8684760679899665E-2</v>
      </c>
      <c r="AO57">
        <v>3.8800858206766368E-2</v>
      </c>
      <c r="AP57">
        <v>0.12530660903738114</v>
      </c>
      <c r="AQ57">
        <v>3.8996372660837018E-2</v>
      </c>
      <c r="AR57">
        <v>6.3762110248832493E-2</v>
      </c>
      <c r="AS57">
        <v>5.186113883871199E-2</v>
      </c>
      <c r="AU57" t="s">
        <v>675</v>
      </c>
      <c r="AV57" t="s">
        <v>102</v>
      </c>
      <c r="AW57">
        <v>0.24108680180511069</v>
      </c>
      <c r="AX57">
        <v>0.23606895103977604</v>
      </c>
      <c r="AY57">
        <v>0.25386781210429532</v>
      </c>
      <c r="AZ57">
        <v>0.20339459623439882</v>
      </c>
      <c r="BA57">
        <v>0.18082632168629575</v>
      </c>
      <c r="BB57">
        <v>0.18750583072040442</v>
      </c>
      <c r="BC57">
        <v>0.25266383810534698</v>
      </c>
      <c r="BD57">
        <v>9.4134267503659191E-2</v>
      </c>
      <c r="BE57">
        <v>0.12725240117876502</v>
      </c>
      <c r="BF57">
        <v>0.22657390622163348</v>
      </c>
      <c r="BG57">
        <v>0.2026381379075986</v>
      </c>
      <c r="BH57">
        <v>0.24401466790300722</v>
      </c>
      <c r="BR57" t="s">
        <v>675</v>
      </c>
      <c r="BS57">
        <v>0.13285827451955534</v>
      </c>
      <c r="BT57">
        <v>0.14530460125247729</v>
      </c>
      <c r="BU57">
        <v>0.14285876981420512</v>
      </c>
      <c r="BV57">
        <v>0.12522868812809743</v>
      </c>
      <c r="BW57">
        <v>0.17447299640763622</v>
      </c>
      <c r="BX57">
        <v>0.1560159817437837</v>
      </c>
      <c r="BY57">
        <v>3.6192414797180772E-2</v>
      </c>
      <c r="BZ57">
        <v>6.182177598868039E-2</v>
      </c>
      <c r="CA57">
        <v>5.2765765489696775E-2</v>
      </c>
      <c r="CB57">
        <v>9.4681570353319269E-2</v>
      </c>
      <c r="CC57">
        <v>0.11751630604309553</v>
      </c>
      <c r="CD57">
        <v>0.12066096127938036</v>
      </c>
      <c r="CF57" t="s">
        <v>676</v>
      </c>
      <c r="CG57" t="s">
        <v>108</v>
      </c>
      <c r="CH57" t="s">
        <v>109</v>
      </c>
      <c r="CI57">
        <v>0.37958439897898705</v>
      </c>
    </row>
    <row r="58" spans="2:87" x14ac:dyDescent="0.45">
      <c r="B58" t="s">
        <v>677</v>
      </c>
      <c r="C58" t="s">
        <v>99</v>
      </c>
      <c r="D58">
        <v>0.43810926451671661</v>
      </c>
      <c r="E58">
        <v>0.4558005136276726</v>
      </c>
      <c r="F58">
        <v>0.44857634020896653</v>
      </c>
      <c r="G58">
        <v>0.40949656926312122</v>
      </c>
      <c r="H58">
        <v>0.39791321438037508</v>
      </c>
      <c r="I58">
        <v>0.39487721682350713</v>
      </c>
      <c r="J58">
        <v>0.50263721322079935</v>
      </c>
      <c r="K58">
        <v>0.3578367629766897</v>
      </c>
      <c r="L58">
        <v>0.38148231250148745</v>
      </c>
      <c r="M58">
        <v>0.43087264181823209</v>
      </c>
      <c r="N58">
        <v>0.43660811680432826</v>
      </c>
      <c r="O58">
        <v>0.42624040364588112</v>
      </c>
      <c r="Q58" t="s">
        <v>677</v>
      </c>
      <c r="R58" t="s">
        <v>100</v>
      </c>
      <c r="S58">
        <v>1.9647417508549921E-2</v>
      </c>
      <c r="T58">
        <v>2.795951352414347E-2</v>
      </c>
      <c r="U58">
        <v>3.4423968807128107E-2</v>
      </c>
      <c r="V58">
        <v>4.8709012971159843E-2</v>
      </c>
      <c r="W58">
        <v>3.2042120514251975E-2</v>
      </c>
      <c r="X58">
        <v>5.8695369486281943E-2</v>
      </c>
      <c r="Y58">
        <v>5.0943025404478197E-2</v>
      </c>
      <c r="Z58">
        <v>7.6016652818331296E-2</v>
      </c>
      <c r="AA58">
        <v>3.9446365955545029E-2</v>
      </c>
      <c r="AB58">
        <v>5.5258215938182399E-2</v>
      </c>
      <c r="AC58">
        <v>2.0641371451279308E-2</v>
      </c>
      <c r="AD58">
        <v>3.5424206456032302E-2</v>
      </c>
      <c r="AF58" t="s">
        <v>677</v>
      </c>
      <c r="AG58" t="s">
        <v>101</v>
      </c>
      <c r="AH58">
        <v>6.2552435312543286E-2</v>
      </c>
      <c r="AI58">
        <v>4.4048719282428032E-2</v>
      </c>
      <c r="AJ58">
        <v>4.5516461670881053E-2</v>
      </c>
      <c r="AK58">
        <v>5.8980237546429622E-2</v>
      </c>
      <c r="AL58">
        <v>5.1358523818619647E-2</v>
      </c>
      <c r="AM58">
        <v>4.8064718316240845E-2</v>
      </c>
      <c r="AN58">
        <v>7.1359065560768542E-2</v>
      </c>
      <c r="AO58">
        <v>2.5669091093752462E-2</v>
      </c>
      <c r="AP58">
        <v>8.2542641788714316E-2</v>
      </c>
      <c r="AQ58">
        <v>6.6660142786506699E-2</v>
      </c>
      <c r="AR58">
        <v>6.2949381799863077E-2</v>
      </c>
      <c r="AS58">
        <v>1.5592577216878602E-2</v>
      </c>
      <c r="AU58" t="s">
        <v>677</v>
      </c>
      <c r="AV58" t="s">
        <v>102</v>
      </c>
      <c r="AW58">
        <v>0.22085534039376553</v>
      </c>
      <c r="AX58">
        <v>0.24636512276093378</v>
      </c>
      <c r="AY58">
        <v>0.22995849003349889</v>
      </c>
      <c r="AZ58">
        <v>0.18966712245446904</v>
      </c>
      <c r="BA58">
        <v>0.20403399769236169</v>
      </c>
      <c r="BB58">
        <v>0.1697526863871002</v>
      </c>
      <c r="BC58">
        <v>0.25326521736113816</v>
      </c>
      <c r="BD58">
        <v>0.141895338625739</v>
      </c>
      <c r="BE58">
        <v>0.13891147910066901</v>
      </c>
      <c r="BF58">
        <v>0.17256154958158884</v>
      </c>
      <c r="BG58">
        <v>0.22427789877998211</v>
      </c>
      <c r="BH58">
        <v>0.24278381096612645</v>
      </c>
      <c r="BR58" t="s">
        <v>677</v>
      </c>
      <c r="BS58">
        <v>0.24222702239228799</v>
      </c>
      <c r="BT58">
        <v>0.23309863947538798</v>
      </c>
      <c r="BU58">
        <v>0.22204613301290471</v>
      </c>
      <c r="BV58">
        <v>0.18925838614254503</v>
      </c>
      <c r="BW58">
        <v>0.22958477959115534</v>
      </c>
      <c r="BX58">
        <v>0.20216000577177079</v>
      </c>
      <c r="BY58">
        <v>8.3311282567348127E-2</v>
      </c>
      <c r="BZ58">
        <v>8.6277042671295545E-2</v>
      </c>
      <c r="CA58">
        <v>9.5636603994420949E-2</v>
      </c>
      <c r="CB58">
        <v>0.20280152164359161</v>
      </c>
      <c r="CC58">
        <v>0.21400276532554716</v>
      </c>
      <c r="CD58">
        <v>0.21746715073873774</v>
      </c>
      <c r="CF58" t="s">
        <v>678</v>
      </c>
      <c r="CG58" t="s">
        <v>108</v>
      </c>
      <c r="CH58" t="s">
        <v>109</v>
      </c>
      <c r="CI58">
        <v>0.2665212062309163</v>
      </c>
    </row>
    <row r="59" spans="2:87" x14ac:dyDescent="0.45">
      <c r="B59" t="s">
        <v>679</v>
      </c>
      <c r="C59" t="s">
        <v>99</v>
      </c>
      <c r="D59">
        <v>0.44685448428101276</v>
      </c>
      <c r="E59">
        <v>0.47439406937791156</v>
      </c>
      <c r="F59">
        <v>0.46658446535817133</v>
      </c>
      <c r="G59">
        <v>0.46400231053728902</v>
      </c>
      <c r="H59">
        <v>0.42546252873661478</v>
      </c>
      <c r="I59">
        <v>0.47027548511102318</v>
      </c>
      <c r="J59">
        <v>0.44573121659229742</v>
      </c>
      <c r="K59">
        <v>0.45383432960670556</v>
      </c>
      <c r="L59">
        <v>0.37865347887610484</v>
      </c>
      <c r="M59">
        <v>0.43934098255936277</v>
      </c>
      <c r="N59">
        <v>0.41913566917226019</v>
      </c>
      <c r="O59">
        <v>0.45126678350984972</v>
      </c>
      <c r="Q59" t="s">
        <v>679</v>
      </c>
      <c r="R59" t="s">
        <v>100</v>
      </c>
      <c r="S59">
        <v>2.4959497576350676E-2</v>
      </c>
      <c r="T59">
        <v>3.1119382052584941E-2</v>
      </c>
      <c r="U59">
        <v>1.9220058343502676E-2</v>
      </c>
      <c r="V59">
        <v>3.8409587207450031E-2</v>
      </c>
      <c r="W59">
        <v>5.409831986523693E-2</v>
      </c>
      <c r="X59">
        <v>5.1330362940880045E-2</v>
      </c>
      <c r="Y59">
        <v>7.5736432807478438E-2</v>
      </c>
      <c r="Z59">
        <v>7.6869807004802407E-2</v>
      </c>
      <c r="AA59">
        <v>4.4293165265725534E-2</v>
      </c>
      <c r="AB59">
        <v>2.9485825732156048E-2</v>
      </c>
      <c r="AC59">
        <v>5.7762911839301018E-2</v>
      </c>
      <c r="AD59">
        <v>5.1362177346278841E-2</v>
      </c>
      <c r="AF59" t="s">
        <v>679</v>
      </c>
      <c r="AG59" t="s">
        <v>101</v>
      </c>
      <c r="AH59">
        <v>2.743586533981978E-2</v>
      </c>
      <c r="AI59">
        <v>6.7534056220677471E-2</v>
      </c>
      <c r="AJ59">
        <v>7.1578357943802517E-2</v>
      </c>
      <c r="AK59">
        <v>6.7736889284647425E-2</v>
      </c>
      <c r="AL59">
        <v>7.9779396162461672E-2</v>
      </c>
      <c r="AM59">
        <v>9.0460444422754555E-2</v>
      </c>
      <c r="AN59">
        <v>7.6357189403695291E-2</v>
      </c>
      <c r="AO59">
        <v>7.2794045337028851E-2</v>
      </c>
      <c r="AP59">
        <v>0.15621893985687507</v>
      </c>
      <c r="AQ59">
        <v>7.3434976568301488E-2</v>
      </c>
      <c r="AR59">
        <v>5.7376221486146045E-2</v>
      </c>
      <c r="AS59">
        <v>7.954588677167225E-2</v>
      </c>
      <c r="AU59" t="s">
        <v>679</v>
      </c>
      <c r="AV59" t="s">
        <v>102</v>
      </c>
      <c r="AW59">
        <v>0.27885311440244198</v>
      </c>
      <c r="AX59">
        <v>0.25040978903881844</v>
      </c>
      <c r="AY59">
        <v>0.25471656584548802</v>
      </c>
      <c r="AZ59">
        <v>0.22951748963275798</v>
      </c>
      <c r="BA59">
        <v>0.1706856350725954</v>
      </c>
      <c r="BB59">
        <v>0.19657253053333806</v>
      </c>
      <c r="BC59">
        <v>0.19407017276002697</v>
      </c>
      <c r="BD59">
        <v>0.20342096028924464</v>
      </c>
      <c r="BE59">
        <v>9.1078463074351301E-2</v>
      </c>
      <c r="BF59">
        <v>0.214147073731596</v>
      </c>
      <c r="BG59">
        <v>0.17687540428356827</v>
      </c>
      <c r="BH59">
        <v>0.18586177610076174</v>
      </c>
      <c r="BR59" t="s">
        <v>679</v>
      </c>
      <c r="BS59">
        <v>0.15943561568441703</v>
      </c>
      <c r="BT59">
        <v>0.14983943493451199</v>
      </c>
      <c r="BU59">
        <v>0.16057286654607617</v>
      </c>
      <c r="BV59">
        <v>0.13232025303276354</v>
      </c>
      <c r="BW59">
        <v>0.14145820955938274</v>
      </c>
      <c r="BX59">
        <v>0.13085095115319251</v>
      </c>
      <c r="BY59">
        <v>5.0769528962684378E-2</v>
      </c>
      <c r="BZ59">
        <v>5.6754452038678911E-2</v>
      </c>
      <c r="CA59">
        <v>3.9946240676965873E-2</v>
      </c>
      <c r="CB59">
        <v>0.1424696881875136</v>
      </c>
      <c r="CC59">
        <v>0.1438836732345796</v>
      </c>
      <c r="CD59">
        <v>0.14935550399112874</v>
      </c>
      <c r="CF59" t="s">
        <v>680</v>
      </c>
      <c r="CG59" t="s">
        <v>108</v>
      </c>
      <c r="CH59" t="s">
        <v>109</v>
      </c>
      <c r="CI59">
        <v>0.2983241035559755</v>
      </c>
    </row>
    <row r="60" spans="2:87" x14ac:dyDescent="0.45">
      <c r="B60" t="s">
        <v>681</v>
      </c>
      <c r="C60" t="s">
        <v>99</v>
      </c>
      <c r="D60">
        <v>0.52133260929683745</v>
      </c>
      <c r="E60">
        <v>0.5062051098158461</v>
      </c>
      <c r="F60">
        <v>0.52356605491932784</v>
      </c>
      <c r="G60">
        <v>0.47210938021028281</v>
      </c>
      <c r="H60">
        <v>0.4467598356500051</v>
      </c>
      <c r="I60">
        <v>0.46102073524117965</v>
      </c>
      <c r="J60">
        <v>0.49012565397953234</v>
      </c>
      <c r="K60">
        <v>0.39296740697932153</v>
      </c>
      <c r="L60">
        <v>0.35216963426129322</v>
      </c>
      <c r="M60">
        <v>0.4730923132528706</v>
      </c>
      <c r="N60">
        <v>0.47159072075226205</v>
      </c>
      <c r="O60">
        <v>0.44263392821982356</v>
      </c>
      <c r="Q60" t="s">
        <v>681</v>
      </c>
      <c r="R60" t="s">
        <v>100</v>
      </c>
      <c r="S60">
        <v>2.9582570426989904E-2</v>
      </c>
      <c r="T60">
        <v>2.964305982221719E-2</v>
      </c>
      <c r="U60">
        <v>0.11028723038639421</v>
      </c>
      <c r="V60">
        <v>6.0190734998426948E-2</v>
      </c>
      <c r="W60">
        <v>5.7672879531202856E-2</v>
      </c>
      <c r="X60">
        <v>7.1353955309883421E-2</v>
      </c>
      <c r="Y60">
        <v>9.1537986207942859E-2</v>
      </c>
      <c r="Z60">
        <v>9.6344583076141577E-2</v>
      </c>
      <c r="AA60">
        <v>8.133669344766789E-2</v>
      </c>
      <c r="AB60">
        <v>6.7202814404228567E-2</v>
      </c>
      <c r="AC60">
        <v>5.9342244607057497E-2</v>
      </c>
      <c r="AD60">
        <v>2.1369474784871809E-2</v>
      </c>
      <c r="AF60" t="s">
        <v>681</v>
      </c>
      <c r="AG60" t="s">
        <v>101</v>
      </c>
      <c r="AH60">
        <v>0.11022748516072943</v>
      </c>
      <c r="AI60">
        <v>6.2783239969388324E-2</v>
      </c>
      <c r="AJ60">
        <v>2.6290856758942618E-2</v>
      </c>
      <c r="AK60">
        <v>8.8291374498862762E-2</v>
      </c>
      <c r="AL60">
        <v>6.0185753219703229E-2</v>
      </c>
      <c r="AM60">
        <v>7.1078107501526641E-2</v>
      </c>
      <c r="AN60">
        <v>4.885142265368804E-2</v>
      </c>
      <c r="AO60">
        <v>5.855206411549442E-2</v>
      </c>
      <c r="AP60">
        <v>8.862042913156061E-2</v>
      </c>
      <c r="AQ60">
        <v>8.3539136990611954E-2</v>
      </c>
      <c r="AR60">
        <v>5.7145210791406956E-2</v>
      </c>
      <c r="AS60">
        <v>8.7554310986641806E-2</v>
      </c>
      <c r="AU60" t="s">
        <v>681</v>
      </c>
      <c r="AV60" t="s">
        <v>102</v>
      </c>
      <c r="AW60">
        <v>0.27023085260466068</v>
      </c>
      <c r="AX60">
        <v>0.29803993998099459</v>
      </c>
      <c r="AY60">
        <v>0.26161319648722492</v>
      </c>
      <c r="AZ60">
        <v>0.2086854260002052</v>
      </c>
      <c r="BA60">
        <v>0.20163734075698234</v>
      </c>
      <c r="BB60">
        <v>0.19056854217034649</v>
      </c>
      <c r="BC60">
        <v>0.23841189208679034</v>
      </c>
      <c r="BD60">
        <v>0.12796546292058553</v>
      </c>
      <c r="BE60">
        <v>9.1024232150421575E-2</v>
      </c>
      <c r="BF60">
        <v>0.19433346207789048</v>
      </c>
      <c r="BG60">
        <v>0.22856807234893181</v>
      </c>
      <c r="BH60">
        <v>0.21022659141575173</v>
      </c>
      <c r="BR60" t="s">
        <v>681</v>
      </c>
      <c r="BS60">
        <v>0.13894777786026838</v>
      </c>
      <c r="BT60">
        <v>0.13088637857022897</v>
      </c>
      <c r="BU60">
        <v>0.11695473945051227</v>
      </c>
      <c r="BV60">
        <v>0.12297166544074374</v>
      </c>
      <c r="BW60">
        <v>0.15565952752001205</v>
      </c>
      <c r="BX60">
        <v>0.11560930323077523</v>
      </c>
      <c r="BY60">
        <v>3.6789998251919961E-2</v>
      </c>
      <c r="BZ60">
        <v>6.1261021833553121E-2</v>
      </c>
      <c r="CA60">
        <v>6.4484019728208969E-2</v>
      </c>
      <c r="CB60">
        <v>0.13425694506173416</v>
      </c>
      <c r="CC60">
        <v>0.14223776752223716</v>
      </c>
      <c r="CD60">
        <v>0.14507923998374683</v>
      </c>
      <c r="CF60" t="s">
        <v>682</v>
      </c>
      <c r="CG60" t="s">
        <v>108</v>
      </c>
      <c r="CH60" t="s">
        <v>109</v>
      </c>
      <c r="CI60">
        <v>0.3838839438261667</v>
      </c>
    </row>
    <row r="61" spans="2:87" x14ac:dyDescent="0.45">
      <c r="B61" t="s">
        <v>683</v>
      </c>
      <c r="C61" t="s">
        <v>99</v>
      </c>
      <c r="D61">
        <v>0.39065413324783987</v>
      </c>
      <c r="E61">
        <v>0.44943898605208538</v>
      </c>
      <c r="F61">
        <v>0.40832166424767496</v>
      </c>
      <c r="G61">
        <v>0.40153431660184574</v>
      </c>
      <c r="H61">
        <v>0.40247218297688397</v>
      </c>
      <c r="I61">
        <v>0.39947338615654093</v>
      </c>
      <c r="J61">
        <v>0.37630021245551326</v>
      </c>
      <c r="K61">
        <v>0.33911986886493778</v>
      </c>
      <c r="L61">
        <v>0.37796233583914129</v>
      </c>
      <c r="M61">
        <v>0.43968481174884699</v>
      </c>
      <c r="N61">
        <v>0.43554663966398616</v>
      </c>
      <c r="O61">
        <v>0.42226444357728932</v>
      </c>
      <c r="Q61" t="s">
        <v>683</v>
      </c>
      <c r="R61" t="s">
        <v>100</v>
      </c>
      <c r="S61">
        <v>4.0484683968240343E-2</v>
      </c>
      <c r="T61">
        <v>3.6354951349015327E-2</v>
      </c>
      <c r="U61">
        <v>5.2819072180812374E-2</v>
      </c>
      <c r="V61">
        <v>6.55556946693681E-2</v>
      </c>
      <c r="W61">
        <v>6.505734257143661E-2</v>
      </c>
      <c r="X61">
        <v>3.6383007983820062E-2</v>
      </c>
      <c r="Y61">
        <v>5.1924657077308006E-2</v>
      </c>
      <c r="Z61">
        <v>3.1655641267651517E-2</v>
      </c>
      <c r="AA61">
        <v>0.11817161802732146</v>
      </c>
      <c r="AB61">
        <v>3.6526763278403915E-2</v>
      </c>
      <c r="AC61">
        <v>2.481585837900635E-2</v>
      </c>
      <c r="AD61">
        <v>2.8538244669894953E-2</v>
      </c>
      <c r="AF61" t="s">
        <v>683</v>
      </c>
      <c r="AG61" t="s">
        <v>101</v>
      </c>
      <c r="AH61">
        <v>5.5235268852919621E-2</v>
      </c>
      <c r="AI61">
        <v>6.6925229186009433E-2</v>
      </c>
      <c r="AJ61">
        <v>4.2006256323177962E-2</v>
      </c>
      <c r="AK61">
        <v>5.8215819167197487E-2</v>
      </c>
      <c r="AL61">
        <v>6.1917020461390783E-2</v>
      </c>
      <c r="AM61">
        <v>8.9410638580505838E-2</v>
      </c>
      <c r="AN61">
        <v>0.1031804328642435</v>
      </c>
      <c r="AO61">
        <v>2.4110214493276085E-2</v>
      </c>
      <c r="AP61">
        <v>5.7949754950579031E-2</v>
      </c>
      <c r="AQ61">
        <v>4.3473104816586707E-2</v>
      </c>
      <c r="AR61">
        <v>4.7525532782743837E-2</v>
      </c>
      <c r="AS61">
        <v>3.3076853562454732E-2</v>
      </c>
      <c r="AU61" t="s">
        <v>683</v>
      </c>
      <c r="AV61" t="s">
        <v>102</v>
      </c>
      <c r="AW61">
        <v>0.17588251302130706</v>
      </c>
      <c r="AX61">
        <v>0.21369333626183865</v>
      </c>
      <c r="AY61">
        <v>0.17826389209968319</v>
      </c>
      <c r="AZ61">
        <v>0.16530483300234119</v>
      </c>
      <c r="BA61">
        <v>0.16025055013034126</v>
      </c>
      <c r="BB61">
        <v>0.13498097558543354</v>
      </c>
      <c r="BC61">
        <v>0.10551674362747721</v>
      </c>
      <c r="BD61">
        <v>0.18823873969996877</v>
      </c>
      <c r="BE61">
        <v>8.9300426508453254E-2</v>
      </c>
      <c r="BF61">
        <v>0.24110192787368284</v>
      </c>
      <c r="BG61">
        <v>0.26125108862778978</v>
      </c>
      <c r="BH61">
        <v>0.25059969437917473</v>
      </c>
      <c r="BR61" t="s">
        <v>683</v>
      </c>
      <c r="BS61">
        <v>0.16420101636493015</v>
      </c>
      <c r="BT61">
        <v>0.15291524062682788</v>
      </c>
      <c r="BU61">
        <v>0.13435780976784248</v>
      </c>
      <c r="BV61">
        <v>0.15505707569295593</v>
      </c>
      <c r="BW61">
        <v>0.16015760901354287</v>
      </c>
      <c r="BX61">
        <v>0.15113343085942493</v>
      </c>
      <c r="BY61">
        <v>8.1206077616781086E-2</v>
      </c>
      <c r="BZ61">
        <v>6.6175731811140739E-2</v>
      </c>
      <c r="CA61">
        <v>6.2966544330748872E-2</v>
      </c>
      <c r="CB61">
        <v>0.12972559225413183</v>
      </c>
      <c r="CC61">
        <v>0.12941032272832159</v>
      </c>
      <c r="CD61">
        <v>0.12906477079070044</v>
      </c>
      <c r="CF61" t="s">
        <v>684</v>
      </c>
      <c r="CG61" t="s">
        <v>108</v>
      </c>
      <c r="CH61" t="s">
        <v>109</v>
      </c>
      <c r="CI61">
        <v>0.31109559159404071</v>
      </c>
    </row>
    <row r="62" spans="2:87" x14ac:dyDescent="0.45">
      <c r="B62" t="s">
        <v>685</v>
      </c>
      <c r="C62" t="s">
        <v>99</v>
      </c>
      <c r="D62">
        <v>0.52991444752611361</v>
      </c>
      <c r="E62">
        <v>0.52976991201217782</v>
      </c>
      <c r="F62">
        <v>0.52383227407468635</v>
      </c>
      <c r="G62">
        <v>0.47101455587444957</v>
      </c>
      <c r="H62">
        <v>0.49255705417823553</v>
      </c>
      <c r="I62">
        <v>0.50135127841075988</v>
      </c>
      <c r="J62">
        <v>0.41733521656094191</v>
      </c>
      <c r="K62">
        <v>0.40810004176471126</v>
      </c>
      <c r="L62">
        <v>0.42845966751570241</v>
      </c>
      <c r="M62">
        <v>0.53295891185297339</v>
      </c>
      <c r="N62">
        <v>0.52602085784561892</v>
      </c>
      <c r="O62">
        <v>0.51491880459063288</v>
      </c>
      <c r="Q62" t="s">
        <v>685</v>
      </c>
      <c r="R62" t="s">
        <v>100</v>
      </c>
      <c r="S62">
        <v>2.8395611447666527E-2</v>
      </c>
      <c r="T62">
        <v>8.6075052546972147E-2</v>
      </c>
      <c r="U62">
        <v>4.4266067718601546E-2</v>
      </c>
      <c r="V62">
        <v>5.3374850508842123E-2</v>
      </c>
      <c r="W62">
        <v>6.0489554605500644E-2</v>
      </c>
      <c r="X62">
        <v>3.1309618071249268E-2</v>
      </c>
      <c r="Y62">
        <v>3.9591452674895666E-2</v>
      </c>
      <c r="Z62">
        <v>0.1062224381764971</v>
      </c>
      <c r="AA62">
        <v>6.1805192319005962E-2</v>
      </c>
      <c r="AB62">
        <v>4.7042268722286784E-2</v>
      </c>
      <c r="AC62">
        <v>6.5863509258353561E-2</v>
      </c>
      <c r="AD62">
        <v>3.4830972870196569E-2</v>
      </c>
      <c r="AF62" t="s">
        <v>685</v>
      </c>
      <c r="AG62" t="s">
        <v>101</v>
      </c>
      <c r="AH62">
        <v>9.1610427224139535E-2</v>
      </c>
      <c r="AI62">
        <v>4.4114251115095988E-2</v>
      </c>
      <c r="AJ62">
        <v>0.1158567582487141</v>
      </c>
      <c r="AK62">
        <v>5.0563001170861675E-2</v>
      </c>
      <c r="AL62">
        <v>7.7887693969352759E-2</v>
      </c>
      <c r="AM62">
        <v>3.5567410510518677E-2</v>
      </c>
      <c r="AN62">
        <v>3.0728817859237818E-2</v>
      </c>
      <c r="AO62">
        <v>6.5626850079738314E-2</v>
      </c>
      <c r="AP62">
        <v>0.12299670132153136</v>
      </c>
      <c r="AQ62">
        <v>9.7252034960076617E-2</v>
      </c>
      <c r="AR62">
        <v>6.6667780842113833E-2</v>
      </c>
      <c r="AS62">
        <v>8.0750419695816436E-2</v>
      </c>
      <c r="AU62" t="s">
        <v>685</v>
      </c>
      <c r="AV62" t="s">
        <v>102</v>
      </c>
      <c r="AW62">
        <v>0.30815654077335392</v>
      </c>
      <c r="AX62">
        <v>0.2831311344131191</v>
      </c>
      <c r="AY62">
        <v>0.2636390218945211</v>
      </c>
      <c r="AZ62">
        <v>0.2502919502152276</v>
      </c>
      <c r="BA62">
        <v>0.22745388162986577</v>
      </c>
      <c r="BB62">
        <v>0.31553574053219446</v>
      </c>
      <c r="BC62">
        <v>0.24051986577186951</v>
      </c>
      <c r="BD62">
        <v>0.11559732326532289</v>
      </c>
      <c r="BE62">
        <v>0.14369587495901562</v>
      </c>
      <c r="BF62">
        <v>0.28488807590309423</v>
      </c>
      <c r="BG62">
        <v>0.28492627420233929</v>
      </c>
      <c r="BH62">
        <v>0.28877173848191673</v>
      </c>
      <c r="BR62" t="s">
        <v>685</v>
      </c>
      <c r="BS62">
        <v>9.6070939416825776E-2</v>
      </c>
      <c r="BT62">
        <v>8.9117282311210536E-2</v>
      </c>
      <c r="BU62">
        <v>8.4985427266654631E-2</v>
      </c>
      <c r="BV62">
        <v>8.2053730365658731E-2</v>
      </c>
      <c r="BW62">
        <v>0.11779267924448887</v>
      </c>
      <c r="BX62">
        <v>8.8609715783649443E-2</v>
      </c>
      <c r="BY62">
        <v>3.8328681327903971E-2</v>
      </c>
      <c r="BZ62">
        <v>5.1250010626771009E-2</v>
      </c>
      <c r="CA62">
        <v>4.4993402599908416E-2</v>
      </c>
      <c r="CB62">
        <v>0.10054138586060349</v>
      </c>
      <c r="CC62">
        <v>0.11209260264361279</v>
      </c>
      <c r="CD62">
        <v>0.10387436525332007</v>
      </c>
      <c r="CF62" t="s">
        <v>686</v>
      </c>
      <c r="CG62" t="s">
        <v>108</v>
      </c>
      <c r="CH62" t="s">
        <v>109</v>
      </c>
      <c r="CI62">
        <v>0.3027684351357256</v>
      </c>
    </row>
    <row r="63" spans="2:87" x14ac:dyDescent="0.45">
      <c r="B63" t="s">
        <v>687</v>
      </c>
      <c r="C63" t="s">
        <v>99</v>
      </c>
      <c r="D63">
        <v>0.48047831910291355</v>
      </c>
      <c r="E63">
        <v>0.51851170093034848</v>
      </c>
      <c r="F63">
        <v>0.45741099891839176</v>
      </c>
      <c r="G63">
        <v>0.43333214244179219</v>
      </c>
      <c r="H63">
        <v>0.45507823829893485</v>
      </c>
      <c r="I63">
        <v>0.43097635356164199</v>
      </c>
      <c r="J63">
        <v>0.45533435673893191</v>
      </c>
      <c r="K63">
        <v>0.41105617708729419</v>
      </c>
      <c r="L63">
        <v>0.35775378618381448</v>
      </c>
      <c r="M63">
        <v>0.47539025383158645</v>
      </c>
      <c r="N63">
        <v>0.48838990004453475</v>
      </c>
      <c r="O63">
        <v>0.45377513596113855</v>
      </c>
      <c r="Q63" t="s">
        <v>687</v>
      </c>
      <c r="R63" t="s">
        <v>100</v>
      </c>
      <c r="S63">
        <v>3.11179310555952E-2</v>
      </c>
      <c r="T63">
        <v>2.2599631863511906E-2</v>
      </c>
      <c r="U63">
        <v>2.0293372444339278E-2</v>
      </c>
      <c r="V63">
        <v>3.1063770137363365E-2</v>
      </c>
      <c r="W63">
        <v>4.082671375700507E-2</v>
      </c>
      <c r="X63">
        <v>2.3562947178532537E-2</v>
      </c>
      <c r="Y63">
        <v>2.403926447990223E-2</v>
      </c>
      <c r="Z63">
        <v>3.4285871516132556E-2</v>
      </c>
      <c r="AA63">
        <v>4.5288677092989199E-2</v>
      </c>
      <c r="AB63">
        <v>6.3165926757315582E-2</v>
      </c>
      <c r="AC63">
        <v>2.6367726310459756E-2</v>
      </c>
      <c r="AD63">
        <v>2.0241093437741407E-2</v>
      </c>
      <c r="AF63" t="s">
        <v>687</v>
      </c>
      <c r="AG63" t="s">
        <v>101</v>
      </c>
      <c r="AH63">
        <v>6.5239773960522718E-2</v>
      </c>
      <c r="AI63">
        <v>4.1106913014624359E-2</v>
      </c>
      <c r="AJ63">
        <v>5.6566798824780704E-2</v>
      </c>
      <c r="AK63">
        <v>5.3710253738435368E-2</v>
      </c>
      <c r="AL63">
        <v>5.175409476866423E-2</v>
      </c>
      <c r="AM63">
        <v>6.6107928762570975E-2</v>
      </c>
      <c r="AN63">
        <v>4.1714751886217698E-2</v>
      </c>
      <c r="AO63">
        <v>2.5839317006466495E-2</v>
      </c>
      <c r="AP63">
        <v>6.5629273941818278E-2</v>
      </c>
      <c r="AQ63">
        <v>7.3102107488978704E-2</v>
      </c>
      <c r="AR63">
        <v>5.725654065174722E-2</v>
      </c>
      <c r="AS63">
        <v>2.7145877223104978E-2</v>
      </c>
      <c r="AU63" t="s">
        <v>687</v>
      </c>
      <c r="AV63" t="s">
        <v>102</v>
      </c>
      <c r="AW63">
        <v>0.26208520319801137</v>
      </c>
      <c r="AX63">
        <v>0.32748581143119743</v>
      </c>
      <c r="AY63">
        <v>0.25824841013854888</v>
      </c>
      <c r="AZ63">
        <v>0.23206947664296196</v>
      </c>
      <c r="BA63">
        <v>0.23223853446695014</v>
      </c>
      <c r="BB63">
        <v>0.20635306999377553</v>
      </c>
      <c r="BC63">
        <v>0.26420128824705919</v>
      </c>
      <c r="BD63">
        <v>0.23820469479684178</v>
      </c>
      <c r="BE63">
        <v>0.14308374869134374</v>
      </c>
      <c r="BF63">
        <v>0.21933312534963936</v>
      </c>
      <c r="BG63">
        <v>0.28294255885863878</v>
      </c>
      <c r="BH63">
        <v>0.28855128286574627</v>
      </c>
      <c r="BR63" t="s">
        <v>687</v>
      </c>
      <c r="BS63">
        <v>0.14444007990226074</v>
      </c>
      <c r="BT63">
        <v>0.14504286979598593</v>
      </c>
      <c r="BU63">
        <v>0.13036512477388307</v>
      </c>
      <c r="BV63">
        <v>0.10483526477925414</v>
      </c>
      <c r="BW63">
        <v>0.15269722699083427</v>
      </c>
      <c r="BX63">
        <v>0.11545000104180728</v>
      </c>
      <c r="BY63">
        <v>4.2895392537273806E-2</v>
      </c>
      <c r="BZ63">
        <v>5.969089706324749E-2</v>
      </c>
      <c r="CA63">
        <v>5.5382964813864656E-2</v>
      </c>
      <c r="CB63">
        <v>0.10925944462900926</v>
      </c>
      <c r="CC63">
        <v>0.13686714002736319</v>
      </c>
      <c r="CD63">
        <v>0.1264414449867487</v>
      </c>
      <c r="CF63" t="s">
        <v>688</v>
      </c>
      <c r="CG63" t="s">
        <v>108</v>
      </c>
      <c r="CH63" t="s">
        <v>109</v>
      </c>
      <c r="CI63">
        <v>0.4306930078327435</v>
      </c>
    </row>
    <row r="64" spans="2:87" x14ac:dyDescent="0.45">
      <c r="B64" t="s">
        <v>689</v>
      </c>
      <c r="C64" t="s">
        <v>99</v>
      </c>
      <c r="D64">
        <v>0.36207115504051962</v>
      </c>
      <c r="E64">
        <v>0.3762123298293818</v>
      </c>
      <c r="F64">
        <v>0.36864324972877338</v>
      </c>
      <c r="G64">
        <v>0.34573391938807574</v>
      </c>
      <c r="H64">
        <v>0.33988188741205877</v>
      </c>
      <c r="I64">
        <v>0.33611525313970825</v>
      </c>
      <c r="J64">
        <v>0.36592695964792171</v>
      </c>
      <c r="K64">
        <v>0.35348259841320867</v>
      </c>
      <c r="L64">
        <v>0.39457691855996557</v>
      </c>
      <c r="M64">
        <v>0.38902092968625807</v>
      </c>
      <c r="N64">
        <v>0.39768338813483839</v>
      </c>
      <c r="O64">
        <v>0.3858735447087388</v>
      </c>
      <c r="Q64" t="s">
        <v>689</v>
      </c>
      <c r="R64" t="s">
        <v>100</v>
      </c>
      <c r="S64">
        <v>2.0076618471665295E-2</v>
      </c>
      <c r="T64">
        <v>3.355063881383185E-2</v>
      </c>
      <c r="U64">
        <v>3.7212965820091641E-2</v>
      </c>
      <c r="V64">
        <v>1.5800853258403864E-2</v>
      </c>
      <c r="W64">
        <v>3.505394919352639E-2</v>
      </c>
      <c r="X64">
        <v>2.1725484587009732E-2</v>
      </c>
      <c r="Y64">
        <v>1.0918828107030827E-2</v>
      </c>
      <c r="Z64">
        <v>1.7740372869698068E-2</v>
      </c>
      <c r="AA64">
        <v>1.4970880472105976E-2</v>
      </c>
      <c r="AB64">
        <v>2.0151789102282529E-2</v>
      </c>
      <c r="AC64">
        <v>2.5507700762807516E-2</v>
      </c>
      <c r="AD64">
        <v>2.0600190957022393E-2</v>
      </c>
      <c r="AF64" t="s">
        <v>689</v>
      </c>
      <c r="AG64" t="s">
        <v>101</v>
      </c>
      <c r="AH64">
        <v>3.8434160438924947E-2</v>
      </c>
      <c r="AI64">
        <v>3.0867699505508769E-2</v>
      </c>
      <c r="AJ64">
        <v>7.1614790120483288E-2</v>
      </c>
      <c r="AK64">
        <v>3.8588924682832343E-2</v>
      </c>
      <c r="AL64">
        <v>3.1633979784547184E-2</v>
      </c>
      <c r="AM64">
        <v>6.7645804773981758E-2</v>
      </c>
      <c r="AN64">
        <v>1.941407302394315E-2</v>
      </c>
      <c r="AO64">
        <v>1.4418948720117345E-2</v>
      </c>
      <c r="AP64">
        <v>4.2744743163381595E-2</v>
      </c>
      <c r="AQ64">
        <v>1.8710457481751257E-2</v>
      </c>
      <c r="AR64">
        <v>3.0009149346692493E-2</v>
      </c>
      <c r="AS64">
        <v>8.6499842239478208E-2</v>
      </c>
      <c r="AU64" t="s">
        <v>689</v>
      </c>
      <c r="AV64" t="s">
        <v>102</v>
      </c>
      <c r="AW64">
        <v>0.17122433158651687</v>
      </c>
      <c r="AX64">
        <v>0.18044534446032184</v>
      </c>
      <c r="AY64">
        <v>0.12713092378988736</v>
      </c>
      <c r="AZ64">
        <v>0.17481255424931808</v>
      </c>
      <c r="BA64">
        <v>0.16336080579898635</v>
      </c>
      <c r="BB64">
        <v>0.13077614631431334</v>
      </c>
      <c r="BC64">
        <v>0.21454403651033338</v>
      </c>
      <c r="BD64">
        <v>0.22191776925009804</v>
      </c>
      <c r="BE64">
        <v>0.23408083444634947</v>
      </c>
      <c r="BF64">
        <v>0.21722105024030133</v>
      </c>
      <c r="BG64">
        <v>0.2130901346330604</v>
      </c>
      <c r="BH64">
        <v>0.15897485439553383</v>
      </c>
      <c r="BR64" t="s">
        <v>689</v>
      </c>
      <c r="BS64">
        <v>0.25603164602957862</v>
      </c>
      <c r="BT64">
        <v>0.25000628994573021</v>
      </c>
      <c r="BU64">
        <v>0.2587551163822055</v>
      </c>
      <c r="BV64">
        <v>0.24631463089789501</v>
      </c>
      <c r="BW64">
        <v>0.25357726676142067</v>
      </c>
      <c r="BX64">
        <v>0.26211456468410188</v>
      </c>
      <c r="BY64">
        <v>0.17843093928032613</v>
      </c>
      <c r="BZ64">
        <v>0.15182060004051895</v>
      </c>
      <c r="CA64">
        <v>0.14090670876745798</v>
      </c>
      <c r="CB64">
        <v>0.17100211269911261</v>
      </c>
      <c r="CC64">
        <v>0.17527571335735678</v>
      </c>
      <c r="CD64">
        <v>0.18258053671843233</v>
      </c>
      <c r="CF64" t="s">
        <v>690</v>
      </c>
      <c r="CG64" t="s">
        <v>108</v>
      </c>
      <c r="CH64" t="s">
        <v>109</v>
      </c>
      <c r="CI64">
        <v>0.37817410431587672</v>
      </c>
    </row>
    <row r="65" spans="2:87" x14ac:dyDescent="0.45">
      <c r="B65" t="s">
        <v>691</v>
      </c>
      <c r="C65" t="s">
        <v>99</v>
      </c>
      <c r="D65">
        <v>0.45019874468498478</v>
      </c>
      <c r="E65">
        <v>0.478480146079035</v>
      </c>
      <c r="F65">
        <v>0.44766431543412144</v>
      </c>
      <c r="G65">
        <v>0.40293553392184439</v>
      </c>
      <c r="H65">
        <v>0.38196286630171716</v>
      </c>
      <c r="I65">
        <v>0.37318434960486879</v>
      </c>
      <c r="J65">
        <v>0.3864147005250535</v>
      </c>
      <c r="K65">
        <v>0.36527550314220036</v>
      </c>
      <c r="L65">
        <v>0.37072035358333588</v>
      </c>
      <c r="M65">
        <v>0.47012436147552461</v>
      </c>
      <c r="N65">
        <v>0.42054515379795065</v>
      </c>
      <c r="O65">
        <v>0.4517859518761288</v>
      </c>
      <c r="Q65" t="s">
        <v>691</v>
      </c>
      <c r="R65" t="s">
        <v>100</v>
      </c>
      <c r="S65">
        <v>3.7650027746221885E-2</v>
      </c>
      <c r="T65">
        <v>5.3025094954422057E-2</v>
      </c>
      <c r="U65">
        <v>6.0973483308333232E-3</v>
      </c>
      <c r="V65">
        <v>3.332183728457154E-2</v>
      </c>
      <c r="W65">
        <v>2.9706454886641042E-2</v>
      </c>
      <c r="X65">
        <v>3.8265573476835735E-2</v>
      </c>
      <c r="Y65">
        <v>2.9564387162074823E-2</v>
      </c>
      <c r="Z65">
        <v>0.13988218734614102</v>
      </c>
      <c r="AA65">
        <v>3.8377005553757414E-2</v>
      </c>
      <c r="AB65">
        <v>2.5555930121039475E-2</v>
      </c>
      <c r="AC65">
        <v>4.2226549053604484E-2</v>
      </c>
      <c r="AD65">
        <v>4.1048204107176078E-2</v>
      </c>
      <c r="AF65" t="s">
        <v>691</v>
      </c>
      <c r="AG65" t="s">
        <v>101</v>
      </c>
      <c r="AH65">
        <v>3.9219403412807295E-2</v>
      </c>
      <c r="AI65">
        <v>5.8756042521608841E-2</v>
      </c>
      <c r="AJ65">
        <v>9.4934913692409043E-2</v>
      </c>
      <c r="AK65">
        <v>4.606643832971908E-2</v>
      </c>
      <c r="AL65">
        <v>3.533827521724961E-2</v>
      </c>
      <c r="AM65">
        <v>6.4257201485079088E-2</v>
      </c>
      <c r="AN65">
        <v>1.1867896775184907E-2</v>
      </c>
      <c r="AO65">
        <v>2.079986016736567E-2</v>
      </c>
      <c r="AP65">
        <v>0.14307143717757254</v>
      </c>
      <c r="AQ65">
        <v>3.5297034456724864E-2</v>
      </c>
      <c r="AR65">
        <v>3.9981133915789502E-2</v>
      </c>
      <c r="AS65">
        <v>4.25427710898389E-2</v>
      </c>
      <c r="AU65" t="s">
        <v>691</v>
      </c>
      <c r="AV65" t="s">
        <v>102</v>
      </c>
      <c r="AW65">
        <v>0.25680790856203417</v>
      </c>
      <c r="AX65">
        <v>0.2393505442726819</v>
      </c>
      <c r="AY65">
        <v>0.2258067897413932</v>
      </c>
      <c r="AZ65">
        <v>0.19628137553069183</v>
      </c>
      <c r="BA65">
        <v>0.19458774467467388</v>
      </c>
      <c r="BB65">
        <v>0.13779081214576225</v>
      </c>
      <c r="BC65">
        <v>0.24493191152019109</v>
      </c>
      <c r="BD65">
        <v>0.10103998862704199</v>
      </c>
      <c r="BE65">
        <v>9.220854162374334E-2</v>
      </c>
      <c r="BF65">
        <v>0.28391756152880521</v>
      </c>
      <c r="BG65">
        <v>0.21817245188493212</v>
      </c>
      <c r="BH65">
        <v>0.23324466090777829</v>
      </c>
      <c r="BR65" t="s">
        <v>691</v>
      </c>
      <c r="BS65">
        <v>0.14468420860734377</v>
      </c>
      <c r="BT65">
        <v>0.16052931769072296</v>
      </c>
      <c r="BU65">
        <v>0.15567429478240905</v>
      </c>
      <c r="BV65">
        <v>0.18119282755277302</v>
      </c>
      <c r="BW65">
        <v>0.20713068030179174</v>
      </c>
      <c r="BX65">
        <v>0.1980911153093366</v>
      </c>
      <c r="BY65">
        <v>3.0508645193058872E-2</v>
      </c>
      <c r="BZ65">
        <v>6.5110573800715471E-2</v>
      </c>
      <c r="CA65">
        <v>6.079533746771671E-2</v>
      </c>
      <c r="CB65">
        <v>0.10949040119052965</v>
      </c>
      <c r="CC65">
        <v>0.11077490871366918</v>
      </c>
      <c r="CD65">
        <v>0.11916335377518027</v>
      </c>
      <c r="CF65" t="s">
        <v>692</v>
      </c>
      <c r="CG65" t="s">
        <v>108</v>
      </c>
      <c r="CH65" t="s">
        <v>109</v>
      </c>
      <c r="CI65">
        <v>0.34917644559685251</v>
      </c>
    </row>
    <row r="66" spans="2:87" x14ac:dyDescent="0.45">
      <c r="B66" t="s">
        <v>693</v>
      </c>
      <c r="C66" t="s">
        <v>99</v>
      </c>
      <c r="D66">
        <v>0.39920249661614537</v>
      </c>
      <c r="E66">
        <v>0.42881344393449577</v>
      </c>
      <c r="F66">
        <v>0.4385050939112049</v>
      </c>
      <c r="G66">
        <v>0.41990475972811203</v>
      </c>
      <c r="H66">
        <v>0.39460274138933377</v>
      </c>
      <c r="I66">
        <v>0.42426372988632211</v>
      </c>
      <c r="J66">
        <v>0.48473010043041553</v>
      </c>
      <c r="K66">
        <v>0.39690471467805999</v>
      </c>
      <c r="L66">
        <v>0.507604453366437</v>
      </c>
      <c r="M66">
        <v>0.47257462047334647</v>
      </c>
      <c r="N66">
        <v>0.42010822124635544</v>
      </c>
      <c r="O66">
        <v>0.44792097648938739</v>
      </c>
      <c r="Q66" t="s">
        <v>693</v>
      </c>
      <c r="R66" t="s">
        <v>100</v>
      </c>
      <c r="S66">
        <v>4.5280723908320358E-2</v>
      </c>
      <c r="T66">
        <v>4.1890070428525772E-2</v>
      </c>
      <c r="U66">
        <v>3.5261182537469619E-2</v>
      </c>
      <c r="V66">
        <v>4.1215628514562203E-2</v>
      </c>
      <c r="W66">
        <v>3.320978760169023E-2</v>
      </c>
      <c r="X66">
        <v>2.8404081672909861E-2</v>
      </c>
      <c r="Y66">
        <v>1.9580685073232258E-2</v>
      </c>
      <c r="Z66">
        <v>1.8628712719228939E-2</v>
      </c>
      <c r="AA66">
        <v>3.7633969192423622E-2</v>
      </c>
      <c r="AB66">
        <v>3.4333283956443722E-2</v>
      </c>
      <c r="AC66">
        <v>5.0666739219312071E-2</v>
      </c>
      <c r="AD66">
        <v>1.039816722291137E-2</v>
      </c>
      <c r="AF66" t="s">
        <v>693</v>
      </c>
      <c r="AG66" t="s">
        <v>101</v>
      </c>
      <c r="AH66">
        <v>5.7690825757897461E-2</v>
      </c>
      <c r="AI66">
        <v>4.6070254531755749E-2</v>
      </c>
      <c r="AJ66">
        <v>8.7006603823167827E-2</v>
      </c>
      <c r="AK66">
        <v>3.4726119652144082E-2</v>
      </c>
      <c r="AL66">
        <v>5.9888364790252745E-2</v>
      </c>
      <c r="AM66">
        <v>5.0337733378404956E-2</v>
      </c>
      <c r="AN66">
        <v>4.334594239298744E-2</v>
      </c>
      <c r="AO66">
        <v>2.384724303051796E-2</v>
      </c>
      <c r="AP66">
        <v>6.1540027158978793E-2</v>
      </c>
      <c r="AQ66">
        <v>4.5118328901127887E-2</v>
      </c>
      <c r="AR66">
        <v>3.4205942827287728E-2</v>
      </c>
      <c r="AS66">
        <v>8.5038614459879078E-2</v>
      </c>
      <c r="AU66" t="s">
        <v>693</v>
      </c>
      <c r="AV66" t="s">
        <v>102</v>
      </c>
      <c r="AW66">
        <v>0.1676696237151297</v>
      </c>
      <c r="AX66">
        <v>0.20820932949886553</v>
      </c>
      <c r="AY66">
        <v>0.18002116587027195</v>
      </c>
      <c r="AZ66">
        <v>0.20098046115049789</v>
      </c>
      <c r="BA66">
        <v>0.17955754698458726</v>
      </c>
      <c r="BB66">
        <v>0.20868664824472474</v>
      </c>
      <c r="BC66">
        <v>0.28256282553705608</v>
      </c>
      <c r="BD66">
        <v>0.24351156554302733</v>
      </c>
      <c r="BE66">
        <v>0.28689390931714565</v>
      </c>
      <c r="BF66">
        <v>0.26497223558958127</v>
      </c>
      <c r="BG66">
        <v>0.21281644222952634</v>
      </c>
      <c r="BH66">
        <v>0.23863630787523729</v>
      </c>
      <c r="BR66" t="s">
        <v>693</v>
      </c>
      <c r="BS66">
        <v>0.18765682866496214</v>
      </c>
      <c r="BT66">
        <v>0.19296122704213214</v>
      </c>
      <c r="BU66">
        <v>0.18446240244317821</v>
      </c>
      <c r="BV66">
        <v>0.15888264519077591</v>
      </c>
      <c r="BW66">
        <v>0.19802399996207035</v>
      </c>
      <c r="BX66">
        <v>0.18129471116273321</v>
      </c>
      <c r="BY66">
        <v>9.4058598987048242E-2</v>
      </c>
      <c r="BZ66">
        <v>0.1172877223599986</v>
      </c>
      <c r="CA66">
        <v>8.8710406546089526E-2</v>
      </c>
      <c r="CB66">
        <v>0.12547836819909486</v>
      </c>
      <c r="CC66">
        <v>0.1466232202479302</v>
      </c>
      <c r="CD66">
        <v>0.13786604620390935</v>
      </c>
      <c r="CF66" t="s">
        <v>694</v>
      </c>
      <c r="CG66" t="s">
        <v>108</v>
      </c>
      <c r="CH66" t="s">
        <v>109</v>
      </c>
      <c r="CI66">
        <v>0.35876201771449517</v>
      </c>
    </row>
    <row r="67" spans="2:87" x14ac:dyDescent="0.45">
      <c r="B67" t="s">
        <v>695</v>
      </c>
      <c r="C67" t="s">
        <v>99</v>
      </c>
      <c r="D67">
        <v>0.41184727365559831</v>
      </c>
      <c r="E67">
        <v>0.44887772582047458</v>
      </c>
      <c r="F67">
        <v>0.45202674540942017</v>
      </c>
      <c r="G67">
        <v>0.39449250795881835</v>
      </c>
      <c r="H67">
        <v>0.43008415467953071</v>
      </c>
      <c r="I67">
        <v>0.39671827612413896</v>
      </c>
      <c r="J67">
        <v>0.39692176975086402</v>
      </c>
      <c r="K67">
        <v>0.43628726124560951</v>
      </c>
      <c r="L67">
        <v>0.40412719975485362</v>
      </c>
      <c r="M67">
        <v>0.45322021837578103</v>
      </c>
      <c r="N67">
        <v>0.43618674061872714</v>
      </c>
      <c r="O67">
        <v>0.41732792986829786</v>
      </c>
      <c r="Q67" t="s">
        <v>695</v>
      </c>
      <c r="R67" t="s">
        <v>100</v>
      </c>
      <c r="S67">
        <v>4.7488978638592361E-2</v>
      </c>
      <c r="T67">
        <v>5.8650345811190246E-2</v>
      </c>
      <c r="U67">
        <v>6.2822931710139161E-3</v>
      </c>
      <c r="V67">
        <v>5.1750697431500736E-2</v>
      </c>
      <c r="W67">
        <v>4.5716380423933368E-2</v>
      </c>
      <c r="X67">
        <v>1.0174021992424839E-2</v>
      </c>
      <c r="Y67">
        <v>1.5478903502605152E-2</v>
      </c>
      <c r="Z67">
        <v>2.3740591591655143E-2</v>
      </c>
      <c r="AA67">
        <v>3.2428194972593694E-2</v>
      </c>
      <c r="AB67">
        <v>2.7400111013316141E-2</v>
      </c>
      <c r="AC67">
        <v>6.0072657977788643E-2</v>
      </c>
      <c r="AD67">
        <v>2.7449759614783898E-2</v>
      </c>
      <c r="AF67" t="s">
        <v>695</v>
      </c>
      <c r="AG67" t="s">
        <v>101</v>
      </c>
      <c r="AH67">
        <v>4.4170643359247856E-2</v>
      </c>
      <c r="AI67">
        <v>3.7557548935281362E-2</v>
      </c>
      <c r="AJ67">
        <v>0.12231088270983674</v>
      </c>
      <c r="AK67">
        <v>3.8929482045527875E-2</v>
      </c>
      <c r="AL67">
        <v>7.3934249814111064E-2</v>
      </c>
      <c r="AM67">
        <v>3.8732798734934133E-2</v>
      </c>
      <c r="AN67">
        <v>3.2434791218484381E-2</v>
      </c>
      <c r="AO67">
        <v>3.1017919847695936E-2</v>
      </c>
      <c r="AP67">
        <v>3.7327165191325035E-2</v>
      </c>
      <c r="AQ67">
        <v>4.558706026472898E-2</v>
      </c>
      <c r="AR67">
        <v>3.8177216017837176E-2</v>
      </c>
      <c r="AS67">
        <v>6.2645698261396363E-2</v>
      </c>
      <c r="AU67" t="s">
        <v>695</v>
      </c>
      <c r="AV67" t="s">
        <v>102</v>
      </c>
      <c r="AW67">
        <v>0.20322773474704073</v>
      </c>
      <c r="AX67">
        <v>0.22680071473668334</v>
      </c>
      <c r="AY67">
        <v>0.19346440265408513</v>
      </c>
      <c r="AZ67">
        <v>0.18677795753184606</v>
      </c>
      <c r="BA67">
        <v>0.16921160891920095</v>
      </c>
      <c r="BB67">
        <v>0.22855343806978545</v>
      </c>
      <c r="BC67">
        <v>0.24239100623755483</v>
      </c>
      <c r="BD67">
        <v>0.28010675028548165</v>
      </c>
      <c r="BE67">
        <v>0.2344259229490312</v>
      </c>
      <c r="BF67">
        <v>0.2521791311093855</v>
      </c>
      <c r="BG67">
        <v>0.20898547092498337</v>
      </c>
      <c r="BH67">
        <v>0.21115830475611044</v>
      </c>
      <c r="BR67" t="s">
        <v>695</v>
      </c>
      <c r="BS67">
        <v>0.12618989109238624</v>
      </c>
      <c r="BT67">
        <v>0.13498916007482117</v>
      </c>
      <c r="BU67">
        <v>0.12362249128735872</v>
      </c>
      <c r="BV67">
        <v>0.11420197261396133</v>
      </c>
      <c r="BW67">
        <v>0.1849881690718839</v>
      </c>
      <c r="BX67">
        <v>0.13517013130904321</v>
      </c>
      <c r="BY67">
        <v>4.8235810533692781E-2</v>
      </c>
      <c r="BZ67">
        <v>7.1944189193306349E-2</v>
      </c>
      <c r="CA67">
        <v>5.5799784579863267E-2</v>
      </c>
      <c r="CB67">
        <v>8.7440942235191874E-2</v>
      </c>
      <c r="CC67">
        <v>0.10973590719806023</v>
      </c>
      <c r="CD67">
        <v>9.3699024663733491E-2</v>
      </c>
      <c r="CF67" t="s">
        <v>696</v>
      </c>
      <c r="CG67" t="s">
        <v>108</v>
      </c>
      <c r="CH67" t="s">
        <v>109</v>
      </c>
      <c r="CI67">
        <v>0.49422441155082347</v>
      </c>
    </row>
    <row r="68" spans="2:87" x14ac:dyDescent="0.45">
      <c r="B68" t="s">
        <v>697</v>
      </c>
      <c r="C68" t="s">
        <v>99</v>
      </c>
      <c r="D68">
        <v>0.41005088498415987</v>
      </c>
      <c r="E68">
        <v>0.42694217875172474</v>
      </c>
      <c r="F68">
        <v>0.4268771046926737</v>
      </c>
      <c r="G68">
        <v>0.35878960722597458</v>
      </c>
      <c r="H68">
        <v>0.35052313778337441</v>
      </c>
      <c r="I68">
        <v>0.35208492945382763</v>
      </c>
      <c r="J68">
        <v>0.48464470841484442</v>
      </c>
      <c r="K68">
        <v>0.40327567120762059</v>
      </c>
      <c r="L68">
        <v>0.41463471159763365</v>
      </c>
      <c r="M68">
        <v>0.43653366285921968</v>
      </c>
      <c r="N68">
        <v>0.41558438151499327</v>
      </c>
      <c r="O68">
        <v>0.39970515760471942</v>
      </c>
      <c r="Q68" t="s">
        <v>697</v>
      </c>
      <c r="R68" t="s">
        <v>100</v>
      </c>
      <c r="S68">
        <v>1.830559203389312E-2</v>
      </c>
      <c r="T68">
        <v>2.5130137728368765E-2</v>
      </c>
      <c r="U68">
        <v>8.5189472879811795E-3</v>
      </c>
      <c r="V68">
        <v>1.5910062166201968E-2</v>
      </c>
      <c r="W68">
        <v>2.5616678034781609E-2</v>
      </c>
      <c r="X68">
        <v>9.8329672910978799E-3</v>
      </c>
      <c r="Y68">
        <v>1.7659207597669056E-2</v>
      </c>
      <c r="Z68">
        <v>4.4067866546732094E-2</v>
      </c>
      <c r="AA68">
        <v>2.4775505145107044E-2</v>
      </c>
      <c r="AB68">
        <v>1.9695140370313835E-2</v>
      </c>
      <c r="AC68">
        <v>1.2454527459437509E-2</v>
      </c>
      <c r="AD68">
        <v>2.7289237710925687E-2</v>
      </c>
      <c r="AF68" t="s">
        <v>697</v>
      </c>
      <c r="AG68" t="s">
        <v>101</v>
      </c>
      <c r="AH68">
        <v>1.7719078631134776E-2</v>
      </c>
      <c r="AI68">
        <v>3.5567922318496391E-2</v>
      </c>
      <c r="AJ68">
        <v>2.9966874077963657E-2</v>
      </c>
      <c r="AK68">
        <v>2.1100105237342636E-2</v>
      </c>
      <c r="AL68">
        <v>4.0954860497429788E-2</v>
      </c>
      <c r="AM68">
        <v>2.1425486227571754E-2</v>
      </c>
      <c r="AN68">
        <v>2.3096558681390832E-2</v>
      </c>
      <c r="AO68">
        <v>2.0057741812041875E-2</v>
      </c>
      <c r="AP68">
        <v>6.9938637830506162E-2</v>
      </c>
      <c r="AQ68">
        <v>5.1179111917312996E-2</v>
      </c>
      <c r="AR68">
        <v>1.0368181832963126E-2</v>
      </c>
      <c r="AS68">
        <v>3.226263646126535E-2</v>
      </c>
      <c r="AU68" t="s">
        <v>697</v>
      </c>
      <c r="AV68" t="s">
        <v>102</v>
      </c>
      <c r="AW68">
        <v>0.23540189515576429</v>
      </c>
      <c r="AX68">
        <v>0.21640289819418504</v>
      </c>
      <c r="AY68">
        <v>0.23663479380504804</v>
      </c>
      <c r="AZ68">
        <v>0.19145509236385513</v>
      </c>
      <c r="BA68">
        <v>0.14870535669510757</v>
      </c>
      <c r="BB68">
        <v>0.19399436733820133</v>
      </c>
      <c r="BC68">
        <v>0.32779040312492158</v>
      </c>
      <c r="BD68">
        <v>0.2319044169178828</v>
      </c>
      <c r="BE68">
        <v>0.2149910821557893</v>
      </c>
      <c r="BF68">
        <v>0.22420815158458923</v>
      </c>
      <c r="BG68">
        <v>0.25952904164492879</v>
      </c>
      <c r="BH68">
        <v>0.21308104293367017</v>
      </c>
      <c r="BR68" t="s">
        <v>697</v>
      </c>
      <c r="BS68">
        <v>0.28907872349506497</v>
      </c>
      <c r="BT68">
        <v>0.31524843886970583</v>
      </c>
      <c r="BU68">
        <v>0.30570545895979134</v>
      </c>
      <c r="BV68">
        <v>0.32772508960968755</v>
      </c>
      <c r="BW68">
        <v>0.3629724497568344</v>
      </c>
      <c r="BX68">
        <v>0.34864053107648685</v>
      </c>
      <c r="BY68">
        <v>0.10001174620215879</v>
      </c>
      <c r="BZ68">
        <v>0.13574201866569255</v>
      </c>
      <c r="CA68">
        <v>0.11784499567166148</v>
      </c>
      <c r="CB68">
        <v>0.25238228751596781</v>
      </c>
      <c r="CC68">
        <v>0.27671478773173108</v>
      </c>
      <c r="CD68">
        <v>0.25006271559299514</v>
      </c>
      <c r="CF68" t="s">
        <v>698</v>
      </c>
      <c r="CG68" t="s">
        <v>108</v>
      </c>
      <c r="CH68" t="s">
        <v>109</v>
      </c>
      <c r="CI68">
        <v>0.52561310742627454</v>
      </c>
    </row>
    <row r="69" spans="2:87" x14ac:dyDescent="0.45">
      <c r="B69" t="s">
        <v>699</v>
      </c>
      <c r="C69" t="s">
        <v>99</v>
      </c>
      <c r="D69">
        <v>0.41164410007066765</v>
      </c>
      <c r="E69">
        <v>0.42144785827156506</v>
      </c>
      <c r="F69">
        <v>0.42597766416044175</v>
      </c>
      <c r="G69">
        <v>0.40137298707537483</v>
      </c>
      <c r="H69">
        <v>0.36371591890686394</v>
      </c>
      <c r="I69">
        <v>0.36327311282346048</v>
      </c>
      <c r="J69">
        <v>0.4836079078373996</v>
      </c>
      <c r="K69">
        <v>0.40402322372565552</v>
      </c>
      <c r="L69">
        <v>0.40934554777478405</v>
      </c>
      <c r="M69">
        <v>0.45226427171202832</v>
      </c>
      <c r="N69">
        <v>0.44273351384499254</v>
      </c>
      <c r="O69">
        <v>0.4360912384370626</v>
      </c>
      <c r="Q69" t="s">
        <v>699</v>
      </c>
      <c r="R69" t="s">
        <v>100</v>
      </c>
      <c r="S69">
        <v>2.8634576961408975E-2</v>
      </c>
      <c r="T69">
        <v>3.784558017408212E-2</v>
      </c>
      <c r="U69">
        <v>1.708237707004524E-2</v>
      </c>
      <c r="V69">
        <v>9.9599505682969307E-3</v>
      </c>
      <c r="W69">
        <v>4.7969357434830308E-2</v>
      </c>
      <c r="X69">
        <v>1.8102648547161232E-2</v>
      </c>
      <c r="Y69">
        <v>3.4678956588443796E-3</v>
      </c>
      <c r="Z69">
        <v>4.4039603756734873E-2</v>
      </c>
      <c r="AA69">
        <v>1.1263183678443825E-2</v>
      </c>
      <c r="AB69">
        <v>1.7967683089156382E-2</v>
      </c>
      <c r="AC69">
        <v>2.8098729066332689E-2</v>
      </c>
      <c r="AD69">
        <v>2.011045590196887E-2</v>
      </c>
      <c r="AF69" t="s">
        <v>699</v>
      </c>
      <c r="AG69" t="s">
        <v>101</v>
      </c>
      <c r="AH69">
        <v>3.4218395889666339E-2</v>
      </c>
      <c r="AI69">
        <v>4.611914131431448E-2</v>
      </c>
      <c r="AJ69">
        <v>4.1573389915338405E-2</v>
      </c>
      <c r="AK69">
        <v>2.1217414060427136E-2</v>
      </c>
      <c r="AL69">
        <v>4.5595464404158806E-2</v>
      </c>
      <c r="AM69">
        <v>4.119528788879296E-2</v>
      </c>
      <c r="AN69">
        <v>2.4764666468630203E-3</v>
      </c>
      <c r="AO69">
        <v>2.2264833688298302E-2</v>
      </c>
      <c r="AP69">
        <v>4.8784512750074512E-2</v>
      </c>
      <c r="AQ69">
        <v>4.9994477139667058E-2</v>
      </c>
      <c r="AR69">
        <v>3.1515898806741487E-2</v>
      </c>
      <c r="AS69">
        <v>4.0143457038505942E-2</v>
      </c>
      <c r="AU69" t="s">
        <v>699</v>
      </c>
      <c r="AV69" t="s">
        <v>102</v>
      </c>
      <c r="AW69">
        <v>0.2196394055110438</v>
      </c>
      <c r="AX69">
        <v>0.19314215437736543</v>
      </c>
      <c r="AY69">
        <v>0.23217981929000664</v>
      </c>
      <c r="AZ69">
        <v>0.2478932514021833</v>
      </c>
      <c r="BA69">
        <v>0.13699825167482155</v>
      </c>
      <c r="BB69">
        <v>0.17753394852366924</v>
      </c>
      <c r="BC69">
        <v>0.36174758383009081</v>
      </c>
      <c r="BD69">
        <v>0.22309320383074088</v>
      </c>
      <c r="BE69">
        <v>0.2457583912324135</v>
      </c>
      <c r="BF69">
        <v>0.25498710513681166</v>
      </c>
      <c r="BG69">
        <v>0.26120298409460146</v>
      </c>
      <c r="BH69">
        <v>0.25708454129571801</v>
      </c>
      <c r="BR69" t="s">
        <v>699</v>
      </c>
      <c r="BS69">
        <v>0.24017508157190934</v>
      </c>
      <c r="BT69">
        <v>0.26231086336074089</v>
      </c>
      <c r="BU69">
        <v>0.23747594491536206</v>
      </c>
      <c r="BV69">
        <v>0.2394580398796918</v>
      </c>
      <c r="BW69">
        <v>0.30564283703762607</v>
      </c>
      <c r="BX69">
        <v>0.27094281940174236</v>
      </c>
      <c r="BY69">
        <v>8.4322845254349882E-2</v>
      </c>
      <c r="BZ69">
        <v>0.12460372296407807</v>
      </c>
      <c r="CA69">
        <v>0.102238400746145</v>
      </c>
      <c r="CB69">
        <v>0.17004339417099426</v>
      </c>
      <c r="CC69">
        <v>0.21238303170208894</v>
      </c>
      <c r="CD69">
        <v>0.1836499732864329</v>
      </c>
      <c r="CF69" t="s">
        <v>700</v>
      </c>
      <c r="CG69" t="s">
        <v>108</v>
      </c>
      <c r="CH69" t="s">
        <v>109</v>
      </c>
      <c r="CI69">
        <v>0.44278831503113913</v>
      </c>
    </row>
    <row r="70" spans="2:87" x14ac:dyDescent="0.45">
      <c r="B70" t="s">
        <v>701</v>
      </c>
      <c r="C70" t="s">
        <v>99</v>
      </c>
      <c r="D70">
        <v>0.3380715761154432</v>
      </c>
      <c r="E70">
        <v>0.31392981169463652</v>
      </c>
      <c r="F70">
        <v>0.33364570883043376</v>
      </c>
      <c r="G70">
        <v>0.33528678717643201</v>
      </c>
      <c r="H70">
        <v>0.33223150549484476</v>
      </c>
      <c r="I70">
        <v>0.338516333940172</v>
      </c>
      <c r="J70">
        <v>0.38486674764595868</v>
      </c>
      <c r="K70">
        <v>0.36171463975036272</v>
      </c>
      <c r="L70">
        <v>0.32832049099208654</v>
      </c>
      <c r="M70">
        <v>0.37995427189074327</v>
      </c>
      <c r="N70">
        <v>0.38578697674716744</v>
      </c>
      <c r="O70">
        <v>0.36612499722489922</v>
      </c>
      <c r="Q70" t="s">
        <v>701</v>
      </c>
      <c r="R70" t="s">
        <v>100</v>
      </c>
      <c r="S70">
        <v>1.4066358149790688E-2</v>
      </c>
      <c r="T70">
        <v>3.6503888687904287E-2</v>
      </c>
      <c r="U70">
        <v>2.3679465745383408E-2</v>
      </c>
      <c r="V70">
        <v>2.4818564556945939E-2</v>
      </c>
      <c r="W70">
        <v>2.1723674011711498E-2</v>
      </c>
      <c r="X70">
        <v>8.6692012255533656E-3</v>
      </c>
      <c r="Y70">
        <v>1.6111923797781459E-2</v>
      </c>
      <c r="Z70">
        <v>3.3876829871403898E-2</v>
      </c>
      <c r="AA70">
        <v>8.065933286080117E-3</v>
      </c>
      <c r="AB70">
        <v>2.4100611415869232E-2</v>
      </c>
      <c r="AC70">
        <v>2.6496649461050827E-2</v>
      </c>
      <c r="AD70">
        <v>8.1332993788540194E-3</v>
      </c>
      <c r="AF70" t="s">
        <v>701</v>
      </c>
      <c r="AG70" t="s">
        <v>101</v>
      </c>
      <c r="AH70">
        <v>1.5603134682517601E-2</v>
      </c>
      <c r="AI70">
        <v>1.8671719095350345E-2</v>
      </c>
      <c r="AJ70">
        <v>6.8001541644437766E-2</v>
      </c>
      <c r="AK70">
        <v>2.9519345263350222E-2</v>
      </c>
      <c r="AL70">
        <v>2.6618824802483655E-2</v>
      </c>
      <c r="AM70">
        <v>3.1972368467670285E-2</v>
      </c>
      <c r="AN70">
        <v>7.7846802746674949E-3</v>
      </c>
      <c r="AO70">
        <v>2.3200618217224907E-2</v>
      </c>
      <c r="AP70">
        <v>2.7642426427681714E-2</v>
      </c>
      <c r="AQ70">
        <v>4.0354527785855729E-2</v>
      </c>
      <c r="AR70">
        <v>3.713184043896469E-2</v>
      </c>
      <c r="AS70">
        <v>3.5101072273850335E-2</v>
      </c>
      <c r="AU70" t="s">
        <v>701</v>
      </c>
      <c r="AV70" t="s">
        <v>102</v>
      </c>
      <c r="AW70">
        <v>0.19214853250733274</v>
      </c>
      <c r="AX70">
        <v>0.13506143127908327</v>
      </c>
      <c r="AY70">
        <v>0.11767372001490189</v>
      </c>
      <c r="AZ70">
        <v>0.15686490652225432</v>
      </c>
      <c r="BA70">
        <v>0.16092645729573413</v>
      </c>
      <c r="BB70">
        <v>0.17594293845476749</v>
      </c>
      <c r="BC70">
        <v>0.23900783173824877</v>
      </c>
      <c r="BD70">
        <v>0.19688508611615843</v>
      </c>
      <c r="BE70">
        <v>0.19376879611638581</v>
      </c>
      <c r="BF70">
        <v>0.20431323599711945</v>
      </c>
      <c r="BG70">
        <v>0.20997281799253906</v>
      </c>
      <c r="BH70">
        <v>0.2143147174608124</v>
      </c>
      <c r="BR70" t="s">
        <v>701</v>
      </c>
      <c r="BS70">
        <v>0.32991255770433314</v>
      </c>
      <c r="BT70">
        <v>0.3672386056649346</v>
      </c>
      <c r="BU70">
        <v>0.34382985814902434</v>
      </c>
      <c r="BV70">
        <v>0.34196087813399201</v>
      </c>
      <c r="BW70">
        <v>0.37249035474175324</v>
      </c>
      <c r="BX70">
        <v>0.3632844066825302</v>
      </c>
      <c r="BY70">
        <v>0.13977058439942486</v>
      </c>
      <c r="BZ70">
        <v>0.19089850292050334</v>
      </c>
      <c r="CA70">
        <v>0.1971097968688576</v>
      </c>
      <c r="CB70">
        <v>0.22641193228115608</v>
      </c>
      <c r="CC70">
        <v>0.24516274298674035</v>
      </c>
      <c r="CD70">
        <v>0.23283802621272073</v>
      </c>
      <c r="CF70" t="s">
        <v>702</v>
      </c>
      <c r="CG70" t="s">
        <v>108</v>
      </c>
      <c r="CH70" t="s">
        <v>109</v>
      </c>
      <c r="CI70">
        <v>0.5197250193045615</v>
      </c>
    </row>
    <row r="71" spans="2:87" x14ac:dyDescent="0.45">
      <c r="B71" t="s">
        <v>703</v>
      </c>
      <c r="C71" t="s">
        <v>99</v>
      </c>
      <c r="D71">
        <v>0.40832213551728486</v>
      </c>
      <c r="E71">
        <v>0.38437345422470265</v>
      </c>
      <c r="F71">
        <v>0.38132518673173155</v>
      </c>
      <c r="G71">
        <v>0.38787576713065008</v>
      </c>
      <c r="H71">
        <v>0.36553223424964021</v>
      </c>
      <c r="I71">
        <v>0.39175398374070686</v>
      </c>
      <c r="J71">
        <v>0.44167575593037578</v>
      </c>
      <c r="K71">
        <v>0.3849735462285972</v>
      </c>
      <c r="L71">
        <v>0.41376997158919454</v>
      </c>
      <c r="M71">
        <v>0.4707465747995056</v>
      </c>
      <c r="N71">
        <v>0.46197288272863751</v>
      </c>
      <c r="O71">
        <v>0.4772909808952413</v>
      </c>
      <c r="Q71" t="s">
        <v>703</v>
      </c>
      <c r="R71" t="s">
        <v>100</v>
      </c>
      <c r="S71">
        <v>1.2096999286246144E-2</v>
      </c>
      <c r="T71">
        <v>4.0677356870072942E-2</v>
      </c>
      <c r="U71">
        <v>2.4841297052900248E-2</v>
      </c>
      <c r="V71">
        <v>1.9266299602644268E-2</v>
      </c>
      <c r="W71">
        <v>2.653331910151906E-2</v>
      </c>
      <c r="X71">
        <v>1.0404960502451483E-2</v>
      </c>
      <c r="Y71">
        <v>2.8891812728869971E-2</v>
      </c>
      <c r="Z71">
        <v>5.8638743751416873E-2</v>
      </c>
      <c r="AA71">
        <v>1.1697325101576903E-2</v>
      </c>
      <c r="AB71">
        <v>2.8517836579352127E-2</v>
      </c>
      <c r="AC71">
        <v>1.4884084431790531E-2</v>
      </c>
      <c r="AD71">
        <v>1.906352732647165E-3</v>
      </c>
      <c r="AF71" t="s">
        <v>703</v>
      </c>
      <c r="AG71" t="s">
        <v>101</v>
      </c>
      <c r="AH71">
        <v>3.9584512785681411E-2</v>
      </c>
      <c r="AI71">
        <v>1.9172394359231331E-2</v>
      </c>
      <c r="AJ71">
        <v>3.8880859416069093E-2</v>
      </c>
      <c r="AK71">
        <v>3.6390952050667613E-2</v>
      </c>
      <c r="AL71">
        <v>3.3752875036395645E-2</v>
      </c>
      <c r="AM71">
        <v>3.7109217345757978E-2</v>
      </c>
      <c r="AN71">
        <v>1.1906608755646513E-2</v>
      </c>
      <c r="AO71">
        <v>2.3738630165501349E-2</v>
      </c>
      <c r="AP71">
        <v>7.7563290094970275E-2</v>
      </c>
      <c r="AQ71">
        <v>2.8450409090463036E-2</v>
      </c>
      <c r="AR71">
        <v>5.9003038586782998E-2</v>
      </c>
      <c r="AS71">
        <v>4.5347946963630814E-2</v>
      </c>
      <c r="AU71" t="s">
        <v>703</v>
      </c>
      <c r="AV71" t="s">
        <v>102</v>
      </c>
      <c r="AW71">
        <v>0.23601725211707456</v>
      </c>
      <c r="AX71">
        <v>0.2083553887107529</v>
      </c>
      <c r="AY71">
        <v>0.19191989153846237</v>
      </c>
      <c r="AZ71">
        <v>0.21463881274046004</v>
      </c>
      <c r="BA71">
        <v>0.1788517239671919</v>
      </c>
      <c r="BB71">
        <v>0.21823069318571345</v>
      </c>
      <c r="BC71">
        <v>0.30145857555371702</v>
      </c>
      <c r="BD71">
        <v>0.21351590080267135</v>
      </c>
      <c r="BE71">
        <v>0.23735883576488162</v>
      </c>
      <c r="BF71">
        <v>0.29731093870212916</v>
      </c>
      <c r="BG71">
        <v>0.26956925557571271</v>
      </c>
      <c r="BH71">
        <v>0.31505504026235887</v>
      </c>
      <c r="BR71" t="s">
        <v>703</v>
      </c>
      <c r="BS71">
        <v>0.18615762529194463</v>
      </c>
      <c r="BT71">
        <v>0.21676790069836679</v>
      </c>
      <c r="BU71">
        <v>0.20221240200200527</v>
      </c>
      <c r="BV71">
        <v>0.20628026508730002</v>
      </c>
      <c r="BW71">
        <v>0.26414883524644611</v>
      </c>
      <c r="BX71">
        <v>0.23645108104859</v>
      </c>
      <c r="BY71">
        <v>4.71713696963049E-2</v>
      </c>
      <c r="BZ71">
        <v>8.1971917467426061E-2</v>
      </c>
      <c r="CA71">
        <v>7.2104697600746392E-2</v>
      </c>
      <c r="CB71">
        <v>9.1544738366798148E-2</v>
      </c>
      <c r="CC71">
        <v>0.1363097476784802</v>
      </c>
      <c r="CD71">
        <v>0.10192197782162105</v>
      </c>
      <c r="CF71" t="s">
        <v>704</v>
      </c>
      <c r="CG71" t="s">
        <v>108</v>
      </c>
      <c r="CH71" t="s">
        <v>109</v>
      </c>
      <c r="CI71">
        <v>0.47590655963350548</v>
      </c>
    </row>
    <row r="72" spans="2:87" x14ac:dyDescent="0.45">
      <c r="B72" t="s">
        <v>705</v>
      </c>
      <c r="C72" t="s">
        <v>99</v>
      </c>
      <c r="D72">
        <v>0.42660250644444236</v>
      </c>
      <c r="E72">
        <v>0.41215651066847159</v>
      </c>
      <c r="F72">
        <v>0.41502422864369443</v>
      </c>
      <c r="G72">
        <v>0.40711941531613882</v>
      </c>
      <c r="H72">
        <v>0.39483954616753714</v>
      </c>
      <c r="I72">
        <v>0.40155455091706749</v>
      </c>
      <c r="J72">
        <v>0.33279068960425273</v>
      </c>
      <c r="K72">
        <v>0.39556178334946379</v>
      </c>
      <c r="L72">
        <v>0.38811344661743236</v>
      </c>
      <c r="M72">
        <v>0.47530624769773111</v>
      </c>
      <c r="N72">
        <v>0.47578027992662364</v>
      </c>
      <c r="O72">
        <v>0.4438375191680326</v>
      </c>
      <c r="Q72" t="s">
        <v>705</v>
      </c>
      <c r="R72" t="s">
        <v>100</v>
      </c>
      <c r="S72">
        <v>1.3132063888244326E-2</v>
      </c>
      <c r="T72">
        <v>4.8108904842021585E-2</v>
      </c>
      <c r="U72">
        <v>4.5156786491701274E-2</v>
      </c>
      <c r="V72">
        <v>2.6362064090525366E-2</v>
      </c>
      <c r="W72">
        <v>3.9918039871218954E-2</v>
      </c>
      <c r="X72">
        <v>3.0472781468130195E-2</v>
      </c>
      <c r="Y72">
        <v>4.0386356170271191E-2</v>
      </c>
      <c r="Z72">
        <v>6.6731534360479516E-2</v>
      </c>
      <c r="AA72">
        <v>7.5177084393518695E-2</v>
      </c>
      <c r="AB72">
        <v>4.7219923548797525E-2</v>
      </c>
      <c r="AC72">
        <v>2.3441070144274125E-2</v>
      </c>
      <c r="AD72">
        <v>1.4778803990251787E-2</v>
      </c>
      <c r="AF72" t="s">
        <v>705</v>
      </c>
      <c r="AG72" t="s">
        <v>101</v>
      </c>
      <c r="AH72">
        <v>6.1570522820554065E-2</v>
      </c>
      <c r="AI72">
        <v>3.6959957909624454E-2</v>
      </c>
      <c r="AJ72">
        <v>8.0199690836351381E-2</v>
      </c>
      <c r="AK72">
        <v>2.7611724162262482E-2</v>
      </c>
      <c r="AL72">
        <v>5.9204858526125503E-2</v>
      </c>
      <c r="AM72">
        <v>5.9339814190790527E-2</v>
      </c>
      <c r="AN72">
        <v>8.8176115012348052E-2</v>
      </c>
      <c r="AO72">
        <v>2.6522078579174466E-2</v>
      </c>
      <c r="AP72">
        <v>3.7313427779645865E-2</v>
      </c>
      <c r="AQ72">
        <v>7.3104937733583217E-2</v>
      </c>
      <c r="AR72">
        <v>5.5120800212878802E-2</v>
      </c>
      <c r="AS72">
        <v>6.4080538963486686E-2</v>
      </c>
      <c r="AU72" t="s">
        <v>705</v>
      </c>
      <c r="AV72" t="s">
        <v>102</v>
      </c>
      <c r="AW72">
        <v>0.21404782097656611</v>
      </c>
      <c r="AX72">
        <v>0.19965540399173734</v>
      </c>
      <c r="AY72">
        <v>0.16052038601818339</v>
      </c>
      <c r="AZ72">
        <v>0.23410071936025745</v>
      </c>
      <c r="BA72">
        <v>0.17383714991961616</v>
      </c>
      <c r="BB72">
        <v>0.18221094226842477</v>
      </c>
      <c r="BC72">
        <v>0.10733758355555087</v>
      </c>
      <c r="BD72">
        <v>0.20004480532553781</v>
      </c>
      <c r="BE72">
        <v>0.17282274753394192</v>
      </c>
      <c r="BF72">
        <v>0.2602960787453531</v>
      </c>
      <c r="BG72">
        <v>0.27966723866992915</v>
      </c>
      <c r="BH72">
        <v>0.25198410270833144</v>
      </c>
      <c r="BR72" t="s">
        <v>705</v>
      </c>
      <c r="BS72">
        <v>0.21648398130670768</v>
      </c>
      <c r="BT72">
        <v>0.21968365033116191</v>
      </c>
      <c r="BU72">
        <v>0.21877655120485809</v>
      </c>
      <c r="BV72">
        <v>0.18414630488478345</v>
      </c>
      <c r="BW72">
        <v>0.20467492370657298</v>
      </c>
      <c r="BX72">
        <v>0.20281501822290915</v>
      </c>
      <c r="BY72">
        <v>0.10929720072132283</v>
      </c>
      <c r="BZ72">
        <v>6.9700754595012973E-2</v>
      </c>
      <c r="CA72">
        <v>8.6746562906079017E-2</v>
      </c>
      <c r="CB72">
        <v>0.10371134112429502</v>
      </c>
      <c r="CC72">
        <v>0.12866706914971218</v>
      </c>
      <c r="CD72">
        <v>0.1152063268079996</v>
      </c>
      <c r="CF72" t="s">
        <v>706</v>
      </c>
      <c r="CG72" t="s">
        <v>108</v>
      </c>
      <c r="CH72" t="s">
        <v>109</v>
      </c>
      <c r="CI72">
        <v>0.40960288295531738</v>
      </c>
    </row>
    <row r="73" spans="2:87" x14ac:dyDescent="0.45">
      <c r="B73" t="s">
        <v>707</v>
      </c>
      <c r="C73" t="s">
        <v>99</v>
      </c>
      <c r="D73">
        <v>0.42307953367370166</v>
      </c>
      <c r="E73">
        <v>0.43742493889630196</v>
      </c>
      <c r="F73">
        <v>0.42279180984224402</v>
      </c>
      <c r="G73">
        <v>0.3807868240205039</v>
      </c>
      <c r="H73">
        <v>0.40158131496338506</v>
      </c>
      <c r="I73">
        <v>0.38295396618155625</v>
      </c>
      <c r="J73">
        <v>0.33816572190265665</v>
      </c>
      <c r="K73">
        <v>0.43255804614956417</v>
      </c>
      <c r="L73">
        <v>0.37437848684654623</v>
      </c>
      <c r="M73">
        <v>0.41784089520429485</v>
      </c>
      <c r="N73">
        <v>0.48002125667669865</v>
      </c>
      <c r="O73">
        <v>0.4151970778067855</v>
      </c>
      <c r="Q73" t="s">
        <v>707</v>
      </c>
      <c r="R73" t="s">
        <v>100</v>
      </c>
      <c r="S73">
        <v>3.488667161813766E-2</v>
      </c>
      <c r="T73">
        <v>4.3078926513409561E-2</v>
      </c>
      <c r="U73">
        <v>3.5145233626797619E-2</v>
      </c>
      <c r="V73">
        <v>4.0596112342351727E-2</v>
      </c>
      <c r="W73">
        <v>3.0371321196255529E-2</v>
      </c>
      <c r="X73">
        <v>2.6795321949988255E-2</v>
      </c>
      <c r="Y73">
        <v>1.9594058416656724E-2</v>
      </c>
      <c r="Z73">
        <v>1.4452011780676172E-2</v>
      </c>
      <c r="AA73">
        <v>3.1143160638342882E-2</v>
      </c>
      <c r="AB73">
        <v>3.1515104432215953E-2</v>
      </c>
      <c r="AC73">
        <v>3.7717331904849799E-2</v>
      </c>
      <c r="AD73">
        <v>2.8925477640639428E-2</v>
      </c>
      <c r="AF73" t="s">
        <v>707</v>
      </c>
      <c r="AG73" t="s">
        <v>101</v>
      </c>
      <c r="AH73">
        <v>5.5606744387310413E-2</v>
      </c>
      <c r="AI73">
        <v>3.0597152205489295E-2</v>
      </c>
      <c r="AJ73">
        <v>4.1454278427813358E-2</v>
      </c>
      <c r="AK73">
        <v>3.0157415456713212E-2</v>
      </c>
      <c r="AL73">
        <v>5.6133751265611598E-2</v>
      </c>
      <c r="AM73">
        <v>9.160338615209429E-2</v>
      </c>
      <c r="AN73">
        <v>4.3503226051528072E-2</v>
      </c>
      <c r="AO73">
        <v>2.4299364488634768E-2</v>
      </c>
      <c r="AP73">
        <v>3.8841579226951833E-2</v>
      </c>
      <c r="AQ73">
        <v>4.1846799899744137E-2</v>
      </c>
      <c r="AR73">
        <v>7.0643984465859788E-2</v>
      </c>
      <c r="AS73">
        <v>3.6683087919209802E-2</v>
      </c>
      <c r="AU73" t="s">
        <v>707</v>
      </c>
      <c r="AV73" t="s">
        <v>102</v>
      </c>
      <c r="AW73">
        <v>0.20208983280609438</v>
      </c>
      <c r="AX73">
        <v>0.234514837938335</v>
      </c>
      <c r="AY73">
        <v>0.2038176649600292</v>
      </c>
      <c r="AZ73">
        <v>0.19583570445319329</v>
      </c>
      <c r="BA73">
        <v>0.18078146930616851</v>
      </c>
      <c r="BB73">
        <v>0.14732599723344997</v>
      </c>
      <c r="BC73">
        <v>0.1796787995727766</v>
      </c>
      <c r="BD73">
        <v>0.30560259557632785</v>
      </c>
      <c r="BE73">
        <v>0.21444945161459983</v>
      </c>
      <c r="BF73">
        <v>0.2471226910390682</v>
      </c>
      <c r="BG73">
        <v>0.2493695484342057</v>
      </c>
      <c r="BH73">
        <v>0.2379217612291871</v>
      </c>
      <c r="BR73" t="s">
        <v>707</v>
      </c>
      <c r="BS73">
        <v>0.15300587822099176</v>
      </c>
      <c r="BT73">
        <v>0.1657003499266082</v>
      </c>
      <c r="BU73">
        <v>0.15769300049306026</v>
      </c>
      <c r="BV73">
        <v>0.19074176077086688</v>
      </c>
      <c r="BW73">
        <v>0.21121153372674431</v>
      </c>
      <c r="BX73">
        <v>0.19157028257393696</v>
      </c>
      <c r="BY73">
        <v>7.3509555087702072E-2</v>
      </c>
      <c r="BZ73">
        <v>5.9169390486046386E-2</v>
      </c>
      <c r="CA73">
        <v>7.2028705906330717E-2</v>
      </c>
      <c r="CB73">
        <v>7.7709298796865542E-2</v>
      </c>
      <c r="CC73">
        <v>9.6722975619845941E-2</v>
      </c>
      <c r="CD73">
        <v>8.6311389315822204E-2</v>
      </c>
      <c r="CF73" t="s">
        <v>708</v>
      </c>
      <c r="CG73" t="s">
        <v>108</v>
      </c>
      <c r="CH73" t="s">
        <v>109</v>
      </c>
      <c r="CI73">
        <v>0.39008261497559032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7B819-8F3D-47D7-B008-4E19B65C81A6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0.30218904397061763</v>
      </c>
      <c r="P11">
        <v>2020</v>
      </c>
      <c r="Q11" t="s">
        <v>193</v>
      </c>
      <c r="R11">
        <v>0.21346666666666669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0.10021512576582281</v>
      </c>
      <c r="P12">
        <v>2020</v>
      </c>
      <c r="Q12" t="s">
        <v>195</v>
      </c>
      <c r="R12">
        <v>0.26166666666666666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0.12680031420349525</v>
      </c>
      <c r="P13">
        <v>2020</v>
      </c>
      <c r="Q13" t="s">
        <v>196</v>
      </c>
      <c r="R13">
        <v>0.32593333333333335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0.32772350932552885</v>
      </c>
      <c r="P14">
        <v>2020</v>
      </c>
      <c r="Q14" t="s">
        <v>197</v>
      </c>
      <c r="R14">
        <v>0.25956666666666667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0.1812431787346902</v>
      </c>
      <c r="P15">
        <v>2021</v>
      </c>
      <c r="Q15" t="s">
        <v>193</v>
      </c>
      <c r="R15">
        <v>0.22666666666666666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0.22158447004629456</v>
      </c>
      <c r="P16">
        <v>2021</v>
      </c>
      <c r="Q16" t="s">
        <v>195</v>
      </c>
      <c r="R16">
        <v>0.23616666666666664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0.23388858011323554</v>
      </c>
      <c r="P17">
        <v>2021</v>
      </c>
      <c r="Q17" t="s">
        <v>196</v>
      </c>
      <c r="R17">
        <v>0.3372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0.13413683997732617</v>
      </c>
      <c r="P18">
        <v>2021</v>
      </c>
      <c r="Q18" t="s">
        <v>197</v>
      </c>
      <c r="R18">
        <v>0.19473333333333334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0.14456133623055556</v>
      </c>
      <c r="P19">
        <v>2022</v>
      </c>
      <c r="Q19" t="s">
        <v>193</v>
      </c>
      <c r="R19">
        <v>0.1434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0.29424628366262295</v>
      </c>
      <c r="P20">
        <v>2022</v>
      </c>
      <c r="Q20" t="s">
        <v>195</v>
      </c>
      <c r="R20">
        <v>0.1452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0.17213880645223378</v>
      </c>
      <c r="P21">
        <v>2022</v>
      </c>
      <c r="Q21" t="s">
        <v>196</v>
      </c>
      <c r="R21">
        <v>0.20863333333333334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0.20917393009447616</v>
      </c>
      <c r="P22">
        <v>2022</v>
      </c>
      <c r="Q22" t="s">
        <v>197</v>
      </c>
      <c r="R22">
        <v>0.13759999999999997</v>
      </c>
      <c r="S22" t="s">
        <v>194</v>
      </c>
    </row>
    <row r="23" spans="3:19" x14ac:dyDescent="0.45">
      <c r="H23" t="s">
        <v>198</v>
      </c>
      <c r="I23" t="s">
        <v>5</v>
      </c>
      <c r="P23">
        <v>2025</v>
      </c>
      <c r="Q23" t="s">
        <v>193</v>
      </c>
      <c r="R23">
        <v>0.20986666666666665</v>
      </c>
      <c r="S23" t="s">
        <v>194</v>
      </c>
    </row>
    <row r="24" spans="3:19" x14ac:dyDescent="0.45">
      <c r="H24" t="s">
        <v>198</v>
      </c>
      <c r="I24" t="s">
        <v>9</v>
      </c>
      <c r="P24">
        <v>2025</v>
      </c>
      <c r="Q24" t="s">
        <v>195</v>
      </c>
      <c r="R24">
        <v>0.20746666666666669</v>
      </c>
      <c r="S24" t="s">
        <v>194</v>
      </c>
    </row>
    <row r="25" spans="3:19" x14ac:dyDescent="0.45">
      <c r="H25" t="s">
        <v>198</v>
      </c>
      <c r="I25" t="s">
        <v>10</v>
      </c>
      <c r="P25">
        <v>2025</v>
      </c>
      <c r="Q25" t="s">
        <v>196</v>
      </c>
      <c r="R25">
        <v>0.34026666666666666</v>
      </c>
      <c r="S25" t="s">
        <v>194</v>
      </c>
    </row>
    <row r="26" spans="3:19" x14ac:dyDescent="0.45">
      <c r="H26" t="s">
        <v>198</v>
      </c>
      <c r="I26" t="s">
        <v>11</v>
      </c>
      <c r="P26">
        <v>2025</v>
      </c>
      <c r="Q26" t="s">
        <v>197</v>
      </c>
      <c r="R26">
        <v>0.22560000000000002</v>
      </c>
      <c r="S26" t="s">
        <v>194</v>
      </c>
    </row>
    <row r="27" spans="3:19" x14ac:dyDescent="0.45">
      <c r="H27" t="s">
        <v>198</v>
      </c>
      <c r="I27" t="s">
        <v>12</v>
      </c>
      <c r="P27">
        <v>2026</v>
      </c>
      <c r="Q27" t="s">
        <v>193</v>
      </c>
      <c r="R27">
        <v>0.23529999999999998</v>
      </c>
      <c r="S27" t="s">
        <v>194</v>
      </c>
    </row>
    <row r="28" spans="3:19" x14ac:dyDescent="0.45">
      <c r="H28" t="s">
        <v>198</v>
      </c>
      <c r="I28" t="s">
        <v>13</v>
      </c>
      <c r="P28">
        <v>2026</v>
      </c>
      <c r="Q28" t="s">
        <v>195</v>
      </c>
      <c r="R28">
        <v>0.33503333333333335</v>
      </c>
      <c r="S28" t="s">
        <v>194</v>
      </c>
    </row>
    <row r="29" spans="3:19" x14ac:dyDescent="0.45">
      <c r="H29" t="s">
        <v>198</v>
      </c>
      <c r="I29" t="s">
        <v>14</v>
      </c>
      <c r="P29">
        <v>2026</v>
      </c>
      <c r="Q29" t="s">
        <v>196</v>
      </c>
      <c r="R29">
        <v>0.41966666666666663</v>
      </c>
      <c r="S29" t="s">
        <v>194</v>
      </c>
    </row>
    <row r="30" spans="3:19" x14ac:dyDescent="0.45">
      <c r="H30" t="s">
        <v>198</v>
      </c>
      <c r="I30" t="s">
        <v>15</v>
      </c>
      <c r="P30">
        <v>2026</v>
      </c>
      <c r="Q30" t="s">
        <v>197</v>
      </c>
      <c r="R30">
        <v>0.31973333333333337</v>
      </c>
      <c r="S30" t="s">
        <v>194</v>
      </c>
    </row>
    <row r="31" spans="3:19" x14ac:dyDescent="0.45">
      <c r="H31" t="s">
        <v>198</v>
      </c>
      <c r="I31" t="s">
        <v>16</v>
      </c>
      <c r="P31">
        <v>2027</v>
      </c>
      <c r="Q31" t="s">
        <v>193</v>
      </c>
      <c r="R31">
        <v>0.27089999999999997</v>
      </c>
      <c r="S31" t="s">
        <v>194</v>
      </c>
    </row>
    <row r="32" spans="3:19" x14ac:dyDescent="0.45">
      <c r="H32" t="s">
        <v>198</v>
      </c>
      <c r="I32" t="s">
        <v>17</v>
      </c>
      <c r="P32">
        <v>2027</v>
      </c>
      <c r="Q32" t="s">
        <v>195</v>
      </c>
      <c r="R32">
        <v>0.31180000000000002</v>
      </c>
      <c r="S32" t="s">
        <v>194</v>
      </c>
    </row>
    <row r="33" spans="8:19" x14ac:dyDescent="0.45">
      <c r="H33" t="s">
        <v>198</v>
      </c>
      <c r="I33" t="s">
        <v>18</v>
      </c>
      <c r="P33">
        <v>2027</v>
      </c>
      <c r="Q33" t="s">
        <v>196</v>
      </c>
      <c r="R33">
        <v>0.40366666666666667</v>
      </c>
      <c r="S33" t="s">
        <v>194</v>
      </c>
    </row>
    <row r="34" spans="8:19" x14ac:dyDescent="0.45">
      <c r="H34" t="s">
        <v>198</v>
      </c>
      <c r="I34" t="s">
        <v>19</v>
      </c>
      <c r="P34">
        <v>2027</v>
      </c>
      <c r="Q34" t="s">
        <v>197</v>
      </c>
      <c r="R34">
        <v>0.2984</v>
      </c>
      <c r="S34" t="s">
        <v>194</v>
      </c>
    </row>
    <row r="35" spans="8:19" x14ac:dyDescent="0.45">
      <c r="P35">
        <v>2028</v>
      </c>
      <c r="Q35" t="s">
        <v>193</v>
      </c>
      <c r="R35">
        <v>0.27</v>
      </c>
      <c r="S35" t="s">
        <v>194</v>
      </c>
    </row>
    <row r="36" spans="8:19" x14ac:dyDescent="0.45">
      <c r="P36">
        <v>2028</v>
      </c>
      <c r="Q36" t="s">
        <v>195</v>
      </c>
      <c r="R36">
        <v>0.30036666666666667</v>
      </c>
      <c r="S36" t="s">
        <v>194</v>
      </c>
    </row>
    <row r="37" spans="8:19" x14ac:dyDescent="0.45">
      <c r="P37">
        <v>2028</v>
      </c>
      <c r="Q37" t="s">
        <v>196</v>
      </c>
      <c r="R37">
        <v>0.38313333333333333</v>
      </c>
      <c r="S37" t="s">
        <v>194</v>
      </c>
    </row>
    <row r="38" spans="8:19" x14ac:dyDescent="0.45">
      <c r="P38">
        <v>2028</v>
      </c>
      <c r="Q38" t="s">
        <v>197</v>
      </c>
      <c r="R38">
        <v>0.30620000000000003</v>
      </c>
      <c r="S38" t="s">
        <v>194</v>
      </c>
    </row>
    <row r="39" spans="8:19" x14ac:dyDescent="0.45">
      <c r="P39">
        <v>2029</v>
      </c>
      <c r="Q39" t="s">
        <v>193</v>
      </c>
      <c r="R39">
        <v>0.25733333333333336</v>
      </c>
      <c r="S39" t="s">
        <v>194</v>
      </c>
    </row>
    <row r="40" spans="8:19" x14ac:dyDescent="0.45">
      <c r="P40">
        <v>2029</v>
      </c>
      <c r="Q40" t="s">
        <v>195</v>
      </c>
      <c r="R40">
        <v>0.30409999999999998</v>
      </c>
      <c r="S40" t="s">
        <v>194</v>
      </c>
    </row>
    <row r="41" spans="8:19" x14ac:dyDescent="0.45">
      <c r="P41">
        <v>2029</v>
      </c>
      <c r="Q41" t="s">
        <v>196</v>
      </c>
      <c r="R41">
        <v>0.41310000000000002</v>
      </c>
      <c r="S41" t="s">
        <v>194</v>
      </c>
    </row>
    <row r="42" spans="8:19" x14ac:dyDescent="0.45">
      <c r="P42">
        <v>2029</v>
      </c>
      <c r="Q42" t="s">
        <v>197</v>
      </c>
      <c r="R42">
        <v>0.24496666666666667</v>
      </c>
      <c r="S42" t="s">
        <v>194</v>
      </c>
    </row>
    <row r="43" spans="8:19" x14ac:dyDescent="0.45">
      <c r="P43">
        <v>2030</v>
      </c>
      <c r="Q43" t="s">
        <v>193</v>
      </c>
      <c r="R43">
        <v>0.25089999999999996</v>
      </c>
      <c r="S43" t="s">
        <v>194</v>
      </c>
    </row>
    <row r="44" spans="8:19" x14ac:dyDescent="0.45">
      <c r="P44">
        <v>2030</v>
      </c>
      <c r="Q44" t="s">
        <v>195</v>
      </c>
      <c r="R44">
        <v>0.22850000000000001</v>
      </c>
      <c r="S44" t="s">
        <v>194</v>
      </c>
    </row>
    <row r="45" spans="8:19" x14ac:dyDescent="0.45">
      <c r="P45">
        <v>2030</v>
      </c>
      <c r="Q45" t="s">
        <v>196</v>
      </c>
      <c r="R45">
        <v>0.39736666666666665</v>
      </c>
      <c r="S45" t="s">
        <v>194</v>
      </c>
    </row>
    <row r="46" spans="8:19" x14ac:dyDescent="0.45">
      <c r="P46">
        <v>2030</v>
      </c>
      <c r="Q46" t="s">
        <v>197</v>
      </c>
      <c r="R46">
        <v>0.27126666666666666</v>
      </c>
      <c r="S46" t="s">
        <v>194</v>
      </c>
    </row>
    <row r="47" spans="8:19" x14ac:dyDescent="0.45">
      <c r="P47">
        <v>2031</v>
      </c>
      <c r="Q47" t="s">
        <v>193</v>
      </c>
      <c r="R47">
        <v>0.17899999999999996</v>
      </c>
      <c r="S47" t="s">
        <v>194</v>
      </c>
    </row>
    <row r="48" spans="8:19" x14ac:dyDescent="0.45">
      <c r="P48">
        <v>2031</v>
      </c>
      <c r="Q48" t="s">
        <v>195</v>
      </c>
      <c r="R48">
        <v>0.2611</v>
      </c>
      <c r="S48" t="s">
        <v>194</v>
      </c>
    </row>
    <row r="49" spans="16:19" x14ac:dyDescent="0.45">
      <c r="P49">
        <v>2031</v>
      </c>
      <c r="Q49" t="s">
        <v>196</v>
      </c>
      <c r="R49">
        <v>0.35036666666666666</v>
      </c>
      <c r="S49" t="s">
        <v>194</v>
      </c>
    </row>
    <row r="50" spans="16:19" x14ac:dyDescent="0.45">
      <c r="P50">
        <v>2031</v>
      </c>
      <c r="Q50" t="s">
        <v>197</v>
      </c>
      <c r="R50">
        <v>0.2305666666666667</v>
      </c>
      <c r="S50" t="s">
        <v>194</v>
      </c>
    </row>
    <row r="51" spans="16:19" x14ac:dyDescent="0.45">
      <c r="P51">
        <v>2032</v>
      </c>
      <c r="Q51" t="s">
        <v>193</v>
      </c>
      <c r="R51">
        <v>0.21143333333333336</v>
      </c>
      <c r="S51" t="s">
        <v>194</v>
      </c>
    </row>
    <row r="52" spans="16:19" x14ac:dyDescent="0.45">
      <c r="P52">
        <v>2032</v>
      </c>
      <c r="Q52" t="s">
        <v>195</v>
      </c>
      <c r="R52">
        <v>0.30596666666666666</v>
      </c>
      <c r="S52" t="s">
        <v>194</v>
      </c>
    </row>
    <row r="53" spans="16:19" x14ac:dyDescent="0.45">
      <c r="P53">
        <v>2032</v>
      </c>
      <c r="Q53" t="s">
        <v>196</v>
      </c>
      <c r="R53">
        <v>0.34100000000000003</v>
      </c>
      <c r="S53" t="s">
        <v>194</v>
      </c>
    </row>
    <row r="54" spans="16:19" x14ac:dyDescent="0.45">
      <c r="P54">
        <v>2032</v>
      </c>
      <c r="Q54" t="s">
        <v>197</v>
      </c>
      <c r="R54">
        <v>0.2341</v>
      </c>
      <c r="S54" t="s">
        <v>194</v>
      </c>
    </row>
    <row r="55" spans="16:19" x14ac:dyDescent="0.45">
      <c r="P55">
        <v>2033</v>
      </c>
      <c r="Q55" t="s">
        <v>193</v>
      </c>
      <c r="R55">
        <v>0.23863333333333334</v>
      </c>
      <c r="S55" t="s">
        <v>194</v>
      </c>
    </row>
    <row r="56" spans="16:19" x14ac:dyDescent="0.45">
      <c r="P56">
        <v>2033</v>
      </c>
      <c r="Q56" t="s">
        <v>195</v>
      </c>
      <c r="R56">
        <v>0.21529999999999996</v>
      </c>
      <c r="S56" t="s">
        <v>194</v>
      </c>
    </row>
    <row r="57" spans="16:19" x14ac:dyDescent="0.45">
      <c r="P57">
        <v>2033</v>
      </c>
      <c r="Q57" t="s">
        <v>196</v>
      </c>
      <c r="R57">
        <v>0.36476666666666668</v>
      </c>
      <c r="S57" t="s">
        <v>194</v>
      </c>
    </row>
    <row r="58" spans="16:19" x14ac:dyDescent="0.45">
      <c r="P58">
        <v>2033</v>
      </c>
      <c r="Q58" t="s">
        <v>197</v>
      </c>
      <c r="R58">
        <v>0.22756666666666669</v>
      </c>
      <c r="S58" t="s">
        <v>194</v>
      </c>
    </row>
    <row r="59" spans="16:19" x14ac:dyDescent="0.45">
      <c r="P59">
        <v>2034</v>
      </c>
      <c r="Q59" t="s">
        <v>193</v>
      </c>
      <c r="R59">
        <v>0.23653333333333335</v>
      </c>
      <c r="S59" t="s">
        <v>194</v>
      </c>
    </row>
    <row r="60" spans="16:19" x14ac:dyDescent="0.45">
      <c r="P60">
        <v>2034</v>
      </c>
      <c r="Q60" t="s">
        <v>195</v>
      </c>
      <c r="R60">
        <v>0.26730000000000004</v>
      </c>
      <c r="S60" t="s">
        <v>194</v>
      </c>
    </row>
    <row r="61" spans="16:19" x14ac:dyDescent="0.45">
      <c r="P61">
        <v>2034</v>
      </c>
      <c r="Q61" t="s">
        <v>196</v>
      </c>
      <c r="R61">
        <v>0.38339999999999996</v>
      </c>
      <c r="S61" t="s">
        <v>194</v>
      </c>
    </row>
    <row r="62" spans="16:19" x14ac:dyDescent="0.45">
      <c r="P62">
        <v>2034</v>
      </c>
      <c r="Q62" t="s">
        <v>197</v>
      </c>
      <c r="R62">
        <v>0.27423333333333333</v>
      </c>
      <c r="S62" t="s">
        <v>194</v>
      </c>
    </row>
    <row r="63" spans="16:19" x14ac:dyDescent="0.45">
      <c r="P63">
        <v>2035</v>
      </c>
      <c r="Q63" t="s">
        <v>193</v>
      </c>
      <c r="R63">
        <v>0.18416666666666667</v>
      </c>
      <c r="S63" t="s">
        <v>194</v>
      </c>
    </row>
    <row r="64" spans="16:19" x14ac:dyDescent="0.45">
      <c r="P64">
        <v>2035</v>
      </c>
      <c r="Q64" t="s">
        <v>195</v>
      </c>
      <c r="R64">
        <v>0.2262666666666667</v>
      </c>
      <c r="S64" t="s">
        <v>194</v>
      </c>
    </row>
    <row r="65" spans="16:19" x14ac:dyDescent="0.45">
      <c r="P65">
        <v>2035</v>
      </c>
      <c r="Q65" t="s">
        <v>196</v>
      </c>
      <c r="R65">
        <v>0.36940000000000001</v>
      </c>
      <c r="S65" t="s">
        <v>194</v>
      </c>
    </row>
    <row r="66" spans="16:19" x14ac:dyDescent="0.45">
      <c r="P66">
        <v>2035</v>
      </c>
      <c r="Q66" t="s">
        <v>197</v>
      </c>
      <c r="R66">
        <v>0.19633333333333333</v>
      </c>
      <c r="S66" t="s">
        <v>194</v>
      </c>
    </row>
    <row r="67" spans="16:19" x14ac:dyDescent="0.45">
      <c r="P67">
        <v>2036</v>
      </c>
      <c r="Q67" t="s">
        <v>193</v>
      </c>
      <c r="R67">
        <v>0.25413333333333332</v>
      </c>
      <c r="S67" t="s">
        <v>194</v>
      </c>
    </row>
    <row r="68" spans="16:19" x14ac:dyDescent="0.45">
      <c r="P68">
        <v>2036</v>
      </c>
      <c r="Q68" t="s">
        <v>195</v>
      </c>
      <c r="R68">
        <v>0.30023333333333335</v>
      </c>
      <c r="S68" t="s">
        <v>194</v>
      </c>
    </row>
    <row r="69" spans="16:19" x14ac:dyDescent="0.45">
      <c r="P69">
        <v>2036</v>
      </c>
      <c r="Q69" t="s">
        <v>196</v>
      </c>
      <c r="R69">
        <v>0.38166666666666665</v>
      </c>
      <c r="S69" t="s">
        <v>194</v>
      </c>
    </row>
    <row r="70" spans="16:19" x14ac:dyDescent="0.45">
      <c r="P70">
        <v>2036</v>
      </c>
      <c r="Q70" t="s">
        <v>197</v>
      </c>
      <c r="R70">
        <v>0.23196666666666665</v>
      </c>
      <c r="S70" t="s">
        <v>194</v>
      </c>
    </row>
    <row r="71" spans="16:19" x14ac:dyDescent="0.45">
      <c r="P71">
        <v>2037</v>
      </c>
      <c r="Q71" t="s">
        <v>193</v>
      </c>
      <c r="R71">
        <v>0.2014</v>
      </c>
      <c r="S71" t="s">
        <v>194</v>
      </c>
    </row>
    <row r="72" spans="16:19" x14ac:dyDescent="0.45">
      <c r="P72">
        <v>2037</v>
      </c>
      <c r="Q72" t="s">
        <v>195</v>
      </c>
      <c r="R72">
        <v>0.25110000000000005</v>
      </c>
      <c r="S72" t="s">
        <v>194</v>
      </c>
    </row>
    <row r="73" spans="16:19" x14ac:dyDescent="0.45">
      <c r="P73">
        <v>2037</v>
      </c>
      <c r="Q73" t="s">
        <v>196</v>
      </c>
      <c r="R73">
        <v>0.34720000000000001</v>
      </c>
      <c r="S73" t="s">
        <v>194</v>
      </c>
    </row>
    <row r="74" spans="16:19" x14ac:dyDescent="0.45">
      <c r="P74">
        <v>2037</v>
      </c>
      <c r="Q74" t="s">
        <v>197</v>
      </c>
      <c r="R74">
        <v>0.22273333333333334</v>
      </c>
      <c r="S74" t="s">
        <v>194</v>
      </c>
    </row>
    <row r="75" spans="16:19" x14ac:dyDescent="0.45">
      <c r="P75">
        <v>2038</v>
      </c>
      <c r="Q75" t="s">
        <v>193</v>
      </c>
      <c r="R75">
        <v>0.26443333333333335</v>
      </c>
      <c r="S75" t="s">
        <v>194</v>
      </c>
    </row>
    <row r="76" spans="16:19" x14ac:dyDescent="0.45">
      <c r="P76">
        <v>2038</v>
      </c>
      <c r="Q76" t="s">
        <v>195</v>
      </c>
      <c r="R76">
        <v>0.23233333333333336</v>
      </c>
      <c r="S76" t="s">
        <v>194</v>
      </c>
    </row>
    <row r="77" spans="16:19" x14ac:dyDescent="0.45">
      <c r="P77">
        <v>2038</v>
      </c>
      <c r="Q77" t="s">
        <v>196</v>
      </c>
      <c r="R77">
        <v>0.34836666666666666</v>
      </c>
      <c r="S77" t="s">
        <v>194</v>
      </c>
    </row>
    <row r="78" spans="16:19" x14ac:dyDescent="0.45">
      <c r="P78">
        <v>2038</v>
      </c>
      <c r="Q78" t="s">
        <v>197</v>
      </c>
      <c r="R78">
        <v>0.29136666666666666</v>
      </c>
      <c r="S78" t="s">
        <v>194</v>
      </c>
    </row>
    <row r="79" spans="16:19" x14ac:dyDescent="0.45">
      <c r="P79">
        <v>2039</v>
      </c>
      <c r="Q79" t="s">
        <v>193</v>
      </c>
      <c r="R79">
        <v>0.28350000000000003</v>
      </c>
      <c r="S79" t="s">
        <v>194</v>
      </c>
    </row>
    <row r="80" spans="16:19" x14ac:dyDescent="0.45">
      <c r="P80">
        <v>2039</v>
      </c>
      <c r="Q80" t="s">
        <v>195</v>
      </c>
      <c r="R80">
        <v>0.25823333333333331</v>
      </c>
      <c r="S80" t="s">
        <v>194</v>
      </c>
    </row>
    <row r="81" spans="16:19" x14ac:dyDescent="0.45">
      <c r="P81">
        <v>2039</v>
      </c>
      <c r="Q81" t="s">
        <v>196</v>
      </c>
      <c r="R81">
        <v>0.37529999999999997</v>
      </c>
      <c r="S81" t="s">
        <v>194</v>
      </c>
    </row>
    <row r="82" spans="16:19" x14ac:dyDescent="0.45">
      <c r="P82">
        <v>2039</v>
      </c>
      <c r="Q82" t="s">
        <v>197</v>
      </c>
      <c r="R82">
        <v>0.24099999999999999</v>
      </c>
      <c r="S82" t="s">
        <v>194</v>
      </c>
    </row>
    <row r="83" spans="16:19" x14ac:dyDescent="0.45">
      <c r="P83">
        <v>2040</v>
      </c>
      <c r="Q83" t="s">
        <v>193</v>
      </c>
      <c r="R83">
        <v>0.21603333333333333</v>
      </c>
      <c r="S83" t="s">
        <v>194</v>
      </c>
    </row>
    <row r="84" spans="16:19" x14ac:dyDescent="0.45">
      <c r="P84">
        <v>2040</v>
      </c>
      <c r="Q84" t="s">
        <v>195</v>
      </c>
      <c r="R84">
        <v>0.23450000000000001</v>
      </c>
      <c r="S84" t="s">
        <v>194</v>
      </c>
    </row>
    <row r="85" spans="16:19" x14ac:dyDescent="0.45">
      <c r="P85">
        <v>2040</v>
      </c>
      <c r="Q85" t="s">
        <v>196</v>
      </c>
      <c r="R85">
        <v>0.33576666666666671</v>
      </c>
      <c r="S85" t="s">
        <v>194</v>
      </c>
    </row>
    <row r="86" spans="16:19" x14ac:dyDescent="0.45">
      <c r="P86">
        <v>2040</v>
      </c>
      <c r="Q86" t="s">
        <v>197</v>
      </c>
      <c r="R86">
        <v>0.29096666666666665</v>
      </c>
      <c r="S86" t="s">
        <v>194</v>
      </c>
    </row>
    <row r="87" spans="16:19" x14ac:dyDescent="0.45">
      <c r="P87">
        <v>2041</v>
      </c>
      <c r="Q87" t="s">
        <v>193</v>
      </c>
      <c r="R87">
        <v>0.20763333333333334</v>
      </c>
      <c r="S87" t="s">
        <v>194</v>
      </c>
    </row>
    <row r="88" spans="16:19" x14ac:dyDescent="0.45">
      <c r="P88">
        <v>2041</v>
      </c>
      <c r="Q88" t="s">
        <v>195</v>
      </c>
      <c r="R88">
        <v>0.26960000000000001</v>
      </c>
      <c r="S88" t="s">
        <v>194</v>
      </c>
    </row>
    <row r="89" spans="16:19" x14ac:dyDescent="0.45">
      <c r="P89">
        <v>2041</v>
      </c>
      <c r="Q89" t="s">
        <v>196</v>
      </c>
      <c r="R89">
        <v>0.42136666666666667</v>
      </c>
      <c r="S89" t="s">
        <v>194</v>
      </c>
    </row>
    <row r="90" spans="16:19" x14ac:dyDescent="0.45">
      <c r="P90">
        <v>2041</v>
      </c>
      <c r="Q90" t="s">
        <v>197</v>
      </c>
      <c r="R90">
        <v>0.22166666666666668</v>
      </c>
      <c r="S90" t="s">
        <v>194</v>
      </c>
    </row>
    <row r="91" spans="16:19" x14ac:dyDescent="0.45">
      <c r="P91">
        <v>2042</v>
      </c>
      <c r="Q91" t="s">
        <v>193</v>
      </c>
      <c r="R91">
        <v>0.24949999999999997</v>
      </c>
      <c r="S91" t="s">
        <v>194</v>
      </c>
    </row>
    <row r="92" spans="16:19" x14ac:dyDescent="0.45">
      <c r="P92">
        <v>2042</v>
      </c>
      <c r="Q92" t="s">
        <v>195</v>
      </c>
      <c r="R92">
        <v>0.28583333333333333</v>
      </c>
      <c r="S92" t="s">
        <v>194</v>
      </c>
    </row>
    <row r="93" spans="16:19" x14ac:dyDescent="0.45">
      <c r="P93">
        <v>2042</v>
      </c>
      <c r="Q93" t="s">
        <v>196</v>
      </c>
      <c r="R93">
        <v>0.40056666666666657</v>
      </c>
      <c r="S93" t="s">
        <v>194</v>
      </c>
    </row>
    <row r="94" spans="16:19" x14ac:dyDescent="0.45">
      <c r="P94">
        <v>2042</v>
      </c>
      <c r="Q94" t="s">
        <v>197</v>
      </c>
      <c r="R94">
        <v>0.23650000000000002</v>
      </c>
      <c r="S94" t="s">
        <v>194</v>
      </c>
    </row>
    <row r="95" spans="16:19" x14ac:dyDescent="0.45">
      <c r="P95">
        <v>2043</v>
      </c>
      <c r="Q95" t="s">
        <v>193</v>
      </c>
      <c r="R95">
        <v>0.18133333333333335</v>
      </c>
      <c r="S95" t="s">
        <v>194</v>
      </c>
    </row>
    <row r="96" spans="16:19" x14ac:dyDescent="0.45">
      <c r="P96">
        <v>2043</v>
      </c>
      <c r="Q96" t="s">
        <v>195</v>
      </c>
      <c r="R96">
        <v>0.23879999999999998</v>
      </c>
      <c r="S96" t="s">
        <v>194</v>
      </c>
    </row>
    <row r="97" spans="16:19" x14ac:dyDescent="0.45">
      <c r="P97">
        <v>2043</v>
      </c>
      <c r="Q97" t="s">
        <v>196</v>
      </c>
      <c r="R97">
        <v>0.3620666666666667</v>
      </c>
      <c r="S97" t="s">
        <v>194</v>
      </c>
    </row>
    <row r="98" spans="16:19" x14ac:dyDescent="0.45">
      <c r="P98">
        <v>2043</v>
      </c>
      <c r="Q98" t="s">
        <v>197</v>
      </c>
      <c r="R98">
        <v>0.22309999999999999</v>
      </c>
      <c r="S98" t="s">
        <v>194</v>
      </c>
    </row>
    <row r="99" spans="16:19" x14ac:dyDescent="0.45">
      <c r="P99">
        <v>2044</v>
      </c>
      <c r="Q99" t="s">
        <v>193</v>
      </c>
      <c r="R99">
        <v>0.15886666666666666</v>
      </c>
      <c r="S99" t="s">
        <v>194</v>
      </c>
    </row>
    <row r="100" spans="16:19" x14ac:dyDescent="0.45">
      <c r="P100">
        <v>2044</v>
      </c>
      <c r="Q100" t="s">
        <v>195</v>
      </c>
      <c r="R100">
        <v>0.2039</v>
      </c>
      <c r="S100" t="s">
        <v>194</v>
      </c>
    </row>
    <row r="101" spans="16:19" x14ac:dyDescent="0.45">
      <c r="P101">
        <v>2044</v>
      </c>
      <c r="Q101" t="s">
        <v>196</v>
      </c>
      <c r="R101">
        <v>0.3805</v>
      </c>
      <c r="S101" t="s">
        <v>194</v>
      </c>
    </row>
    <row r="102" spans="16:19" x14ac:dyDescent="0.45">
      <c r="P102">
        <v>2044</v>
      </c>
      <c r="Q102" t="s">
        <v>197</v>
      </c>
      <c r="R102">
        <v>0.24250000000000002</v>
      </c>
      <c r="S102" t="s">
        <v>194</v>
      </c>
    </row>
    <row r="103" spans="16:19" x14ac:dyDescent="0.45">
      <c r="P103">
        <v>2045</v>
      </c>
      <c r="Q103" t="s">
        <v>193</v>
      </c>
      <c r="R103">
        <v>0.19963333333333333</v>
      </c>
      <c r="S103" t="s">
        <v>194</v>
      </c>
    </row>
    <row r="104" spans="16:19" x14ac:dyDescent="0.45">
      <c r="P104">
        <v>2045</v>
      </c>
      <c r="Q104" t="s">
        <v>195</v>
      </c>
      <c r="R104">
        <v>0.24749999999999997</v>
      </c>
      <c r="S104" t="s">
        <v>194</v>
      </c>
    </row>
    <row r="105" spans="16:19" x14ac:dyDescent="0.45">
      <c r="P105">
        <v>2045</v>
      </c>
      <c r="Q105" t="s">
        <v>196</v>
      </c>
      <c r="R105">
        <v>0.33879999999999999</v>
      </c>
      <c r="S105" t="s">
        <v>194</v>
      </c>
    </row>
    <row r="106" spans="16:19" x14ac:dyDescent="0.45">
      <c r="P106">
        <v>2045</v>
      </c>
      <c r="Q106" t="s">
        <v>197</v>
      </c>
      <c r="R106">
        <v>0.25716666666666671</v>
      </c>
      <c r="S106" t="s">
        <v>194</v>
      </c>
    </row>
    <row r="107" spans="16:19" x14ac:dyDescent="0.45">
      <c r="P107">
        <v>2046</v>
      </c>
      <c r="Q107" t="s">
        <v>193</v>
      </c>
      <c r="R107">
        <v>0.19509999999999997</v>
      </c>
      <c r="S107" t="s">
        <v>194</v>
      </c>
    </row>
    <row r="108" spans="16:19" x14ac:dyDescent="0.45">
      <c r="P108">
        <v>2046</v>
      </c>
      <c r="Q108" t="s">
        <v>195</v>
      </c>
      <c r="R108">
        <v>0.26636666666666664</v>
      </c>
      <c r="S108" t="s">
        <v>194</v>
      </c>
    </row>
    <row r="109" spans="16:19" x14ac:dyDescent="0.45">
      <c r="P109">
        <v>2046</v>
      </c>
      <c r="Q109" t="s">
        <v>196</v>
      </c>
      <c r="R109">
        <v>0.35349999999999998</v>
      </c>
      <c r="S109" t="s">
        <v>194</v>
      </c>
    </row>
    <row r="110" spans="16:19" x14ac:dyDescent="0.45">
      <c r="P110">
        <v>2046</v>
      </c>
      <c r="Q110" t="s">
        <v>197</v>
      </c>
      <c r="R110">
        <v>0.17496666666666669</v>
      </c>
      <c r="S110" t="s">
        <v>194</v>
      </c>
    </row>
    <row r="111" spans="16:19" x14ac:dyDescent="0.45">
      <c r="P111">
        <v>2047</v>
      </c>
      <c r="Q111" t="s">
        <v>193</v>
      </c>
      <c r="R111">
        <v>0.25286666666666663</v>
      </c>
      <c r="S111" t="s">
        <v>194</v>
      </c>
    </row>
    <row r="112" spans="16:19" x14ac:dyDescent="0.45">
      <c r="P112">
        <v>2047</v>
      </c>
      <c r="Q112" t="s">
        <v>195</v>
      </c>
      <c r="R112">
        <v>0.27296666666666664</v>
      </c>
      <c r="S112" t="s">
        <v>194</v>
      </c>
    </row>
    <row r="113" spans="16:19" x14ac:dyDescent="0.45">
      <c r="P113">
        <v>2047</v>
      </c>
      <c r="Q113" t="s">
        <v>196</v>
      </c>
      <c r="R113">
        <v>0.32883333333333331</v>
      </c>
      <c r="S113" t="s">
        <v>194</v>
      </c>
    </row>
    <row r="114" spans="16:19" x14ac:dyDescent="0.45">
      <c r="P114">
        <v>2047</v>
      </c>
      <c r="Q114" t="s">
        <v>197</v>
      </c>
      <c r="R114">
        <v>0.21883333333333335</v>
      </c>
      <c r="S114" t="s">
        <v>194</v>
      </c>
    </row>
    <row r="115" spans="16:19" x14ac:dyDescent="0.45">
      <c r="P115">
        <v>2048</v>
      </c>
      <c r="Q115" t="s">
        <v>193</v>
      </c>
      <c r="R115">
        <v>0.21840000000000001</v>
      </c>
      <c r="S115" t="s">
        <v>194</v>
      </c>
    </row>
    <row r="116" spans="16:19" x14ac:dyDescent="0.45">
      <c r="P116">
        <v>2048</v>
      </c>
      <c r="Q116" t="s">
        <v>195</v>
      </c>
      <c r="R116">
        <v>0.2984</v>
      </c>
      <c r="S116" t="s">
        <v>194</v>
      </c>
    </row>
    <row r="117" spans="16:19" x14ac:dyDescent="0.45">
      <c r="P117">
        <v>2048</v>
      </c>
      <c r="Q117" t="s">
        <v>196</v>
      </c>
      <c r="R117">
        <v>0.44559999999999994</v>
      </c>
      <c r="S117" t="s">
        <v>194</v>
      </c>
    </row>
    <row r="118" spans="16:19" x14ac:dyDescent="0.45">
      <c r="P118">
        <v>2048</v>
      </c>
      <c r="Q118" t="s">
        <v>197</v>
      </c>
      <c r="R118">
        <v>0.3301</v>
      </c>
      <c r="S118" t="s">
        <v>194</v>
      </c>
    </row>
    <row r="119" spans="16:19" x14ac:dyDescent="0.45">
      <c r="P119">
        <v>2049</v>
      </c>
      <c r="Q119" t="s">
        <v>193</v>
      </c>
      <c r="R119">
        <v>0.24716666666666667</v>
      </c>
      <c r="S119" t="s">
        <v>194</v>
      </c>
    </row>
    <row r="120" spans="16:19" x14ac:dyDescent="0.45">
      <c r="P120">
        <v>2049</v>
      </c>
      <c r="Q120" t="s">
        <v>195</v>
      </c>
      <c r="R120">
        <v>0.25666666666666665</v>
      </c>
      <c r="S120" t="s">
        <v>194</v>
      </c>
    </row>
    <row r="121" spans="16:19" x14ac:dyDescent="0.45">
      <c r="P121">
        <v>2049</v>
      </c>
      <c r="Q121" t="s">
        <v>196</v>
      </c>
      <c r="R121">
        <v>0.41509999999999997</v>
      </c>
      <c r="S121" t="s">
        <v>194</v>
      </c>
    </row>
    <row r="122" spans="16:19" x14ac:dyDescent="0.45">
      <c r="P122">
        <v>2049</v>
      </c>
      <c r="Q122" t="s">
        <v>197</v>
      </c>
      <c r="R122">
        <v>0.29016666666666668</v>
      </c>
      <c r="S122" t="s">
        <v>194</v>
      </c>
    </row>
    <row r="123" spans="16:19" x14ac:dyDescent="0.45">
      <c r="P123">
        <v>2050</v>
      </c>
      <c r="Q123" t="s">
        <v>193</v>
      </c>
      <c r="R123">
        <v>0.18706666666666669</v>
      </c>
      <c r="S123" t="s">
        <v>194</v>
      </c>
    </row>
    <row r="124" spans="16:19" x14ac:dyDescent="0.45">
      <c r="P124">
        <v>2050</v>
      </c>
      <c r="Q124" t="s">
        <v>195</v>
      </c>
      <c r="R124">
        <v>0.26266666666666666</v>
      </c>
      <c r="S124" t="s">
        <v>194</v>
      </c>
    </row>
    <row r="125" spans="16:19" x14ac:dyDescent="0.45">
      <c r="P125">
        <v>2050</v>
      </c>
      <c r="Q125" t="s">
        <v>196</v>
      </c>
      <c r="R125">
        <v>0.3569</v>
      </c>
      <c r="S125" t="s">
        <v>194</v>
      </c>
    </row>
    <row r="126" spans="16:19" x14ac:dyDescent="0.45">
      <c r="P126">
        <v>2050</v>
      </c>
      <c r="Q126" t="s">
        <v>197</v>
      </c>
      <c r="R126">
        <v>0.32136666666666663</v>
      </c>
      <c r="S126" t="s">
        <v>194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D360-B74F-4134-9B45-1C8FB82BF846}">
  <dimension ref="B9:O3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709</v>
      </c>
      <c r="C11" t="s">
        <v>5</v>
      </c>
      <c r="D11">
        <v>0</v>
      </c>
      <c r="E11" t="s">
        <v>6</v>
      </c>
      <c r="G11" t="s">
        <v>710</v>
      </c>
      <c r="H11" t="s">
        <v>5</v>
      </c>
      <c r="I11">
        <v>0.1132556829616935</v>
      </c>
      <c r="J11" t="s">
        <v>6</v>
      </c>
      <c r="L11" t="s">
        <v>711</v>
      </c>
      <c r="M11" t="s">
        <v>5</v>
      </c>
      <c r="N11">
        <v>0.12521885700551955</v>
      </c>
      <c r="O11" t="s">
        <v>6</v>
      </c>
    </row>
    <row r="12" spans="2:15" x14ac:dyDescent="0.45">
      <c r="B12" t="s">
        <v>709</v>
      </c>
      <c r="C12" t="s">
        <v>9</v>
      </c>
      <c r="D12">
        <v>0.17189464753395972</v>
      </c>
      <c r="E12" t="s">
        <v>6</v>
      </c>
      <c r="G12" t="s">
        <v>710</v>
      </c>
      <c r="H12" t="s">
        <v>9</v>
      </c>
      <c r="I12">
        <v>0.14553100710862685</v>
      </c>
      <c r="J12" t="s">
        <v>6</v>
      </c>
      <c r="L12" t="s">
        <v>711</v>
      </c>
      <c r="M12" t="s">
        <v>9</v>
      </c>
      <c r="N12">
        <v>0.14914240719378749</v>
      </c>
      <c r="O12" t="s">
        <v>6</v>
      </c>
    </row>
    <row r="13" spans="2:15" x14ac:dyDescent="0.45">
      <c r="B13" t="s">
        <v>709</v>
      </c>
      <c r="C13" t="s">
        <v>10</v>
      </c>
      <c r="D13">
        <v>4.3027489824749186E-3</v>
      </c>
      <c r="E13" t="s">
        <v>6</v>
      </c>
      <c r="G13" t="s">
        <v>710</v>
      </c>
      <c r="H13" t="s">
        <v>10</v>
      </c>
      <c r="I13">
        <v>8.5339454769588319E-2</v>
      </c>
      <c r="J13" t="s">
        <v>6</v>
      </c>
      <c r="L13" t="s">
        <v>711</v>
      </c>
      <c r="M13" t="s">
        <v>10</v>
      </c>
      <c r="N13">
        <v>9.131898152906337E-2</v>
      </c>
      <c r="O13" t="s">
        <v>6</v>
      </c>
    </row>
    <row r="14" spans="2:15" x14ac:dyDescent="0.45">
      <c r="B14" t="s">
        <v>709</v>
      </c>
      <c r="C14" t="s">
        <v>11</v>
      </c>
      <c r="D14">
        <v>3.1829060010935689E-4</v>
      </c>
      <c r="E14" t="s">
        <v>6</v>
      </c>
      <c r="G14" t="s">
        <v>710</v>
      </c>
      <c r="H14" t="s">
        <v>11</v>
      </c>
      <c r="I14">
        <v>8.8007840757560463E-2</v>
      </c>
      <c r="J14" t="s">
        <v>6</v>
      </c>
      <c r="L14" t="s">
        <v>711</v>
      </c>
      <c r="M14" t="s">
        <v>11</v>
      </c>
      <c r="N14">
        <v>0.10137916273182902</v>
      </c>
      <c r="O14" t="s">
        <v>6</v>
      </c>
    </row>
    <row r="15" spans="2:15" x14ac:dyDescent="0.45">
      <c r="B15" t="s">
        <v>709</v>
      </c>
      <c r="C15" t="s">
        <v>12</v>
      </c>
      <c r="D15">
        <v>0.25227057646537177</v>
      </c>
      <c r="E15" t="s">
        <v>6</v>
      </c>
      <c r="G15" t="s">
        <v>710</v>
      </c>
      <c r="H15" t="s">
        <v>12</v>
      </c>
      <c r="I15">
        <v>0.13646248703133954</v>
      </c>
      <c r="J15" t="s">
        <v>6</v>
      </c>
      <c r="L15" t="s">
        <v>711</v>
      </c>
      <c r="M15" t="s">
        <v>12</v>
      </c>
      <c r="N15">
        <v>0.13127002531218834</v>
      </c>
      <c r="O15" t="s">
        <v>6</v>
      </c>
    </row>
    <row r="16" spans="2:15" x14ac:dyDescent="0.45">
      <c r="B16" t="s">
        <v>709</v>
      </c>
      <c r="C16" t="s">
        <v>13</v>
      </c>
      <c r="D16">
        <v>1.9692271161370282E-2</v>
      </c>
      <c r="E16" t="s">
        <v>6</v>
      </c>
      <c r="G16" t="s">
        <v>710</v>
      </c>
      <c r="H16" t="s">
        <v>13</v>
      </c>
      <c r="I16">
        <v>8.4224520633654279E-2</v>
      </c>
      <c r="J16" t="s">
        <v>6</v>
      </c>
      <c r="L16" t="s">
        <v>711</v>
      </c>
      <c r="M16" t="s">
        <v>13</v>
      </c>
      <c r="N16">
        <v>8.875030141818066E-2</v>
      </c>
      <c r="O16" t="s">
        <v>6</v>
      </c>
    </row>
    <row r="17" spans="2:15" x14ac:dyDescent="0.45">
      <c r="B17" t="s">
        <v>709</v>
      </c>
      <c r="C17" t="s">
        <v>14</v>
      </c>
      <c r="D17">
        <v>8.4324537606476435E-4</v>
      </c>
      <c r="E17" t="s">
        <v>6</v>
      </c>
      <c r="G17" t="s">
        <v>710</v>
      </c>
      <c r="H17" t="s">
        <v>14</v>
      </c>
      <c r="I17">
        <v>4.9107178351318767E-2</v>
      </c>
      <c r="J17" t="s">
        <v>6</v>
      </c>
      <c r="L17" t="s">
        <v>711</v>
      </c>
      <c r="M17" t="s">
        <v>14</v>
      </c>
      <c r="N17">
        <v>3.6516441761435335E-2</v>
      </c>
      <c r="O17" t="s">
        <v>6</v>
      </c>
    </row>
    <row r="18" spans="2:15" x14ac:dyDescent="0.45">
      <c r="B18" t="s">
        <v>709</v>
      </c>
      <c r="C18" t="s">
        <v>15</v>
      </c>
      <c r="D18">
        <v>0.30348812023540517</v>
      </c>
      <c r="E18" t="s">
        <v>6</v>
      </c>
      <c r="G18" t="s">
        <v>710</v>
      </c>
      <c r="H18" t="s">
        <v>15</v>
      </c>
      <c r="I18">
        <v>7.933181808542572E-2</v>
      </c>
      <c r="J18" t="s">
        <v>6</v>
      </c>
      <c r="L18" t="s">
        <v>711</v>
      </c>
      <c r="M18" t="s">
        <v>15</v>
      </c>
      <c r="N18">
        <v>5.2135375201874119E-2</v>
      </c>
      <c r="O18" t="s">
        <v>6</v>
      </c>
    </row>
    <row r="19" spans="2:15" x14ac:dyDescent="0.45">
      <c r="B19" t="s">
        <v>709</v>
      </c>
      <c r="C19" t="s">
        <v>16</v>
      </c>
      <c r="D19">
        <v>2.9024183699449542E-2</v>
      </c>
      <c r="E19" t="s">
        <v>6</v>
      </c>
      <c r="G19" t="s">
        <v>710</v>
      </c>
      <c r="H19" t="s">
        <v>16</v>
      </c>
      <c r="I19">
        <v>4.4245636726588579E-2</v>
      </c>
      <c r="J19" t="s">
        <v>6</v>
      </c>
      <c r="L19" t="s">
        <v>711</v>
      </c>
      <c r="M19" t="s">
        <v>16</v>
      </c>
      <c r="N19">
        <v>3.5424222451344252E-2</v>
      </c>
      <c r="O19" t="s">
        <v>6</v>
      </c>
    </row>
    <row r="20" spans="2:15" x14ac:dyDescent="0.45">
      <c r="B20" t="s">
        <v>709</v>
      </c>
      <c r="C20" t="s">
        <v>17</v>
      </c>
      <c r="D20">
        <v>0</v>
      </c>
      <c r="E20" t="s">
        <v>6</v>
      </c>
      <c r="G20" t="s">
        <v>710</v>
      </c>
      <c r="H20" t="s">
        <v>17</v>
      </c>
      <c r="I20">
        <v>5.1814997514964115E-2</v>
      </c>
      <c r="J20" t="s">
        <v>6</v>
      </c>
      <c r="L20" t="s">
        <v>711</v>
      </c>
      <c r="M20" t="s">
        <v>17</v>
      </c>
      <c r="N20">
        <v>6.2226802340181964E-2</v>
      </c>
      <c r="O20" t="s">
        <v>6</v>
      </c>
    </row>
    <row r="21" spans="2:15" x14ac:dyDescent="0.45">
      <c r="B21" t="s">
        <v>709</v>
      </c>
      <c r="C21" t="s">
        <v>18</v>
      </c>
      <c r="D21">
        <v>0.21033278027990276</v>
      </c>
      <c r="E21" t="s">
        <v>6</v>
      </c>
      <c r="G21" t="s">
        <v>710</v>
      </c>
      <c r="H21" t="s">
        <v>18</v>
      </c>
      <c r="I21">
        <v>7.5066729726980627E-2</v>
      </c>
      <c r="J21" t="s">
        <v>6</v>
      </c>
      <c r="L21" t="s">
        <v>711</v>
      </c>
      <c r="M21" t="s">
        <v>18</v>
      </c>
      <c r="N21">
        <v>7.7106703849194103E-2</v>
      </c>
      <c r="O21" t="s">
        <v>6</v>
      </c>
    </row>
    <row r="22" spans="2:15" x14ac:dyDescent="0.45">
      <c r="B22" t="s">
        <v>709</v>
      </c>
      <c r="C22" t="s">
        <v>19</v>
      </c>
      <c r="D22">
        <v>7.8331356658916263E-3</v>
      </c>
      <c r="E22" t="s">
        <v>6</v>
      </c>
      <c r="G22" t="s">
        <v>710</v>
      </c>
      <c r="H22" t="s">
        <v>19</v>
      </c>
      <c r="I22">
        <v>4.7612646332256203E-2</v>
      </c>
      <c r="J22" t="s">
        <v>6</v>
      </c>
      <c r="L22" t="s">
        <v>711</v>
      </c>
      <c r="M22" t="s">
        <v>19</v>
      </c>
      <c r="N22">
        <v>4.9510719205404348E-2</v>
      </c>
      <c r="O22" t="s">
        <v>6</v>
      </c>
    </row>
    <row r="23" spans="2:15" x14ac:dyDescent="0.45">
      <c r="B23" t="s">
        <v>712</v>
      </c>
      <c r="C23" t="s">
        <v>5</v>
      </c>
      <c r="D23">
        <v>0</v>
      </c>
      <c r="E23" t="s">
        <v>6</v>
      </c>
      <c r="G23" t="s">
        <v>713</v>
      </c>
      <c r="H23" t="s">
        <v>5</v>
      </c>
      <c r="I23">
        <v>0.1154963323991665</v>
      </c>
      <c r="J23" t="s">
        <v>6</v>
      </c>
      <c r="L23" t="s">
        <v>714</v>
      </c>
      <c r="M23" t="s">
        <v>5</v>
      </c>
      <c r="N23">
        <v>0.11573984670521335</v>
      </c>
      <c r="O23" t="s">
        <v>6</v>
      </c>
    </row>
    <row r="24" spans="2:15" x14ac:dyDescent="0.45">
      <c r="B24" t="s">
        <v>712</v>
      </c>
      <c r="C24" t="s">
        <v>9</v>
      </c>
      <c r="D24">
        <v>0.15941727094677488</v>
      </c>
      <c r="E24" t="s">
        <v>6</v>
      </c>
      <c r="G24" t="s">
        <v>713</v>
      </c>
      <c r="H24" t="s">
        <v>9</v>
      </c>
      <c r="I24">
        <v>0.11691033148823256</v>
      </c>
      <c r="J24" t="s">
        <v>6</v>
      </c>
      <c r="L24" t="s">
        <v>714</v>
      </c>
      <c r="M24" t="s">
        <v>9</v>
      </c>
      <c r="N24">
        <v>0.13763962745858679</v>
      </c>
      <c r="O24" t="s">
        <v>6</v>
      </c>
    </row>
    <row r="25" spans="2:15" x14ac:dyDescent="0.45">
      <c r="B25" t="s">
        <v>712</v>
      </c>
      <c r="C25" t="s">
        <v>10</v>
      </c>
      <c r="D25">
        <v>6.1118071988646369E-3</v>
      </c>
      <c r="E25" t="s">
        <v>6</v>
      </c>
      <c r="G25" t="s">
        <v>713</v>
      </c>
      <c r="H25" t="s">
        <v>10</v>
      </c>
      <c r="I25">
        <v>7.6653153300414584E-2</v>
      </c>
      <c r="J25" t="s">
        <v>6</v>
      </c>
      <c r="L25" t="s">
        <v>714</v>
      </c>
      <c r="M25" t="s">
        <v>10</v>
      </c>
      <c r="N25">
        <v>8.9035167294968534E-2</v>
      </c>
      <c r="O25" t="s">
        <v>6</v>
      </c>
    </row>
    <row r="26" spans="2:15" x14ac:dyDescent="0.45">
      <c r="B26" t="s">
        <v>712</v>
      </c>
      <c r="C26" t="s">
        <v>11</v>
      </c>
      <c r="D26">
        <v>2.3344875915126359E-4</v>
      </c>
      <c r="E26" t="s">
        <v>6</v>
      </c>
      <c r="G26" t="s">
        <v>713</v>
      </c>
      <c r="H26" t="s">
        <v>11</v>
      </c>
      <c r="I26">
        <v>9.478261919968671E-2</v>
      </c>
      <c r="J26" t="s">
        <v>6</v>
      </c>
      <c r="L26" t="s">
        <v>714</v>
      </c>
      <c r="M26" t="s">
        <v>11</v>
      </c>
      <c r="N26">
        <v>9.1775695370725399E-2</v>
      </c>
      <c r="O26" t="s">
        <v>6</v>
      </c>
    </row>
    <row r="27" spans="2:15" x14ac:dyDescent="0.45">
      <c r="B27" t="s">
        <v>712</v>
      </c>
      <c r="C27" t="s">
        <v>12</v>
      </c>
      <c r="D27">
        <v>0.24859021269035042</v>
      </c>
      <c r="E27" t="s">
        <v>6</v>
      </c>
      <c r="G27" t="s">
        <v>713</v>
      </c>
      <c r="H27" t="s">
        <v>12</v>
      </c>
      <c r="I27">
        <v>0.12211188878498715</v>
      </c>
      <c r="J27" t="s">
        <v>6</v>
      </c>
      <c r="L27" t="s">
        <v>714</v>
      </c>
      <c r="M27" t="s">
        <v>12</v>
      </c>
      <c r="N27">
        <v>0.13844092754010087</v>
      </c>
      <c r="O27" t="s">
        <v>6</v>
      </c>
    </row>
    <row r="28" spans="2:15" x14ac:dyDescent="0.45">
      <c r="B28" t="s">
        <v>712</v>
      </c>
      <c r="C28" t="s">
        <v>13</v>
      </c>
      <c r="D28">
        <v>2.1687726851760229E-2</v>
      </c>
      <c r="E28" t="s">
        <v>6</v>
      </c>
      <c r="G28" t="s">
        <v>713</v>
      </c>
      <c r="H28" t="s">
        <v>13</v>
      </c>
      <c r="I28">
        <v>9.3874029467681225E-2</v>
      </c>
      <c r="J28" t="s">
        <v>6</v>
      </c>
      <c r="L28" t="s">
        <v>714</v>
      </c>
      <c r="M28" t="s">
        <v>13</v>
      </c>
      <c r="N28">
        <v>8.4740780297100832E-2</v>
      </c>
      <c r="O28" t="s">
        <v>6</v>
      </c>
    </row>
    <row r="29" spans="2:15" x14ac:dyDescent="0.45">
      <c r="B29" t="s">
        <v>712</v>
      </c>
      <c r="C29" t="s">
        <v>14</v>
      </c>
      <c r="D29">
        <v>6.7134933909933467E-4</v>
      </c>
      <c r="E29" t="s">
        <v>6</v>
      </c>
      <c r="G29" t="s">
        <v>713</v>
      </c>
      <c r="H29" t="s">
        <v>14</v>
      </c>
      <c r="I29">
        <v>5.3347255814567188E-2</v>
      </c>
      <c r="J29" t="s">
        <v>6</v>
      </c>
      <c r="L29" t="s">
        <v>714</v>
      </c>
      <c r="M29" t="s">
        <v>14</v>
      </c>
      <c r="N29">
        <v>4.4285274965906965E-2</v>
      </c>
      <c r="O29" t="s">
        <v>6</v>
      </c>
    </row>
    <row r="30" spans="2:15" x14ac:dyDescent="0.45">
      <c r="B30" t="s">
        <v>712</v>
      </c>
      <c r="C30" t="s">
        <v>15</v>
      </c>
      <c r="D30">
        <v>0.31805269632549377</v>
      </c>
      <c r="E30" t="s">
        <v>6</v>
      </c>
      <c r="G30" t="s">
        <v>713</v>
      </c>
      <c r="H30" t="s">
        <v>15</v>
      </c>
      <c r="I30">
        <v>4.7443426173683204E-2</v>
      </c>
      <c r="J30" t="s">
        <v>6</v>
      </c>
      <c r="L30" t="s">
        <v>714</v>
      </c>
      <c r="M30" t="s">
        <v>15</v>
      </c>
      <c r="N30">
        <v>7.8498698777110951E-2</v>
      </c>
      <c r="O30" t="s">
        <v>6</v>
      </c>
    </row>
    <row r="31" spans="2:15" x14ac:dyDescent="0.45">
      <c r="B31" t="s">
        <v>712</v>
      </c>
      <c r="C31" t="s">
        <v>16</v>
      </c>
      <c r="D31">
        <v>3.3092623936403449E-2</v>
      </c>
      <c r="E31" t="s">
        <v>6</v>
      </c>
      <c r="G31" t="s">
        <v>713</v>
      </c>
      <c r="H31" t="s">
        <v>16</v>
      </c>
      <c r="I31">
        <v>6.5626727440208227E-2</v>
      </c>
      <c r="J31" t="s">
        <v>6</v>
      </c>
      <c r="L31" t="s">
        <v>714</v>
      </c>
      <c r="M31" t="s">
        <v>16</v>
      </c>
      <c r="N31">
        <v>4.0943614631394482E-2</v>
      </c>
      <c r="O31" t="s">
        <v>6</v>
      </c>
    </row>
    <row r="32" spans="2:15" x14ac:dyDescent="0.45">
      <c r="B32" t="s">
        <v>712</v>
      </c>
      <c r="C32" t="s">
        <v>17</v>
      </c>
      <c r="D32">
        <v>0</v>
      </c>
      <c r="E32" t="s">
        <v>6</v>
      </c>
      <c r="G32" t="s">
        <v>713</v>
      </c>
      <c r="H32" t="s">
        <v>17</v>
      </c>
      <c r="I32">
        <v>7.3132035785792526E-2</v>
      </c>
      <c r="J32" t="s">
        <v>6</v>
      </c>
      <c r="L32" t="s">
        <v>714</v>
      </c>
      <c r="M32" t="s">
        <v>17</v>
      </c>
      <c r="N32">
        <v>5.5124739153371641E-2</v>
      </c>
      <c r="O32" t="s">
        <v>6</v>
      </c>
    </row>
    <row r="33" spans="2:15" x14ac:dyDescent="0.45">
      <c r="B33" t="s">
        <v>712</v>
      </c>
      <c r="C33" t="s">
        <v>18</v>
      </c>
      <c r="D33">
        <v>0.20223416205358241</v>
      </c>
      <c r="E33" t="s">
        <v>6</v>
      </c>
      <c r="G33" t="s">
        <v>713</v>
      </c>
      <c r="H33" t="s">
        <v>18</v>
      </c>
      <c r="I33">
        <v>7.7935035047358769E-2</v>
      </c>
      <c r="J33" t="s">
        <v>6</v>
      </c>
      <c r="L33" t="s">
        <v>714</v>
      </c>
      <c r="M33" t="s">
        <v>18</v>
      </c>
      <c r="N33">
        <v>7.4022821064769193E-2</v>
      </c>
      <c r="O33" t="s">
        <v>6</v>
      </c>
    </row>
    <row r="34" spans="2:15" x14ac:dyDescent="0.45">
      <c r="B34" t="s">
        <v>712</v>
      </c>
      <c r="C34" t="s">
        <v>19</v>
      </c>
      <c r="D34">
        <v>9.9087018985180558E-3</v>
      </c>
      <c r="E34" t="s">
        <v>6</v>
      </c>
      <c r="G34" t="s">
        <v>713</v>
      </c>
      <c r="H34" t="s">
        <v>19</v>
      </c>
      <c r="I34">
        <v>6.2687165098222822E-2</v>
      </c>
      <c r="J34" t="s">
        <v>6</v>
      </c>
      <c r="L34" t="s">
        <v>714</v>
      </c>
      <c r="M34" t="s">
        <v>19</v>
      </c>
      <c r="N34">
        <v>4.9752806740748057E-2</v>
      </c>
      <c r="O34" t="s">
        <v>6</v>
      </c>
    </row>
    <row r="35" spans="2:15" x14ac:dyDescent="0.45">
      <c r="B35" t="s">
        <v>715</v>
      </c>
      <c r="C35" t="s">
        <v>5</v>
      </c>
      <c r="D35">
        <v>0</v>
      </c>
      <c r="E35" t="s">
        <v>6</v>
      </c>
      <c r="G35" t="s">
        <v>716</v>
      </c>
      <c r="H35" t="s">
        <v>5</v>
      </c>
      <c r="I35">
        <v>0.11897745998023795</v>
      </c>
      <c r="J35" t="s">
        <v>6</v>
      </c>
      <c r="L35" t="s">
        <v>717</v>
      </c>
      <c r="M35" t="s">
        <v>5</v>
      </c>
      <c r="N35">
        <v>0.12759438004766119</v>
      </c>
      <c r="O35" t="s">
        <v>6</v>
      </c>
    </row>
    <row r="36" spans="2:15" x14ac:dyDescent="0.45">
      <c r="B36" t="s">
        <v>715</v>
      </c>
      <c r="C36" t="s">
        <v>9</v>
      </c>
      <c r="D36">
        <v>0.16440876516118935</v>
      </c>
      <c r="E36" t="s">
        <v>6</v>
      </c>
      <c r="G36" t="s">
        <v>716</v>
      </c>
      <c r="H36" t="s">
        <v>9</v>
      </c>
      <c r="I36">
        <v>0.12518851476158391</v>
      </c>
      <c r="J36" t="s">
        <v>6</v>
      </c>
      <c r="L36" t="s">
        <v>717</v>
      </c>
      <c r="M36" t="s">
        <v>9</v>
      </c>
      <c r="N36">
        <v>0.14709113400867882</v>
      </c>
      <c r="O36" t="s">
        <v>6</v>
      </c>
    </row>
    <row r="37" spans="2:15" x14ac:dyDescent="0.45">
      <c r="B37" t="s">
        <v>715</v>
      </c>
      <c r="C37" t="s">
        <v>10</v>
      </c>
      <c r="D37">
        <v>4.9371786938047935E-3</v>
      </c>
      <c r="E37" t="s">
        <v>6</v>
      </c>
      <c r="G37" t="s">
        <v>716</v>
      </c>
      <c r="H37" t="s">
        <v>10</v>
      </c>
      <c r="I37">
        <v>8.8211643884687413E-2</v>
      </c>
      <c r="J37" t="s">
        <v>6</v>
      </c>
      <c r="L37" t="s">
        <v>717</v>
      </c>
      <c r="M37" t="s">
        <v>10</v>
      </c>
      <c r="N37">
        <v>8.8259938301529173E-2</v>
      </c>
      <c r="O37" t="s">
        <v>6</v>
      </c>
    </row>
    <row r="38" spans="2:15" x14ac:dyDescent="0.45">
      <c r="B38" t="s">
        <v>715</v>
      </c>
      <c r="C38" t="s">
        <v>11</v>
      </c>
      <c r="D38">
        <v>2.5573786922274139E-4</v>
      </c>
      <c r="E38" t="s">
        <v>6</v>
      </c>
      <c r="G38" t="s">
        <v>716</v>
      </c>
      <c r="H38" t="s">
        <v>11</v>
      </c>
      <c r="I38">
        <v>0.10175235283386784</v>
      </c>
      <c r="J38" t="s">
        <v>6</v>
      </c>
      <c r="L38" t="s">
        <v>717</v>
      </c>
      <c r="M38" t="s">
        <v>11</v>
      </c>
      <c r="N38">
        <v>0.10822681145541374</v>
      </c>
      <c r="O38" t="s">
        <v>6</v>
      </c>
    </row>
    <row r="39" spans="2:15" x14ac:dyDescent="0.45">
      <c r="B39" t="s">
        <v>715</v>
      </c>
      <c r="C39" t="s">
        <v>12</v>
      </c>
      <c r="D39">
        <v>0.25666699788158076</v>
      </c>
      <c r="E39" t="s">
        <v>6</v>
      </c>
      <c r="G39" t="s">
        <v>716</v>
      </c>
      <c r="H39" t="s">
        <v>12</v>
      </c>
      <c r="I39">
        <v>0.12698975377092792</v>
      </c>
      <c r="J39" t="s">
        <v>6</v>
      </c>
      <c r="L39" t="s">
        <v>717</v>
      </c>
      <c r="M39" t="s">
        <v>12</v>
      </c>
      <c r="N39">
        <v>0.13322387156240104</v>
      </c>
      <c r="O39" t="s">
        <v>6</v>
      </c>
    </row>
    <row r="40" spans="2:15" x14ac:dyDescent="0.45">
      <c r="B40" t="s">
        <v>715</v>
      </c>
      <c r="C40" t="s">
        <v>13</v>
      </c>
      <c r="D40">
        <v>2.1386006936487966E-2</v>
      </c>
      <c r="E40" t="s">
        <v>6</v>
      </c>
      <c r="G40" t="s">
        <v>716</v>
      </c>
      <c r="H40" t="s">
        <v>13</v>
      </c>
      <c r="I40">
        <v>9.1719744863077227E-2</v>
      </c>
      <c r="J40" t="s">
        <v>6</v>
      </c>
      <c r="L40" t="s">
        <v>717</v>
      </c>
      <c r="M40" t="s">
        <v>13</v>
      </c>
      <c r="N40">
        <v>9.075902793439504E-2</v>
      </c>
      <c r="O40" t="s">
        <v>6</v>
      </c>
    </row>
    <row r="41" spans="2:15" x14ac:dyDescent="0.45">
      <c r="B41" t="s">
        <v>715</v>
      </c>
      <c r="C41" t="s">
        <v>14</v>
      </c>
      <c r="D41">
        <v>7.2075112706693699E-4</v>
      </c>
      <c r="E41" t="s">
        <v>6</v>
      </c>
      <c r="G41" t="s">
        <v>716</v>
      </c>
      <c r="H41" t="s">
        <v>14</v>
      </c>
      <c r="I41">
        <v>5.4344866935582659E-2</v>
      </c>
      <c r="J41" t="s">
        <v>6</v>
      </c>
      <c r="L41" t="s">
        <v>717</v>
      </c>
      <c r="M41" t="s">
        <v>14</v>
      </c>
      <c r="N41">
        <v>2.8201324350886292E-2</v>
      </c>
      <c r="O41" t="s">
        <v>6</v>
      </c>
    </row>
    <row r="42" spans="2:15" x14ac:dyDescent="0.45">
      <c r="B42" t="s">
        <v>715</v>
      </c>
      <c r="C42" t="s">
        <v>15</v>
      </c>
      <c r="D42">
        <v>0.31122923399534941</v>
      </c>
      <c r="E42" t="s">
        <v>6</v>
      </c>
      <c r="G42" t="s">
        <v>716</v>
      </c>
      <c r="H42" t="s">
        <v>15</v>
      </c>
      <c r="I42">
        <v>3.1623493134948569E-2</v>
      </c>
      <c r="J42" t="s">
        <v>6</v>
      </c>
      <c r="L42" t="s">
        <v>717</v>
      </c>
      <c r="M42" t="s">
        <v>15</v>
      </c>
      <c r="N42">
        <v>4.4472196661441976E-2</v>
      </c>
      <c r="O42" t="s">
        <v>6</v>
      </c>
    </row>
    <row r="43" spans="2:15" x14ac:dyDescent="0.45">
      <c r="B43" t="s">
        <v>715</v>
      </c>
      <c r="C43" t="s">
        <v>16</v>
      </c>
      <c r="D43">
        <v>3.2826076092992325E-2</v>
      </c>
      <c r="E43" t="s">
        <v>6</v>
      </c>
      <c r="G43" t="s">
        <v>716</v>
      </c>
      <c r="H43" t="s">
        <v>16</v>
      </c>
      <c r="I43">
        <v>5.5066328307551704E-2</v>
      </c>
      <c r="J43" t="s">
        <v>6</v>
      </c>
      <c r="L43" t="s">
        <v>717</v>
      </c>
      <c r="M43" t="s">
        <v>16</v>
      </c>
      <c r="N43">
        <v>2.9083763737719065E-2</v>
      </c>
      <c r="O43" t="s">
        <v>6</v>
      </c>
    </row>
    <row r="44" spans="2:15" x14ac:dyDescent="0.45">
      <c r="B44" t="s">
        <v>715</v>
      </c>
      <c r="C44" t="s">
        <v>17</v>
      </c>
      <c r="D44">
        <v>0</v>
      </c>
      <c r="E44" t="s">
        <v>6</v>
      </c>
      <c r="G44" t="s">
        <v>716</v>
      </c>
      <c r="H44" t="s">
        <v>17</v>
      </c>
      <c r="I44">
        <v>7.162692209318576E-2</v>
      </c>
      <c r="J44" t="s">
        <v>6</v>
      </c>
      <c r="L44" t="s">
        <v>717</v>
      </c>
      <c r="M44" t="s">
        <v>17</v>
      </c>
      <c r="N44">
        <v>6.8697836519969496E-2</v>
      </c>
      <c r="O44" t="s">
        <v>6</v>
      </c>
    </row>
    <row r="45" spans="2:15" x14ac:dyDescent="0.45">
      <c r="B45" t="s">
        <v>715</v>
      </c>
      <c r="C45" t="s">
        <v>18</v>
      </c>
      <c r="D45">
        <v>0.19878696610726795</v>
      </c>
      <c r="E45" t="s">
        <v>6</v>
      </c>
      <c r="G45" t="s">
        <v>716</v>
      </c>
      <c r="H45" t="s">
        <v>18</v>
      </c>
      <c r="I45">
        <v>7.4285598827688287E-2</v>
      </c>
      <c r="J45" t="s">
        <v>6</v>
      </c>
      <c r="L45" t="s">
        <v>717</v>
      </c>
      <c r="M45" t="s">
        <v>18</v>
      </c>
      <c r="N45">
        <v>7.9659720023972994E-2</v>
      </c>
      <c r="O45" t="s">
        <v>6</v>
      </c>
    </row>
    <row r="46" spans="2:15" x14ac:dyDescent="0.45">
      <c r="B46" t="s">
        <v>715</v>
      </c>
      <c r="C46" t="s">
        <v>19</v>
      </c>
      <c r="D46">
        <v>8.782286135038472E-3</v>
      </c>
      <c r="E46" t="s">
        <v>6</v>
      </c>
      <c r="G46" t="s">
        <v>716</v>
      </c>
      <c r="H46" t="s">
        <v>19</v>
      </c>
      <c r="I46">
        <v>6.0213320606660049E-2</v>
      </c>
      <c r="J46" t="s">
        <v>6</v>
      </c>
      <c r="L46" t="s">
        <v>717</v>
      </c>
      <c r="M46" t="s">
        <v>19</v>
      </c>
      <c r="N46">
        <v>5.4729995395928217E-2</v>
      </c>
      <c r="O46" t="s">
        <v>6</v>
      </c>
    </row>
    <row r="47" spans="2:15" x14ac:dyDescent="0.45">
      <c r="B47" t="s">
        <v>718</v>
      </c>
      <c r="C47" t="s">
        <v>5</v>
      </c>
      <c r="D47">
        <v>0</v>
      </c>
      <c r="E47" t="s">
        <v>6</v>
      </c>
      <c r="G47" t="s">
        <v>719</v>
      </c>
      <c r="H47" t="s">
        <v>5</v>
      </c>
      <c r="I47">
        <v>0.11955095966159836</v>
      </c>
      <c r="J47" t="s">
        <v>6</v>
      </c>
      <c r="L47" t="s">
        <v>720</v>
      </c>
      <c r="M47" t="s">
        <v>5</v>
      </c>
      <c r="N47">
        <v>0.12201464827482701</v>
      </c>
      <c r="O47" t="s">
        <v>6</v>
      </c>
    </row>
    <row r="48" spans="2:15" x14ac:dyDescent="0.45">
      <c r="B48" t="s">
        <v>718</v>
      </c>
      <c r="C48" t="s">
        <v>9</v>
      </c>
      <c r="D48">
        <v>0.13985779102784168</v>
      </c>
      <c r="E48" t="s">
        <v>6</v>
      </c>
      <c r="G48" t="s">
        <v>719</v>
      </c>
      <c r="H48" t="s">
        <v>9</v>
      </c>
      <c r="I48">
        <v>0.1349769304025305</v>
      </c>
      <c r="J48" t="s">
        <v>6</v>
      </c>
      <c r="L48" t="s">
        <v>720</v>
      </c>
      <c r="M48" t="s">
        <v>9</v>
      </c>
      <c r="N48">
        <v>0.14920209413793498</v>
      </c>
      <c r="O48" t="s">
        <v>6</v>
      </c>
    </row>
    <row r="49" spans="2:15" x14ac:dyDescent="0.45">
      <c r="B49" t="s">
        <v>718</v>
      </c>
      <c r="C49" t="s">
        <v>10</v>
      </c>
      <c r="D49">
        <v>7.6676827901450686E-3</v>
      </c>
      <c r="E49" t="s">
        <v>6</v>
      </c>
      <c r="G49" t="s">
        <v>719</v>
      </c>
      <c r="H49" t="s">
        <v>10</v>
      </c>
      <c r="I49">
        <v>8.5409769725014961E-2</v>
      </c>
      <c r="J49" t="s">
        <v>6</v>
      </c>
      <c r="L49" t="s">
        <v>720</v>
      </c>
      <c r="M49" t="s">
        <v>10</v>
      </c>
      <c r="N49">
        <v>8.6924722497429718E-2</v>
      </c>
      <c r="O49" t="s">
        <v>6</v>
      </c>
    </row>
    <row r="50" spans="2:15" x14ac:dyDescent="0.45">
      <c r="B50" t="s">
        <v>718</v>
      </c>
      <c r="C50" t="s">
        <v>11</v>
      </c>
      <c r="D50">
        <v>8.8385122796013986E-5</v>
      </c>
      <c r="E50" t="s">
        <v>6</v>
      </c>
      <c r="G50" t="s">
        <v>719</v>
      </c>
      <c r="H50" t="s">
        <v>11</v>
      </c>
      <c r="I50">
        <v>9.4578895586187331E-2</v>
      </c>
      <c r="J50" t="s">
        <v>6</v>
      </c>
      <c r="L50" t="s">
        <v>720</v>
      </c>
      <c r="M50" t="s">
        <v>11</v>
      </c>
      <c r="N50">
        <v>0.11051105265170913</v>
      </c>
      <c r="O50" t="s">
        <v>6</v>
      </c>
    </row>
    <row r="51" spans="2:15" x14ac:dyDescent="0.45">
      <c r="B51" t="s">
        <v>718</v>
      </c>
      <c r="C51" t="s">
        <v>12</v>
      </c>
      <c r="D51">
        <v>0.24588202549856653</v>
      </c>
      <c r="E51" t="s">
        <v>6</v>
      </c>
      <c r="G51" t="s">
        <v>719</v>
      </c>
      <c r="H51" t="s">
        <v>12</v>
      </c>
      <c r="I51">
        <v>0.13228004021517181</v>
      </c>
      <c r="J51" t="s">
        <v>6</v>
      </c>
      <c r="L51" t="s">
        <v>720</v>
      </c>
      <c r="M51" t="s">
        <v>12</v>
      </c>
      <c r="N51">
        <v>0.13131777737951189</v>
      </c>
      <c r="O51" t="s">
        <v>6</v>
      </c>
    </row>
    <row r="52" spans="2:15" x14ac:dyDescent="0.45">
      <c r="B52" t="s">
        <v>718</v>
      </c>
      <c r="C52" t="s">
        <v>13</v>
      </c>
      <c r="D52">
        <v>2.8909347839940595E-2</v>
      </c>
      <c r="E52" t="s">
        <v>6</v>
      </c>
      <c r="G52" t="s">
        <v>719</v>
      </c>
      <c r="H52" t="s">
        <v>13</v>
      </c>
      <c r="I52">
        <v>0.10254521977485141</v>
      </c>
      <c r="J52" t="s">
        <v>6</v>
      </c>
      <c r="L52" t="s">
        <v>720</v>
      </c>
      <c r="M52" t="s">
        <v>13</v>
      </c>
      <c r="N52">
        <v>8.4986222499517081E-2</v>
      </c>
      <c r="O52" t="s">
        <v>6</v>
      </c>
    </row>
    <row r="53" spans="2:15" x14ac:dyDescent="0.45">
      <c r="B53" t="s">
        <v>718</v>
      </c>
      <c r="C53" t="s">
        <v>14</v>
      </c>
      <c r="D53">
        <v>2.7346657909008555E-4</v>
      </c>
      <c r="E53" t="s">
        <v>6</v>
      </c>
      <c r="G53" t="s">
        <v>719</v>
      </c>
      <c r="H53" t="s">
        <v>14</v>
      </c>
      <c r="I53">
        <v>4.8692981785206819E-2</v>
      </c>
      <c r="J53" t="s">
        <v>6</v>
      </c>
      <c r="L53" t="s">
        <v>720</v>
      </c>
      <c r="M53" t="s">
        <v>14</v>
      </c>
      <c r="N53">
        <v>3.465638961450667E-2</v>
      </c>
      <c r="O53" t="s">
        <v>6</v>
      </c>
    </row>
    <row r="54" spans="2:15" x14ac:dyDescent="0.45">
      <c r="B54" t="s">
        <v>718</v>
      </c>
      <c r="C54" t="s">
        <v>15</v>
      </c>
      <c r="D54">
        <v>0.31361064352431922</v>
      </c>
      <c r="E54" t="s">
        <v>6</v>
      </c>
      <c r="G54" t="s">
        <v>719</v>
      </c>
      <c r="H54" t="s">
        <v>15</v>
      </c>
      <c r="I54">
        <v>4.2495330822212012E-2</v>
      </c>
      <c r="J54" t="s">
        <v>6</v>
      </c>
      <c r="L54" t="s">
        <v>720</v>
      </c>
      <c r="M54" t="s">
        <v>15</v>
      </c>
      <c r="N54">
        <v>4.2821486617803418E-2</v>
      </c>
      <c r="O54" t="s">
        <v>6</v>
      </c>
    </row>
    <row r="55" spans="2:15" x14ac:dyDescent="0.45">
      <c r="B55" t="s">
        <v>718</v>
      </c>
      <c r="C55" t="s">
        <v>16</v>
      </c>
      <c r="D55">
        <v>4.3323055118957926E-2</v>
      </c>
      <c r="E55" t="s">
        <v>6</v>
      </c>
      <c r="G55" t="s">
        <v>719</v>
      </c>
      <c r="H55" t="s">
        <v>16</v>
      </c>
      <c r="I55">
        <v>6.5722306442671768E-2</v>
      </c>
      <c r="J55" t="s">
        <v>6</v>
      </c>
      <c r="L55" t="s">
        <v>720</v>
      </c>
      <c r="M55" t="s">
        <v>16</v>
      </c>
      <c r="N55">
        <v>2.6300336219000749E-2</v>
      </c>
      <c r="O55" t="s">
        <v>6</v>
      </c>
    </row>
    <row r="56" spans="2:15" x14ac:dyDescent="0.45">
      <c r="B56" t="s">
        <v>718</v>
      </c>
      <c r="C56" t="s">
        <v>17</v>
      </c>
      <c r="D56">
        <v>0</v>
      </c>
      <c r="E56" t="s">
        <v>6</v>
      </c>
      <c r="G56" t="s">
        <v>719</v>
      </c>
      <c r="H56" t="s">
        <v>17</v>
      </c>
      <c r="I56">
        <v>5.3915589535864825E-2</v>
      </c>
      <c r="J56" t="s">
        <v>6</v>
      </c>
      <c r="L56" t="s">
        <v>720</v>
      </c>
      <c r="M56" t="s">
        <v>17</v>
      </c>
      <c r="N56">
        <v>7.4232715610078229E-2</v>
      </c>
      <c r="O56" t="s">
        <v>6</v>
      </c>
    </row>
    <row r="57" spans="2:15" x14ac:dyDescent="0.45">
      <c r="B57" t="s">
        <v>718</v>
      </c>
      <c r="C57" t="s">
        <v>18</v>
      </c>
      <c r="D57">
        <v>0.20653276511017318</v>
      </c>
      <c r="E57" t="s">
        <v>6</v>
      </c>
      <c r="G57" t="s">
        <v>719</v>
      </c>
      <c r="H57" t="s">
        <v>18</v>
      </c>
      <c r="I57">
        <v>6.1865067171407599E-2</v>
      </c>
      <c r="J57" t="s">
        <v>6</v>
      </c>
      <c r="L57" t="s">
        <v>720</v>
      </c>
      <c r="M57" t="s">
        <v>18</v>
      </c>
      <c r="N57">
        <v>8.4622587499921742E-2</v>
      </c>
      <c r="O57" t="s">
        <v>6</v>
      </c>
    </row>
    <row r="58" spans="2:15" x14ac:dyDescent="0.45">
      <c r="B58" t="s">
        <v>718</v>
      </c>
      <c r="C58" t="s">
        <v>19</v>
      </c>
      <c r="D58">
        <v>1.3854837388169962E-2</v>
      </c>
      <c r="E58" t="s">
        <v>6</v>
      </c>
      <c r="G58" t="s">
        <v>719</v>
      </c>
      <c r="H58" t="s">
        <v>19</v>
      </c>
      <c r="I58">
        <v>5.7966908877282036E-2</v>
      </c>
      <c r="J58" t="s">
        <v>6</v>
      </c>
      <c r="L58" t="s">
        <v>720</v>
      </c>
      <c r="M58" t="s">
        <v>19</v>
      </c>
      <c r="N58">
        <v>5.2409966997759003E-2</v>
      </c>
      <c r="O58" t="s">
        <v>6</v>
      </c>
    </row>
    <row r="59" spans="2:15" x14ac:dyDescent="0.45">
      <c r="B59" t="s">
        <v>721</v>
      </c>
      <c r="C59" t="s">
        <v>5</v>
      </c>
      <c r="D59">
        <v>0</v>
      </c>
      <c r="E59" t="s">
        <v>6</v>
      </c>
      <c r="G59" t="s">
        <v>722</v>
      </c>
      <c r="H59" t="s">
        <v>5</v>
      </c>
      <c r="I59">
        <v>0.11540530834494241</v>
      </c>
      <c r="J59" t="s">
        <v>6</v>
      </c>
      <c r="L59" t="s">
        <v>723</v>
      </c>
      <c r="M59" t="s">
        <v>5</v>
      </c>
      <c r="N59">
        <v>9.136874837211649E-2</v>
      </c>
      <c r="O59" t="s">
        <v>6</v>
      </c>
    </row>
    <row r="60" spans="2:15" x14ac:dyDescent="0.45">
      <c r="B60" t="s">
        <v>721</v>
      </c>
      <c r="C60" t="s">
        <v>9</v>
      </c>
      <c r="D60">
        <v>0.16869279301185075</v>
      </c>
      <c r="E60" t="s">
        <v>6</v>
      </c>
      <c r="G60" t="s">
        <v>722</v>
      </c>
      <c r="H60" t="s">
        <v>9</v>
      </c>
      <c r="I60">
        <v>0.12851376845398838</v>
      </c>
      <c r="J60" t="s">
        <v>6</v>
      </c>
      <c r="L60" t="s">
        <v>723</v>
      </c>
      <c r="M60" t="s">
        <v>9</v>
      </c>
      <c r="N60">
        <v>0.10959249143490252</v>
      </c>
      <c r="O60" t="s">
        <v>6</v>
      </c>
    </row>
    <row r="61" spans="2:15" x14ac:dyDescent="0.45">
      <c r="B61" t="s">
        <v>721</v>
      </c>
      <c r="C61" t="s">
        <v>10</v>
      </c>
      <c r="D61">
        <v>6.8183846247717164E-3</v>
      </c>
      <c r="E61" t="s">
        <v>6</v>
      </c>
      <c r="G61" t="s">
        <v>722</v>
      </c>
      <c r="H61" t="s">
        <v>10</v>
      </c>
      <c r="I61">
        <v>8.8102497744459551E-2</v>
      </c>
      <c r="J61" t="s">
        <v>6</v>
      </c>
      <c r="L61" t="s">
        <v>723</v>
      </c>
      <c r="M61" t="s">
        <v>10</v>
      </c>
      <c r="N61">
        <v>7.0809664823553456E-2</v>
      </c>
      <c r="O61" t="s">
        <v>6</v>
      </c>
    </row>
    <row r="62" spans="2:15" x14ac:dyDescent="0.45">
      <c r="B62" t="s">
        <v>721</v>
      </c>
      <c r="C62" t="s">
        <v>11</v>
      </c>
      <c r="D62">
        <v>2.3463116114815836E-4</v>
      </c>
      <c r="E62" t="s">
        <v>6</v>
      </c>
      <c r="G62" t="s">
        <v>722</v>
      </c>
      <c r="H62" t="s">
        <v>11</v>
      </c>
      <c r="I62">
        <v>0.10598180753605334</v>
      </c>
      <c r="J62" t="s">
        <v>6</v>
      </c>
      <c r="L62" t="s">
        <v>723</v>
      </c>
      <c r="M62" t="s">
        <v>11</v>
      </c>
      <c r="N62">
        <v>8.5447115321876183E-2</v>
      </c>
      <c r="O62" t="s">
        <v>6</v>
      </c>
    </row>
    <row r="63" spans="2:15" x14ac:dyDescent="0.45">
      <c r="B63" t="s">
        <v>721</v>
      </c>
      <c r="C63" t="s">
        <v>12</v>
      </c>
      <c r="D63">
        <v>0.2421439534012223</v>
      </c>
      <c r="E63" t="s">
        <v>6</v>
      </c>
      <c r="G63" t="s">
        <v>722</v>
      </c>
      <c r="H63" t="s">
        <v>12</v>
      </c>
      <c r="I63">
        <v>0.12917806010191371</v>
      </c>
      <c r="J63" t="s">
        <v>6</v>
      </c>
      <c r="L63" t="s">
        <v>723</v>
      </c>
      <c r="M63" t="s">
        <v>12</v>
      </c>
      <c r="N63">
        <v>0.10259972047877799</v>
      </c>
      <c r="O63" t="s">
        <v>6</v>
      </c>
    </row>
    <row r="64" spans="2:15" x14ac:dyDescent="0.45">
      <c r="B64" t="s">
        <v>721</v>
      </c>
      <c r="C64" t="s">
        <v>13</v>
      </c>
      <c r="D64">
        <v>2.0482322525004829E-2</v>
      </c>
      <c r="E64" t="s">
        <v>6</v>
      </c>
      <c r="G64" t="s">
        <v>722</v>
      </c>
      <c r="H64" t="s">
        <v>13</v>
      </c>
      <c r="I64">
        <v>9.0771433218627059E-2</v>
      </c>
      <c r="J64" t="s">
        <v>6</v>
      </c>
      <c r="L64" t="s">
        <v>723</v>
      </c>
      <c r="M64" t="s">
        <v>13</v>
      </c>
      <c r="N64">
        <v>6.5576467023255175E-2</v>
      </c>
      <c r="O64" t="s">
        <v>6</v>
      </c>
    </row>
    <row r="65" spans="2:15" x14ac:dyDescent="0.45">
      <c r="B65" t="s">
        <v>721</v>
      </c>
      <c r="C65" t="s">
        <v>14</v>
      </c>
      <c r="D65">
        <v>6.1944338972282716E-4</v>
      </c>
      <c r="E65" t="s">
        <v>6</v>
      </c>
      <c r="G65" t="s">
        <v>722</v>
      </c>
      <c r="H65" t="s">
        <v>14</v>
      </c>
      <c r="I65">
        <v>7.4382322254836E-2</v>
      </c>
      <c r="J65" t="s">
        <v>6</v>
      </c>
      <c r="L65" t="s">
        <v>723</v>
      </c>
      <c r="M65" t="s">
        <v>14</v>
      </c>
      <c r="N65">
        <v>6.6122911736146553E-2</v>
      </c>
      <c r="O65" t="s">
        <v>6</v>
      </c>
    </row>
    <row r="66" spans="2:15" x14ac:dyDescent="0.45">
      <c r="B66" t="s">
        <v>721</v>
      </c>
      <c r="C66" t="s">
        <v>15</v>
      </c>
      <c r="D66">
        <v>0.30227431175574071</v>
      </c>
      <c r="E66" t="s">
        <v>6</v>
      </c>
      <c r="G66" t="s">
        <v>722</v>
      </c>
      <c r="H66" t="s">
        <v>15</v>
      </c>
      <c r="I66">
        <v>3.5761610211284406E-2</v>
      </c>
      <c r="J66" t="s">
        <v>6</v>
      </c>
      <c r="L66" t="s">
        <v>723</v>
      </c>
      <c r="M66" t="s">
        <v>15</v>
      </c>
      <c r="N66">
        <v>7.7598009835991438E-2</v>
      </c>
      <c r="O66" t="s">
        <v>6</v>
      </c>
    </row>
    <row r="67" spans="2:15" x14ac:dyDescent="0.45">
      <c r="B67" t="s">
        <v>721</v>
      </c>
      <c r="C67" t="s">
        <v>16</v>
      </c>
      <c r="D67">
        <v>2.9871447185257551E-2</v>
      </c>
      <c r="E67" t="s">
        <v>6</v>
      </c>
      <c r="G67" t="s">
        <v>722</v>
      </c>
      <c r="H67" t="s">
        <v>16</v>
      </c>
      <c r="I67">
        <v>4.5334533696557537E-2</v>
      </c>
      <c r="J67" t="s">
        <v>6</v>
      </c>
      <c r="L67" t="s">
        <v>723</v>
      </c>
      <c r="M67" t="s">
        <v>16</v>
      </c>
      <c r="N67">
        <v>5.2575464647298037E-2</v>
      </c>
      <c r="O67" t="s">
        <v>6</v>
      </c>
    </row>
    <row r="68" spans="2:15" x14ac:dyDescent="0.45">
      <c r="B68" t="s">
        <v>721</v>
      </c>
      <c r="C68" t="s">
        <v>17</v>
      </c>
      <c r="D68">
        <v>0</v>
      </c>
      <c r="E68" t="s">
        <v>6</v>
      </c>
      <c r="G68" t="s">
        <v>722</v>
      </c>
      <c r="H68" t="s">
        <v>17</v>
      </c>
      <c r="I68">
        <v>6.9358145283552095E-2</v>
      </c>
      <c r="J68" t="s">
        <v>6</v>
      </c>
      <c r="L68" t="s">
        <v>723</v>
      </c>
      <c r="M68" t="s">
        <v>17</v>
      </c>
      <c r="N68">
        <v>9.6614582325106335E-2</v>
      </c>
      <c r="O68" t="s">
        <v>6</v>
      </c>
    </row>
    <row r="69" spans="2:15" x14ac:dyDescent="0.45">
      <c r="B69" t="s">
        <v>721</v>
      </c>
      <c r="C69" t="s">
        <v>18</v>
      </c>
      <c r="D69">
        <v>0.21869163886357865</v>
      </c>
      <c r="E69" t="s">
        <v>6</v>
      </c>
      <c r="G69" t="s">
        <v>722</v>
      </c>
      <c r="H69" t="s">
        <v>18</v>
      </c>
      <c r="I69">
        <v>6.3363164504521202E-2</v>
      </c>
      <c r="J69" t="s">
        <v>6</v>
      </c>
      <c r="L69" t="s">
        <v>723</v>
      </c>
      <c r="M69" t="s">
        <v>18</v>
      </c>
      <c r="N69">
        <v>0.10978978646442165</v>
      </c>
      <c r="O69" t="s">
        <v>6</v>
      </c>
    </row>
    <row r="70" spans="2:15" x14ac:dyDescent="0.45">
      <c r="B70" t="s">
        <v>721</v>
      </c>
      <c r="C70" t="s">
        <v>19</v>
      </c>
      <c r="D70">
        <v>1.0171074081700726E-2</v>
      </c>
      <c r="E70" t="s">
        <v>6</v>
      </c>
      <c r="G70" t="s">
        <v>722</v>
      </c>
      <c r="H70" t="s">
        <v>19</v>
      </c>
      <c r="I70">
        <v>5.3847348649263521E-2</v>
      </c>
      <c r="J70" t="s">
        <v>6</v>
      </c>
      <c r="L70" t="s">
        <v>723</v>
      </c>
      <c r="M70" t="s">
        <v>19</v>
      </c>
      <c r="N70">
        <v>7.1905037536554736E-2</v>
      </c>
      <c r="O70" t="s">
        <v>6</v>
      </c>
    </row>
    <row r="71" spans="2:15" x14ac:dyDescent="0.45">
      <c r="B71" t="s">
        <v>724</v>
      </c>
      <c r="C71" t="s">
        <v>5</v>
      </c>
      <c r="D71">
        <v>0</v>
      </c>
      <c r="E71" t="s">
        <v>6</v>
      </c>
      <c r="G71" t="s">
        <v>725</v>
      </c>
      <c r="H71" t="s">
        <v>5</v>
      </c>
      <c r="I71">
        <v>0.10998348098225791</v>
      </c>
      <c r="J71" t="s">
        <v>6</v>
      </c>
      <c r="L71" t="s">
        <v>726</v>
      </c>
      <c r="M71" t="s">
        <v>5</v>
      </c>
      <c r="N71">
        <v>0.11034691546078315</v>
      </c>
      <c r="O71" t="s">
        <v>6</v>
      </c>
    </row>
    <row r="72" spans="2:15" x14ac:dyDescent="0.45">
      <c r="B72" t="s">
        <v>724</v>
      </c>
      <c r="C72" t="s">
        <v>9</v>
      </c>
      <c r="D72">
        <v>0.15778592987437448</v>
      </c>
      <c r="E72" t="s">
        <v>6</v>
      </c>
      <c r="G72" t="s">
        <v>725</v>
      </c>
      <c r="H72" t="s">
        <v>9</v>
      </c>
      <c r="I72">
        <v>0.12916170350198969</v>
      </c>
      <c r="J72" t="s">
        <v>6</v>
      </c>
      <c r="L72" t="s">
        <v>726</v>
      </c>
      <c r="M72" t="s">
        <v>9</v>
      </c>
      <c r="N72">
        <v>0.138694041883966</v>
      </c>
      <c r="O72" t="s">
        <v>6</v>
      </c>
    </row>
    <row r="73" spans="2:15" x14ac:dyDescent="0.45">
      <c r="B73" t="s">
        <v>724</v>
      </c>
      <c r="C73" t="s">
        <v>10</v>
      </c>
      <c r="D73">
        <v>7.4740617678488884E-3</v>
      </c>
      <c r="E73" t="s">
        <v>6</v>
      </c>
      <c r="G73" t="s">
        <v>725</v>
      </c>
      <c r="H73" t="s">
        <v>10</v>
      </c>
      <c r="I73">
        <v>9.0544236849074644E-2</v>
      </c>
      <c r="J73" t="s">
        <v>6</v>
      </c>
      <c r="L73" t="s">
        <v>726</v>
      </c>
      <c r="M73" t="s">
        <v>10</v>
      </c>
      <c r="N73">
        <v>8.8713117709395314E-2</v>
      </c>
      <c r="O73" t="s">
        <v>6</v>
      </c>
    </row>
    <row r="74" spans="2:15" x14ac:dyDescent="0.45">
      <c r="B74" t="s">
        <v>724</v>
      </c>
      <c r="C74" t="s">
        <v>11</v>
      </c>
      <c r="D74">
        <v>1.7938334904899929E-4</v>
      </c>
      <c r="E74" t="s">
        <v>6</v>
      </c>
      <c r="G74" t="s">
        <v>725</v>
      </c>
      <c r="H74" t="s">
        <v>11</v>
      </c>
      <c r="I74">
        <v>9.775163922991939E-2</v>
      </c>
      <c r="J74" t="s">
        <v>6</v>
      </c>
      <c r="L74" t="s">
        <v>726</v>
      </c>
      <c r="M74" t="s">
        <v>11</v>
      </c>
      <c r="N74">
        <v>9.4194930571393304E-2</v>
      </c>
      <c r="O74" t="s">
        <v>6</v>
      </c>
    </row>
    <row r="75" spans="2:15" x14ac:dyDescent="0.45">
      <c r="B75" t="s">
        <v>724</v>
      </c>
      <c r="C75" t="s">
        <v>12</v>
      </c>
      <c r="D75">
        <v>0.2397632718101928</v>
      </c>
      <c r="E75" t="s">
        <v>6</v>
      </c>
      <c r="G75" t="s">
        <v>725</v>
      </c>
      <c r="H75" t="s">
        <v>12</v>
      </c>
      <c r="I75">
        <v>0.14265570200768171</v>
      </c>
      <c r="J75" t="s">
        <v>6</v>
      </c>
      <c r="L75" t="s">
        <v>726</v>
      </c>
      <c r="M75" t="s">
        <v>12</v>
      </c>
      <c r="N75">
        <v>0.15216194986971371</v>
      </c>
      <c r="O75" t="s">
        <v>6</v>
      </c>
    </row>
    <row r="76" spans="2:15" x14ac:dyDescent="0.45">
      <c r="B76" t="s">
        <v>724</v>
      </c>
      <c r="C76" t="s">
        <v>13</v>
      </c>
      <c r="D76">
        <v>2.2170188798282021E-2</v>
      </c>
      <c r="E76" t="s">
        <v>6</v>
      </c>
      <c r="G76" t="s">
        <v>725</v>
      </c>
      <c r="H76" t="s">
        <v>13</v>
      </c>
      <c r="I76">
        <v>9.385403345981512E-2</v>
      </c>
      <c r="J76" t="s">
        <v>6</v>
      </c>
      <c r="L76" t="s">
        <v>726</v>
      </c>
      <c r="M76" t="s">
        <v>13</v>
      </c>
      <c r="N76">
        <v>8.0396084653424973E-2</v>
      </c>
      <c r="O76" t="s">
        <v>6</v>
      </c>
    </row>
    <row r="77" spans="2:15" x14ac:dyDescent="0.45">
      <c r="B77" t="s">
        <v>724</v>
      </c>
      <c r="C77" t="s">
        <v>14</v>
      </c>
      <c r="D77">
        <v>5.1523977301814474E-4</v>
      </c>
      <c r="E77" t="s">
        <v>6</v>
      </c>
      <c r="G77" t="s">
        <v>725</v>
      </c>
      <c r="H77" t="s">
        <v>14</v>
      </c>
      <c r="I77">
        <v>7.412087811381686E-2</v>
      </c>
      <c r="J77" t="s">
        <v>6</v>
      </c>
      <c r="L77" t="s">
        <v>726</v>
      </c>
      <c r="M77" t="s">
        <v>14</v>
      </c>
      <c r="N77">
        <v>2.3525864759473214E-2</v>
      </c>
      <c r="O77" t="s">
        <v>6</v>
      </c>
    </row>
    <row r="78" spans="2:15" x14ac:dyDescent="0.45">
      <c r="B78" t="s">
        <v>724</v>
      </c>
      <c r="C78" t="s">
        <v>15</v>
      </c>
      <c r="D78">
        <v>0.31126786343100266</v>
      </c>
      <c r="E78" t="s">
        <v>6</v>
      </c>
      <c r="G78" t="s">
        <v>725</v>
      </c>
      <c r="H78" t="s">
        <v>15</v>
      </c>
      <c r="I78">
        <v>5.6727621459343402E-2</v>
      </c>
      <c r="J78" t="s">
        <v>6</v>
      </c>
      <c r="L78" t="s">
        <v>726</v>
      </c>
      <c r="M78" t="s">
        <v>15</v>
      </c>
      <c r="N78">
        <v>5.3390435726214706E-2</v>
      </c>
      <c r="O78" t="s">
        <v>6</v>
      </c>
    </row>
    <row r="79" spans="2:15" x14ac:dyDescent="0.45">
      <c r="B79" t="s">
        <v>724</v>
      </c>
      <c r="C79" t="s">
        <v>16</v>
      </c>
      <c r="D79">
        <v>3.4122219502701182E-2</v>
      </c>
      <c r="E79" t="s">
        <v>6</v>
      </c>
      <c r="G79" t="s">
        <v>725</v>
      </c>
      <c r="H79" t="s">
        <v>16</v>
      </c>
      <c r="I79">
        <v>4.6759218484909611E-2</v>
      </c>
      <c r="J79" t="s">
        <v>6</v>
      </c>
      <c r="L79" t="s">
        <v>726</v>
      </c>
      <c r="M79" t="s">
        <v>16</v>
      </c>
      <c r="N79">
        <v>2.4407944785373181E-2</v>
      </c>
      <c r="O79" t="s">
        <v>6</v>
      </c>
    </row>
    <row r="80" spans="2:15" x14ac:dyDescent="0.45">
      <c r="B80" t="s">
        <v>724</v>
      </c>
      <c r="C80" t="s">
        <v>17</v>
      </c>
      <c r="D80">
        <v>0</v>
      </c>
      <c r="E80" t="s">
        <v>6</v>
      </c>
      <c r="G80" t="s">
        <v>725</v>
      </c>
      <c r="H80" t="s">
        <v>17</v>
      </c>
      <c r="I80">
        <v>5.5448387399758541E-2</v>
      </c>
      <c r="J80" t="s">
        <v>6</v>
      </c>
      <c r="L80" t="s">
        <v>726</v>
      </c>
      <c r="M80" t="s">
        <v>17</v>
      </c>
      <c r="N80">
        <v>7.6569316176514121E-2</v>
      </c>
      <c r="O80" t="s">
        <v>6</v>
      </c>
    </row>
    <row r="81" spans="2:15" x14ac:dyDescent="0.45">
      <c r="B81" t="s">
        <v>724</v>
      </c>
      <c r="C81" t="s">
        <v>18</v>
      </c>
      <c r="D81">
        <v>0.21559891975637763</v>
      </c>
      <c r="E81" t="s">
        <v>6</v>
      </c>
      <c r="G81" t="s">
        <v>725</v>
      </c>
      <c r="H81" t="s">
        <v>18</v>
      </c>
      <c r="I81">
        <v>5.9578203565301947E-2</v>
      </c>
      <c r="J81" t="s">
        <v>6</v>
      </c>
      <c r="L81" t="s">
        <v>726</v>
      </c>
      <c r="M81" t="s">
        <v>18</v>
      </c>
      <c r="N81">
        <v>9.2844597509168167E-2</v>
      </c>
      <c r="O81" t="s">
        <v>6</v>
      </c>
    </row>
    <row r="82" spans="2:15" x14ac:dyDescent="0.45">
      <c r="B82" t="s">
        <v>724</v>
      </c>
      <c r="C82" t="s">
        <v>19</v>
      </c>
      <c r="D82">
        <v>1.1122921937152384E-2</v>
      </c>
      <c r="E82" t="s">
        <v>6</v>
      </c>
      <c r="G82" t="s">
        <v>725</v>
      </c>
      <c r="H82" t="s">
        <v>19</v>
      </c>
      <c r="I82">
        <v>4.3414894946134118E-2</v>
      </c>
      <c r="J82" t="s">
        <v>6</v>
      </c>
      <c r="L82" t="s">
        <v>726</v>
      </c>
      <c r="M82" t="s">
        <v>19</v>
      </c>
      <c r="N82">
        <v>6.4754800894581938E-2</v>
      </c>
      <c r="O82" t="s">
        <v>6</v>
      </c>
    </row>
    <row r="83" spans="2:15" x14ac:dyDescent="0.45">
      <c r="B83" t="s">
        <v>727</v>
      </c>
      <c r="C83" t="s">
        <v>5</v>
      </c>
      <c r="D83">
        <v>0</v>
      </c>
      <c r="E83" t="s">
        <v>6</v>
      </c>
      <c r="G83" t="s">
        <v>728</v>
      </c>
      <c r="H83" t="s">
        <v>5</v>
      </c>
      <c r="I83">
        <v>0.12133110401503533</v>
      </c>
      <c r="J83" t="s">
        <v>6</v>
      </c>
      <c r="L83" t="s">
        <v>729</v>
      </c>
      <c r="M83" t="s">
        <v>5</v>
      </c>
      <c r="N83">
        <v>0.11696614445467274</v>
      </c>
      <c r="O83" t="s">
        <v>6</v>
      </c>
    </row>
    <row r="84" spans="2:15" x14ac:dyDescent="0.45">
      <c r="B84" t="s">
        <v>727</v>
      </c>
      <c r="C84" t="s">
        <v>9</v>
      </c>
      <c r="D84">
        <v>0.15819682272178537</v>
      </c>
      <c r="E84" t="s">
        <v>6</v>
      </c>
      <c r="G84" t="s">
        <v>728</v>
      </c>
      <c r="H84" t="s">
        <v>9</v>
      </c>
      <c r="I84">
        <v>0.13349784678208076</v>
      </c>
      <c r="J84" t="s">
        <v>6</v>
      </c>
      <c r="L84" t="s">
        <v>729</v>
      </c>
      <c r="M84" t="s">
        <v>9</v>
      </c>
      <c r="N84">
        <v>0.14353543896066762</v>
      </c>
      <c r="O84" t="s">
        <v>6</v>
      </c>
    </row>
    <row r="85" spans="2:15" x14ac:dyDescent="0.45">
      <c r="B85" t="s">
        <v>727</v>
      </c>
      <c r="C85" t="s">
        <v>10</v>
      </c>
      <c r="D85">
        <v>7.3338956696409018E-3</v>
      </c>
      <c r="E85" t="s">
        <v>6</v>
      </c>
      <c r="G85" t="s">
        <v>728</v>
      </c>
      <c r="H85" t="s">
        <v>10</v>
      </c>
      <c r="I85">
        <v>9.0347032299236574E-2</v>
      </c>
      <c r="J85" t="s">
        <v>6</v>
      </c>
      <c r="L85" t="s">
        <v>729</v>
      </c>
      <c r="M85" t="s">
        <v>10</v>
      </c>
      <c r="N85">
        <v>8.5168471220000597E-2</v>
      </c>
      <c r="O85" t="s">
        <v>6</v>
      </c>
    </row>
    <row r="86" spans="2:15" x14ac:dyDescent="0.45">
      <c r="B86" t="s">
        <v>727</v>
      </c>
      <c r="C86" t="s">
        <v>11</v>
      </c>
      <c r="D86">
        <v>1.9149639710494166E-4</v>
      </c>
      <c r="E86" t="s">
        <v>6</v>
      </c>
      <c r="G86" t="s">
        <v>728</v>
      </c>
      <c r="H86" t="s">
        <v>11</v>
      </c>
      <c r="I86">
        <v>0.10223826286384276</v>
      </c>
      <c r="J86" t="s">
        <v>6</v>
      </c>
      <c r="L86" t="s">
        <v>729</v>
      </c>
      <c r="M86" t="s">
        <v>11</v>
      </c>
      <c r="N86">
        <v>0.10446776935263137</v>
      </c>
      <c r="O86" t="s">
        <v>6</v>
      </c>
    </row>
    <row r="87" spans="2:15" x14ac:dyDescent="0.45">
      <c r="B87" t="s">
        <v>727</v>
      </c>
      <c r="C87" t="s">
        <v>12</v>
      </c>
      <c r="D87">
        <v>0.24747085886577624</v>
      </c>
      <c r="E87" t="s">
        <v>6</v>
      </c>
      <c r="G87" t="s">
        <v>728</v>
      </c>
      <c r="H87" t="s">
        <v>12</v>
      </c>
      <c r="I87">
        <v>0.13535006060876578</v>
      </c>
      <c r="J87" t="s">
        <v>6</v>
      </c>
      <c r="L87" t="s">
        <v>729</v>
      </c>
      <c r="M87" t="s">
        <v>12</v>
      </c>
      <c r="N87">
        <v>0.12950468358309022</v>
      </c>
      <c r="O87" t="s">
        <v>6</v>
      </c>
    </row>
    <row r="88" spans="2:15" x14ac:dyDescent="0.45">
      <c r="B88" t="s">
        <v>727</v>
      </c>
      <c r="C88" t="s">
        <v>13</v>
      </c>
      <c r="D88">
        <v>2.3034707329720933E-2</v>
      </c>
      <c r="E88" t="s">
        <v>6</v>
      </c>
      <c r="G88" t="s">
        <v>728</v>
      </c>
      <c r="H88" t="s">
        <v>13</v>
      </c>
      <c r="I88">
        <v>9.3135842088635734E-2</v>
      </c>
      <c r="J88" t="s">
        <v>6</v>
      </c>
      <c r="L88" t="s">
        <v>729</v>
      </c>
      <c r="M88" t="s">
        <v>13</v>
      </c>
      <c r="N88">
        <v>8.2759464061996219E-2</v>
      </c>
      <c r="O88" t="s">
        <v>6</v>
      </c>
    </row>
    <row r="89" spans="2:15" x14ac:dyDescent="0.45">
      <c r="B89" t="s">
        <v>727</v>
      </c>
      <c r="C89" t="s">
        <v>14</v>
      </c>
      <c r="D89">
        <v>5.4513283143669611E-4</v>
      </c>
      <c r="E89" t="s">
        <v>6</v>
      </c>
      <c r="G89" t="s">
        <v>728</v>
      </c>
      <c r="H89" t="s">
        <v>14</v>
      </c>
      <c r="I89">
        <v>5.1552091532503848E-2</v>
      </c>
      <c r="J89" t="s">
        <v>6</v>
      </c>
      <c r="L89" t="s">
        <v>729</v>
      </c>
      <c r="M89" t="s">
        <v>14</v>
      </c>
      <c r="N89">
        <v>3.2654045698695885E-2</v>
      </c>
      <c r="O89" t="s">
        <v>6</v>
      </c>
    </row>
    <row r="90" spans="2:15" x14ac:dyDescent="0.45">
      <c r="B90" t="s">
        <v>727</v>
      </c>
      <c r="C90" t="s">
        <v>15</v>
      </c>
      <c r="D90">
        <v>0.3111881748953732</v>
      </c>
      <c r="E90" t="s">
        <v>6</v>
      </c>
      <c r="G90" t="s">
        <v>728</v>
      </c>
      <c r="H90" t="s">
        <v>15</v>
      </c>
      <c r="I90">
        <v>3.7553580596744893E-2</v>
      </c>
      <c r="J90" t="s">
        <v>6</v>
      </c>
      <c r="L90" t="s">
        <v>729</v>
      </c>
      <c r="M90" t="s">
        <v>15</v>
      </c>
      <c r="N90">
        <v>4.0675323563815632E-2</v>
      </c>
      <c r="O90" t="s">
        <v>6</v>
      </c>
    </row>
    <row r="91" spans="2:15" x14ac:dyDescent="0.45">
      <c r="B91" t="s">
        <v>727</v>
      </c>
      <c r="C91" t="s">
        <v>16</v>
      </c>
      <c r="D91">
        <v>3.3795356047558123E-2</v>
      </c>
      <c r="E91" t="s">
        <v>6</v>
      </c>
      <c r="G91" t="s">
        <v>728</v>
      </c>
      <c r="H91" t="s">
        <v>16</v>
      </c>
      <c r="I91">
        <v>4.3064129030531591E-2</v>
      </c>
      <c r="J91" t="s">
        <v>6</v>
      </c>
      <c r="L91" t="s">
        <v>729</v>
      </c>
      <c r="M91" t="s">
        <v>16</v>
      </c>
      <c r="N91">
        <v>2.6386348942981724E-2</v>
      </c>
      <c r="O91" t="s">
        <v>6</v>
      </c>
    </row>
    <row r="92" spans="2:15" x14ac:dyDescent="0.45">
      <c r="B92" t="s">
        <v>727</v>
      </c>
      <c r="C92" t="s">
        <v>17</v>
      </c>
      <c r="D92">
        <v>0</v>
      </c>
      <c r="E92" t="s">
        <v>6</v>
      </c>
      <c r="G92" t="s">
        <v>728</v>
      </c>
      <c r="H92" t="s">
        <v>17</v>
      </c>
      <c r="I92">
        <v>6.5601438293504469E-2</v>
      </c>
      <c r="J92" t="s">
        <v>6</v>
      </c>
      <c r="L92" t="s">
        <v>729</v>
      </c>
      <c r="M92" t="s">
        <v>17</v>
      </c>
      <c r="N92">
        <v>8.2831842820972015E-2</v>
      </c>
      <c r="O92" t="s">
        <v>6</v>
      </c>
    </row>
    <row r="93" spans="2:15" x14ac:dyDescent="0.45">
      <c r="B93" t="s">
        <v>727</v>
      </c>
      <c r="C93" t="s">
        <v>18</v>
      </c>
      <c r="D93">
        <v>0.2076236506451844</v>
      </c>
      <c r="E93" t="s">
        <v>6</v>
      </c>
      <c r="G93" t="s">
        <v>728</v>
      </c>
      <c r="H93" t="s">
        <v>18</v>
      </c>
      <c r="I93">
        <v>7.0724948144379324E-2</v>
      </c>
      <c r="J93" t="s">
        <v>6</v>
      </c>
      <c r="L93" t="s">
        <v>729</v>
      </c>
      <c r="M93" t="s">
        <v>18</v>
      </c>
      <c r="N93">
        <v>9.46917092977516E-2</v>
      </c>
      <c r="O93" t="s">
        <v>6</v>
      </c>
    </row>
    <row r="94" spans="2:15" x14ac:dyDescent="0.45">
      <c r="B94" t="s">
        <v>727</v>
      </c>
      <c r="C94" t="s">
        <v>19</v>
      </c>
      <c r="D94">
        <v>1.0619904596419363E-2</v>
      </c>
      <c r="E94" t="s">
        <v>6</v>
      </c>
      <c r="G94" t="s">
        <v>728</v>
      </c>
      <c r="H94" t="s">
        <v>19</v>
      </c>
      <c r="I94">
        <v>5.5603663744742481E-2</v>
      </c>
      <c r="J94" t="s">
        <v>6</v>
      </c>
      <c r="L94" t="s">
        <v>729</v>
      </c>
      <c r="M94" t="s">
        <v>19</v>
      </c>
      <c r="N94">
        <v>6.0358758042722963E-2</v>
      </c>
      <c r="O94" t="s">
        <v>6</v>
      </c>
    </row>
    <row r="95" spans="2:15" x14ac:dyDescent="0.45">
      <c r="B95" t="s">
        <v>730</v>
      </c>
      <c r="C95" t="s">
        <v>5</v>
      </c>
      <c r="D95">
        <v>0</v>
      </c>
      <c r="E95" t="s">
        <v>6</v>
      </c>
      <c r="G95" t="s">
        <v>731</v>
      </c>
      <c r="H95" t="s">
        <v>5</v>
      </c>
      <c r="I95">
        <v>8.4348792380683282E-2</v>
      </c>
      <c r="J95" t="s">
        <v>6</v>
      </c>
      <c r="L95" t="s">
        <v>732</v>
      </c>
      <c r="M95" t="s">
        <v>5</v>
      </c>
      <c r="N95">
        <v>9.8618480214116622E-2</v>
      </c>
      <c r="O95" t="s">
        <v>6</v>
      </c>
    </row>
    <row r="96" spans="2:15" x14ac:dyDescent="0.45">
      <c r="B96" t="s">
        <v>730</v>
      </c>
      <c r="C96" t="s">
        <v>9</v>
      </c>
      <c r="D96">
        <v>0.1492977024255544</v>
      </c>
      <c r="E96" t="s">
        <v>6</v>
      </c>
      <c r="G96" t="s">
        <v>731</v>
      </c>
      <c r="H96" t="s">
        <v>9</v>
      </c>
      <c r="I96">
        <v>0.11023843194686446</v>
      </c>
      <c r="J96" t="s">
        <v>6</v>
      </c>
      <c r="L96" t="s">
        <v>732</v>
      </c>
      <c r="M96" t="s">
        <v>9</v>
      </c>
      <c r="N96">
        <v>0.11291040952077115</v>
      </c>
      <c r="O96" t="s">
        <v>6</v>
      </c>
    </row>
    <row r="97" spans="2:15" x14ac:dyDescent="0.45">
      <c r="B97" t="s">
        <v>730</v>
      </c>
      <c r="C97" t="s">
        <v>10</v>
      </c>
      <c r="D97">
        <v>7.9320035522855489E-3</v>
      </c>
      <c r="E97" t="s">
        <v>6</v>
      </c>
      <c r="G97" t="s">
        <v>731</v>
      </c>
      <c r="H97" t="s">
        <v>10</v>
      </c>
      <c r="I97">
        <v>6.7689296055463394E-2</v>
      </c>
      <c r="J97" t="s">
        <v>6</v>
      </c>
      <c r="L97" t="s">
        <v>732</v>
      </c>
      <c r="M97" t="s">
        <v>10</v>
      </c>
      <c r="N97">
        <v>7.304564164046988E-2</v>
      </c>
      <c r="O97" t="s">
        <v>6</v>
      </c>
    </row>
    <row r="98" spans="2:15" x14ac:dyDescent="0.45">
      <c r="B98" t="s">
        <v>730</v>
      </c>
      <c r="C98" t="s">
        <v>11</v>
      </c>
      <c r="D98">
        <v>1.2212432798818906E-4</v>
      </c>
      <c r="E98" t="s">
        <v>6</v>
      </c>
      <c r="G98" t="s">
        <v>731</v>
      </c>
      <c r="H98" t="s">
        <v>11</v>
      </c>
      <c r="I98">
        <v>8.5821020053633679E-2</v>
      </c>
      <c r="J98" t="s">
        <v>6</v>
      </c>
      <c r="L98" t="s">
        <v>732</v>
      </c>
      <c r="M98" t="s">
        <v>11</v>
      </c>
      <c r="N98">
        <v>9.1069956898586754E-2</v>
      </c>
      <c r="O98" t="s">
        <v>6</v>
      </c>
    </row>
    <row r="99" spans="2:15" x14ac:dyDescent="0.45">
      <c r="B99" t="s">
        <v>730</v>
      </c>
      <c r="C99" t="s">
        <v>12</v>
      </c>
      <c r="D99">
        <v>0.24166140797004407</v>
      </c>
      <c r="E99" t="s">
        <v>6</v>
      </c>
      <c r="G99" t="s">
        <v>731</v>
      </c>
      <c r="H99" t="s">
        <v>12</v>
      </c>
      <c r="I99">
        <v>0.11536423657938837</v>
      </c>
      <c r="J99" t="s">
        <v>6</v>
      </c>
      <c r="L99" t="s">
        <v>732</v>
      </c>
      <c r="M99" t="s">
        <v>12</v>
      </c>
      <c r="N99">
        <v>0.14246327456225968</v>
      </c>
      <c r="O99" t="s">
        <v>6</v>
      </c>
    </row>
    <row r="100" spans="2:15" x14ac:dyDescent="0.45">
      <c r="B100" t="s">
        <v>730</v>
      </c>
      <c r="C100" t="s">
        <v>13</v>
      </c>
      <c r="D100">
        <v>2.5461463217979929E-2</v>
      </c>
      <c r="E100" t="s">
        <v>6</v>
      </c>
      <c r="G100" t="s">
        <v>731</v>
      </c>
      <c r="H100" t="s">
        <v>13</v>
      </c>
      <c r="I100">
        <v>7.6614703488708802E-2</v>
      </c>
      <c r="J100" t="s">
        <v>6</v>
      </c>
      <c r="L100" t="s">
        <v>732</v>
      </c>
      <c r="M100" t="s">
        <v>13</v>
      </c>
      <c r="N100">
        <v>9.3585885712836825E-2</v>
      </c>
      <c r="O100" t="s">
        <v>6</v>
      </c>
    </row>
    <row r="101" spans="2:15" x14ac:dyDescent="0.45">
      <c r="B101" t="s">
        <v>730</v>
      </c>
      <c r="C101" t="s">
        <v>14</v>
      </c>
      <c r="D101">
        <v>3.5638990899704661E-4</v>
      </c>
      <c r="E101" t="s">
        <v>6</v>
      </c>
      <c r="G101" t="s">
        <v>731</v>
      </c>
      <c r="H101" t="s">
        <v>14</v>
      </c>
      <c r="I101">
        <v>5.9711501899322734E-2</v>
      </c>
      <c r="J101" t="s">
        <v>6</v>
      </c>
      <c r="L101" t="s">
        <v>732</v>
      </c>
      <c r="M101" t="s">
        <v>14</v>
      </c>
      <c r="N101">
        <v>3.2636008267256676E-2</v>
      </c>
      <c r="O101" t="s">
        <v>6</v>
      </c>
    </row>
    <row r="102" spans="2:15" x14ac:dyDescent="0.45">
      <c r="B102" t="s">
        <v>730</v>
      </c>
      <c r="C102" t="s">
        <v>15</v>
      </c>
      <c r="D102">
        <v>0.31219342744663953</v>
      </c>
      <c r="E102" t="s">
        <v>6</v>
      </c>
      <c r="G102" t="s">
        <v>731</v>
      </c>
      <c r="H102" t="s">
        <v>15</v>
      </c>
      <c r="I102">
        <v>7.4287126664278891E-2</v>
      </c>
      <c r="J102" t="s">
        <v>6</v>
      </c>
      <c r="L102" t="s">
        <v>732</v>
      </c>
      <c r="M102" t="s">
        <v>15</v>
      </c>
      <c r="N102">
        <v>5.1982341984537751E-2</v>
      </c>
      <c r="O102" t="s">
        <v>6</v>
      </c>
    </row>
    <row r="103" spans="2:15" x14ac:dyDescent="0.45">
      <c r="B103" t="s">
        <v>730</v>
      </c>
      <c r="C103" t="s">
        <v>16</v>
      </c>
      <c r="D103">
        <v>3.7748924048823636E-2</v>
      </c>
      <c r="E103" t="s">
        <v>6</v>
      </c>
      <c r="G103" t="s">
        <v>731</v>
      </c>
      <c r="H103" t="s">
        <v>16</v>
      </c>
      <c r="I103">
        <v>5.8052247520075317E-2</v>
      </c>
      <c r="J103" t="s">
        <v>6</v>
      </c>
      <c r="L103" t="s">
        <v>732</v>
      </c>
      <c r="M103" t="s">
        <v>16</v>
      </c>
      <c r="N103">
        <v>2.9236602212049635E-2</v>
      </c>
      <c r="O103" t="s">
        <v>6</v>
      </c>
    </row>
    <row r="104" spans="2:15" x14ac:dyDescent="0.45">
      <c r="B104" t="s">
        <v>730</v>
      </c>
      <c r="C104" t="s">
        <v>17</v>
      </c>
      <c r="D104">
        <v>0</v>
      </c>
      <c r="E104" t="s">
        <v>6</v>
      </c>
      <c r="G104" t="s">
        <v>731</v>
      </c>
      <c r="H104" t="s">
        <v>17</v>
      </c>
      <c r="I104">
        <v>8.5638271986478262E-2</v>
      </c>
      <c r="J104" t="s">
        <v>6</v>
      </c>
      <c r="L104" t="s">
        <v>732</v>
      </c>
      <c r="M104" t="s">
        <v>17</v>
      </c>
      <c r="N104">
        <v>8.9185454507674622E-2</v>
      </c>
      <c r="O104" t="s">
        <v>6</v>
      </c>
    </row>
    <row r="105" spans="2:15" x14ac:dyDescent="0.45">
      <c r="B105" t="s">
        <v>730</v>
      </c>
      <c r="C105" t="s">
        <v>18</v>
      </c>
      <c r="D105">
        <v>0.21275395532324867</v>
      </c>
      <c r="E105" t="s">
        <v>6</v>
      </c>
      <c r="G105" t="s">
        <v>731</v>
      </c>
      <c r="H105" t="s">
        <v>18</v>
      </c>
      <c r="I105">
        <v>0.11136365797802478</v>
      </c>
      <c r="J105" t="s">
        <v>6</v>
      </c>
      <c r="L105" t="s">
        <v>732</v>
      </c>
      <c r="M105" t="s">
        <v>18</v>
      </c>
      <c r="N105">
        <v>0.10854951321652792</v>
      </c>
      <c r="O105" t="s">
        <v>6</v>
      </c>
    </row>
    <row r="106" spans="2:15" x14ac:dyDescent="0.45">
      <c r="B106" t="s">
        <v>730</v>
      </c>
      <c r="C106" t="s">
        <v>19</v>
      </c>
      <c r="D106">
        <v>1.2472601778441577E-2</v>
      </c>
      <c r="E106" t="s">
        <v>6</v>
      </c>
      <c r="G106" t="s">
        <v>731</v>
      </c>
      <c r="H106" t="s">
        <v>19</v>
      </c>
      <c r="I106">
        <v>7.0870713447080902E-2</v>
      </c>
      <c r="J106" t="s">
        <v>6</v>
      </c>
      <c r="L106" t="s">
        <v>732</v>
      </c>
      <c r="M106" t="s">
        <v>19</v>
      </c>
      <c r="N106">
        <v>7.6716431262912291E-2</v>
      </c>
      <c r="O106" t="s">
        <v>6</v>
      </c>
    </row>
    <row r="107" spans="2:15" x14ac:dyDescent="0.45">
      <c r="B107" t="s">
        <v>733</v>
      </c>
      <c r="C107" t="s">
        <v>5</v>
      </c>
      <c r="D107">
        <v>0</v>
      </c>
      <c r="E107" t="s">
        <v>6</v>
      </c>
      <c r="G107" t="s">
        <v>734</v>
      </c>
      <c r="H107" t="s">
        <v>5</v>
      </c>
      <c r="I107">
        <v>0.11772153259885486</v>
      </c>
      <c r="J107" t="s">
        <v>6</v>
      </c>
      <c r="L107" t="s">
        <v>735</v>
      </c>
      <c r="M107" t="s">
        <v>5</v>
      </c>
      <c r="N107">
        <v>0.10693435280806611</v>
      </c>
      <c r="O107" t="s">
        <v>6</v>
      </c>
    </row>
    <row r="108" spans="2:15" x14ac:dyDescent="0.45">
      <c r="B108" t="s">
        <v>733</v>
      </c>
      <c r="C108" t="s">
        <v>9</v>
      </c>
      <c r="D108">
        <v>0.1549681260597337</v>
      </c>
      <c r="E108" t="s">
        <v>6</v>
      </c>
      <c r="G108" t="s">
        <v>734</v>
      </c>
      <c r="H108" t="s">
        <v>9</v>
      </c>
      <c r="I108">
        <v>0.14734865552396248</v>
      </c>
      <c r="J108" t="s">
        <v>6</v>
      </c>
      <c r="L108" t="s">
        <v>735</v>
      </c>
      <c r="M108" t="s">
        <v>9</v>
      </c>
      <c r="N108">
        <v>0.13051028983842256</v>
      </c>
      <c r="O108" t="s">
        <v>6</v>
      </c>
    </row>
    <row r="109" spans="2:15" x14ac:dyDescent="0.45">
      <c r="B109" t="s">
        <v>733</v>
      </c>
      <c r="C109" t="s">
        <v>10</v>
      </c>
      <c r="D109">
        <v>8.2882485165128219E-3</v>
      </c>
      <c r="E109" t="s">
        <v>6</v>
      </c>
      <c r="G109" t="s">
        <v>734</v>
      </c>
      <c r="H109" t="s">
        <v>10</v>
      </c>
      <c r="I109">
        <v>9.027139953435559E-2</v>
      </c>
      <c r="J109" t="s">
        <v>6</v>
      </c>
      <c r="L109" t="s">
        <v>735</v>
      </c>
      <c r="M109" t="s">
        <v>10</v>
      </c>
      <c r="N109">
        <v>8.0339025391162069E-2</v>
      </c>
      <c r="O109" t="s">
        <v>6</v>
      </c>
    </row>
    <row r="110" spans="2:15" x14ac:dyDescent="0.45">
      <c r="B110" t="s">
        <v>733</v>
      </c>
      <c r="C110" t="s">
        <v>11</v>
      </c>
      <c r="D110">
        <v>1.2775646517085404E-4</v>
      </c>
      <c r="E110" t="s">
        <v>6</v>
      </c>
      <c r="G110" t="s">
        <v>734</v>
      </c>
      <c r="H110" t="s">
        <v>11</v>
      </c>
      <c r="I110">
        <v>7.924779032398277E-2</v>
      </c>
      <c r="J110" t="s">
        <v>6</v>
      </c>
      <c r="L110" t="s">
        <v>735</v>
      </c>
      <c r="M110" t="s">
        <v>11</v>
      </c>
      <c r="N110">
        <v>9.8816706635782639E-2</v>
      </c>
      <c r="O110" t="s">
        <v>6</v>
      </c>
    </row>
    <row r="111" spans="2:15" x14ac:dyDescent="0.45">
      <c r="B111" t="s">
        <v>733</v>
      </c>
      <c r="C111" t="s">
        <v>12</v>
      </c>
      <c r="D111">
        <v>0.23722374319949735</v>
      </c>
      <c r="E111" t="s">
        <v>6</v>
      </c>
      <c r="G111" t="s">
        <v>734</v>
      </c>
      <c r="H111" t="s">
        <v>12</v>
      </c>
      <c r="I111">
        <v>0.13670339502928069</v>
      </c>
      <c r="J111" t="s">
        <v>6</v>
      </c>
      <c r="L111" t="s">
        <v>735</v>
      </c>
      <c r="M111" t="s">
        <v>12</v>
      </c>
      <c r="N111">
        <v>0.11633321330247248</v>
      </c>
      <c r="O111" t="s">
        <v>6</v>
      </c>
    </row>
    <row r="112" spans="2:15" x14ac:dyDescent="0.45">
      <c r="B112" t="s">
        <v>733</v>
      </c>
      <c r="C112" t="s">
        <v>13</v>
      </c>
      <c r="D112">
        <v>2.4362665867176118E-2</v>
      </c>
      <c r="E112" t="s">
        <v>6</v>
      </c>
      <c r="G112" t="s">
        <v>734</v>
      </c>
      <c r="H112" t="s">
        <v>13</v>
      </c>
      <c r="I112">
        <v>7.1588801039357608E-2</v>
      </c>
      <c r="J112" t="s">
        <v>6</v>
      </c>
      <c r="L112" t="s">
        <v>735</v>
      </c>
      <c r="M112" t="s">
        <v>13</v>
      </c>
      <c r="N112">
        <v>6.8758530024802769E-2</v>
      </c>
      <c r="O112" t="s">
        <v>6</v>
      </c>
    </row>
    <row r="113" spans="2:15" x14ac:dyDescent="0.45">
      <c r="B113" t="s">
        <v>733</v>
      </c>
      <c r="C113" t="s">
        <v>14</v>
      </c>
      <c r="D113">
        <v>3.6205941280741479E-4</v>
      </c>
      <c r="E113" t="s">
        <v>6</v>
      </c>
      <c r="G113" t="s">
        <v>734</v>
      </c>
      <c r="H113" t="s">
        <v>14</v>
      </c>
      <c r="I113">
        <v>2.4718498182742188E-2</v>
      </c>
      <c r="J113" t="s">
        <v>6</v>
      </c>
      <c r="L113" t="s">
        <v>735</v>
      </c>
      <c r="M113" t="s">
        <v>14</v>
      </c>
      <c r="N113">
        <v>4.6189579017062783E-2</v>
      </c>
      <c r="O113" t="s">
        <v>6</v>
      </c>
    </row>
    <row r="114" spans="2:15" x14ac:dyDescent="0.45">
      <c r="B114" t="s">
        <v>733</v>
      </c>
      <c r="C114" t="s">
        <v>15</v>
      </c>
      <c r="D114">
        <v>0.30987461398696403</v>
      </c>
      <c r="E114" t="s">
        <v>6</v>
      </c>
      <c r="G114" t="s">
        <v>734</v>
      </c>
      <c r="H114" t="s">
        <v>15</v>
      </c>
      <c r="I114">
        <v>4.7247504415669717E-2</v>
      </c>
      <c r="J114" t="s">
        <v>6</v>
      </c>
      <c r="L114" t="s">
        <v>735</v>
      </c>
      <c r="M114" t="s">
        <v>15</v>
      </c>
      <c r="N114">
        <v>5.5936900654049132E-2</v>
      </c>
      <c r="O114" t="s">
        <v>6</v>
      </c>
    </row>
    <row r="115" spans="2:15" x14ac:dyDescent="0.45">
      <c r="B115" t="s">
        <v>733</v>
      </c>
      <c r="C115" t="s">
        <v>16</v>
      </c>
      <c r="D115">
        <v>3.6940971928611323E-2</v>
      </c>
      <c r="E115" t="s">
        <v>6</v>
      </c>
      <c r="G115" t="s">
        <v>734</v>
      </c>
      <c r="H115" t="s">
        <v>16</v>
      </c>
      <c r="I115">
        <v>3.4622833399506239E-2</v>
      </c>
      <c r="J115" t="s">
        <v>6</v>
      </c>
      <c r="L115" t="s">
        <v>735</v>
      </c>
      <c r="M115" t="s">
        <v>16</v>
      </c>
      <c r="N115">
        <v>2.6445626396803999E-2</v>
      </c>
      <c r="O115" t="s">
        <v>6</v>
      </c>
    </row>
    <row r="116" spans="2:15" x14ac:dyDescent="0.45">
      <c r="B116" t="s">
        <v>733</v>
      </c>
      <c r="C116" t="s">
        <v>17</v>
      </c>
      <c r="D116">
        <v>0</v>
      </c>
      <c r="E116" t="s">
        <v>6</v>
      </c>
      <c r="G116" t="s">
        <v>734</v>
      </c>
      <c r="H116" t="s">
        <v>17</v>
      </c>
      <c r="I116">
        <v>7.2393512370214602E-2</v>
      </c>
      <c r="J116" t="s">
        <v>6</v>
      </c>
      <c r="L116" t="s">
        <v>735</v>
      </c>
      <c r="M116" t="s">
        <v>17</v>
      </c>
      <c r="N116">
        <v>9.1134318061860245E-2</v>
      </c>
      <c r="O116" t="s">
        <v>6</v>
      </c>
    </row>
    <row r="117" spans="2:15" x14ac:dyDescent="0.45">
      <c r="B117" t="s">
        <v>733</v>
      </c>
      <c r="C117" t="s">
        <v>18</v>
      </c>
      <c r="D117">
        <v>0.21571445128558342</v>
      </c>
      <c r="E117" t="s">
        <v>6</v>
      </c>
      <c r="G117" t="s">
        <v>734</v>
      </c>
      <c r="H117" t="s">
        <v>18</v>
      </c>
      <c r="I117">
        <v>0.1163666224399187</v>
      </c>
      <c r="J117" t="s">
        <v>6</v>
      </c>
      <c r="L117" t="s">
        <v>735</v>
      </c>
      <c r="M117" t="s">
        <v>18</v>
      </c>
      <c r="N117">
        <v>0.11355989597533588</v>
      </c>
      <c r="O117" t="s">
        <v>6</v>
      </c>
    </row>
    <row r="118" spans="2:15" x14ac:dyDescent="0.45">
      <c r="B118" t="s">
        <v>733</v>
      </c>
      <c r="C118" t="s">
        <v>19</v>
      </c>
      <c r="D118">
        <v>1.2137363277940816E-2</v>
      </c>
      <c r="E118" t="s">
        <v>6</v>
      </c>
      <c r="G118" t="s">
        <v>734</v>
      </c>
      <c r="H118" t="s">
        <v>19</v>
      </c>
      <c r="I118">
        <v>6.1769455142157814E-2</v>
      </c>
      <c r="J118" t="s">
        <v>6</v>
      </c>
      <c r="L118" t="s">
        <v>735</v>
      </c>
      <c r="M118" t="s">
        <v>19</v>
      </c>
      <c r="N118">
        <v>6.5041561894179284E-2</v>
      </c>
      <c r="O118" t="s">
        <v>6</v>
      </c>
    </row>
    <row r="119" spans="2:15" x14ac:dyDescent="0.45">
      <c r="B119" t="s">
        <v>736</v>
      </c>
      <c r="C119" t="s">
        <v>5</v>
      </c>
      <c r="D119">
        <v>0</v>
      </c>
      <c r="E119" t="s">
        <v>6</v>
      </c>
      <c r="G119" t="s">
        <v>737</v>
      </c>
      <c r="H119" t="s">
        <v>5</v>
      </c>
      <c r="I119">
        <v>0.12116949546229934</v>
      </c>
      <c r="J119" t="s">
        <v>6</v>
      </c>
      <c r="L119" t="s">
        <v>738</v>
      </c>
      <c r="M119" t="s">
        <v>5</v>
      </c>
      <c r="N119">
        <v>0.10770485274397752</v>
      </c>
      <c r="O119" t="s">
        <v>6</v>
      </c>
    </row>
    <row r="120" spans="2:15" x14ac:dyDescent="0.45">
      <c r="B120" t="s">
        <v>736</v>
      </c>
      <c r="C120" t="s">
        <v>9</v>
      </c>
      <c r="D120">
        <v>0.17936536887098406</v>
      </c>
      <c r="E120" t="s">
        <v>6</v>
      </c>
      <c r="G120" t="s">
        <v>737</v>
      </c>
      <c r="H120" t="s">
        <v>9</v>
      </c>
      <c r="I120">
        <v>0.15537372815721079</v>
      </c>
      <c r="J120" t="s">
        <v>6</v>
      </c>
      <c r="L120" t="s">
        <v>738</v>
      </c>
      <c r="M120" t="s">
        <v>9</v>
      </c>
      <c r="N120">
        <v>0.13611840108214224</v>
      </c>
      <c r="O120" t="s">
        <v>6</v>
      </c>
    </row>
    <row r="121" spans="2:15" x14ac:dyDescent="0.45">
      <c r="B121" t="s">
        <v>736</v>
      </c>
      <c r="C121" t="s">
        <v>10</v>
      </c>
      <c r="D121">
        <v>9.6186008501020059E-3</v>
      </c>
      <c r="E121" t="s">
        <v>6</v>
      </c>
      <c r="G121" t="s">
        <v>737</v>
      </c>
      <c r="H121" t="s">
        <v>10</v>
      </c>
      <c r="I121">
        <v>8.730981640147023E-2</v>
      </c>
      <c r="J121" t="s">
        <v>6</v>
      </c>
      <c r="L121" t="s">
        <v>738</v>
      </c>
      <c r="M121" t="s">
        <v>10</v>
      </c>
      <c r="N121">
        <v>7.9612509248370891E-2</v>
      </c>
      <c r="O121" t="s">
        <v>6</v>
      </c>
    </row>
    <row r="122" spans="2:15" x14ac:dyDescent="0.45">
      <c r="B122" t="s">
        <v>736</v>
      </c>
      <c r="C122" t="s">
        <v>11</v>
      </c>
      <c r="D122">
        <v>9.7913981865860775E-5</v>
      </c>
      <c r="E122" t="s">
        <v>6</v>
      </c>
      <c r="G122" t="s">
        <v>737</v>
      </c>
      <c r="H122" t="s">
        <v>11</v>
      </c>
      <c r="I122">
        <v>8.2475251118236906E-2</v>
      </c>
      <c r="J122" t="s">
        <v>6</v>
      </c>
      <c r="L122" t="s">
        <v>738</v>
      </c>
      <c r="M122" t="s">
        <v>11</v>
      </c>
      <c r="N122">
        <v>0.10006092482611779</v>
      </c>
      <c r="O122" t="s">
        <v>6</v>
      </c>
    </row>
    <row r="123" spans="2:15" x14ac:dyDescent="0.45">
      <c r="B123" t="s">
        <v>736</v>
      </c>
      <c r="C123" t="s">
        <v>12</v>
      </c>
      <c r="D123">
        <v>0.23501726793236968</v>
      </c>
      <c r="E123" t="s">
        <v>6</v>
      </c>
      <c r="G123" t="s">
        <v>737</v>
      </c>
      <c r="H123" t="s">
        <v>12</v>
      </c>
      <c r="I123">
        <v>0.14404355532738314</v>
      </c>
      <c r="J123" t="s">
        <v>6</v>
      </c>
      <c r="L123" t="s">
        <v>738</v>
      </c>
      <c r="M123" t="s">
        <v>12</v>
      </c>
      <c r="N123">
        <v>0.12033943628771765</v>
      </c>
      <c r="O123" t="s">
        <v>6</v>
      </c>
    </row>
    <row r="124" spans="2:15" x14ac:dyDescent="0.45">
      <c r="B124" t="s">
        <v>736</v>
      </c>
      <c r="C124" t="s">
        <v>13</v>
      </c>
      <c r="D124">
        <v>2.2005829025381604E-2</v>
      </c>
      <c r="E124" t="s">
        <v>6</v>
      </c>
      <c r="G124" t="s">
        <v>737</v>
      </c>
      <c r="H124" t="s">
        <v>13</v>
      </c>
      <c r="I124">
        <v>6.8632976246028266E-2</v>
      </c>
      <c r="J124" t="s">
        <v>6</v>
      </c>
      <c r="L124" t="s">
        <v>738</v>
      </c>
      <c r="M124" t="s">
        <v>13</v>
      </c>
      <c r="N124">
        <v>7.5907121730930088E-2</v>
      </c>
      <c r="O124" t="s">
        <v>6</v>
      </c>
    </row>
    <row r="125" spans="2:15" x14ac:dyDescent="0.45">
      <c r="B125" t="s">
        <v>736</v>
      </c>
      <c r="C125" t="s">
        <v>14</v>
      </c>
      <c r="D125">
        <v>2.688440812125379E-4</v>
      </c>
      <c r="E125" t="s">
        <v>6</v>
      </c>
      <c r="G125" t="s">
        <v>737</v>
      </c>
      <c r="H125" t="s">
        <v>14</v>
      </c>
      <c r="I125">
        <v>2.0860484665132521E-2</v>
      </c>
      <c r="J125" t="s">
        <v>6</v>
      </c>
      <c r="L125" t="s">
        <v>738</v>
      </c>
      <c r="M125" t="s">
        <v>14</v>
      </c>
      <c r="N125">
        <v>3.4768387986981508E-2</v>
      </c>
      <c r="O125" t="s">
        <v>6</v>
      </c>
    </row>
    <row r="126" spans="2:15" x14ac:dyDescent="0.45">
      <c r="B126" t="s">
        <v>736</v>
      </c>
      <c r="C126" t="s">
        <v>15</v>
      </c>
      <c r="D126">
        <v>0.28353070876963837</v>
      </c>
      <c r="E126" t="s">
        <v>6</v>
      </c>
      <c r="G126" t="s">
        <v>737</v>
      </c>
      <c r="H126" t="s">
        <v>15</v>
      </c>
      <c r="I126">
        <v>4.0284855890046163E-2</v>
      </c>
      <c r="J126" t="s">
        <v>6</v>
      </c>
      <c r="L126" t="s">
        <v>738</v>
      </c>
      <c r="M126" t="s">
        <v>15</v>
      </c>
      <c r="N126">
        <v>5.1600400332946557E-2</v>
      </c>
      <c r="O126" t="s">
        <v>6</v>
      </c>
    </row>
    <row r="127" spans="2:15" x14ac:dyDescent="0.45">
      <c r="B127" t="s">
        <v>736</v>
      </c>
      <c r="C127" t="s">
        <v>16</v>
      </c>
      <c r="D127">
        <v>3.2020448053262408E-2</v>
      </c>
      <c r="E127" t="s">
        <v>6</v>
      </c>
      <c r="G127" t="s">
        <v>737</v>
      </c>
      <c r="H127" t="s">
        <v>16</v>
      </c>
      <c r="I127">
        <v>2.8691078610548957E-2</v>
      </c>
      <c r="J127" t="s">
        <v>6</v>
      </c>
      <c r="L127" t="s">
        <v>738</v>
      </c>
      <c r="M127" t="s">
        <v>16</v>
      </c>
      <c r="N127">
        <v>2.4593769325160938E-2</v>
      </c>
      <c r="O127" t="s">
        <v>6</v>
      </c>
    </row>
    <row r="128" spans="2:15" x14ac:dyDescent="0.45">
      <c r="B128" t="s">
        <v>736</v>
      </c>
      <c r="C128" t="s">
        <v>17</v>
      </c>
      <c r="D128">
        <v>0</v>
      </c>
      <c r="E128" t="s">
        <v>6</v>
      </c>
      <c r="G128" t="s">
        <v>737</v>
      </c>
      <c r="H128" t="s">
        <v>17</v>
      </c>
      <c r="I128">
        <v>7.7520041027369438E-2</v>
      </c>
      <c r="J128" t="s">
        <v>6</v>
      </c>
      <c r="L128" t="s">
        <v>738</v>
      </c>
      <c r="M128" t="s">
        <v>17</v>
      </c>
      <c r="N128">
        <v>8.8336304843827498E-2</v>
      </c>
      <c r="O128" t="s">
        <v>6</v>
      </c>
    </row>
    <row r="129" spans="2:15" x14ac:dyDescent="0.45">
      <c r="B129" t="s">
        <v>736</v>
      </c>
      <c r="C129" t="s">
        <v>18</v>
      </c>
      <c r="D129">
        <v>0.22630434451633949</v>
      </c>
      <c r="E129" t="s">
        <v>6</v>
      </c>
      <c r="G129" t="s">
        <v>737</v>
      </c>
      <c r="H129" t="s">
        <v>18</v>
      </c>
      <c r="I129">
        <v>0.11520209000910644</v>
      </c>
      <c r="J129" t="s">
        <v>6</v>
      </c>
      <c r="L129" t="s">
        <v>738</v>
      </c>
      <c r="M129" t="s">
        <v>18</v>
      </c>
      <c r="N129">
        <v>0.11407746749744421</v>
      </c>
      <c r="O129" t="s">
        <v>6</v>
      </c>
    </row>
    <row r="130" spans="2:15" x14ac:dyDescent="0.45">
      <c r="B130" t="s">
        <v>736</v>
      </c>
      <c r="C130" t="s">
        <v>19</v>
      </c>
      <c r="D130">
        <v>1.1770673918844007E-2</v>
      </c>
      <c r="E130" t="s">
        <v>6</v>
      </c>
      <c r="G130" t="s">
        <v>737</v>
      </c>
      <c r="H130" t="s">
        <v>19</v>
      </c>
      <c r="I130">
        <v>5.8436627085169029E-2</v>
      </c>
      <c r="J130" t="s">
        <v>6</v>
      </c>
      <c r="L130" t="s">
        <v>738</v>
      </c>
      <c r="M130" t="s">
        <v>19</v>
      </c>
      <c r="N130">
        <v>6.6880424094384397E-2</v>
      </c>
      <c r="O130" t="s">
        <v>6</v>
      </c>
    </row>
    <row r="131" spans="2:15" x14ac:dyDescent="0.45">
      <c r="B131" t="s">
        <v>739</v>
      </c>
      <c r="C131" t="s">
        <v>5</v>
      </c>
      <c r="D131">
        <v>0</v>
      </c>
      <c r="E131" t="s">
        <v>6</v>
      </c>
      <c r="G131" t="s">
        <v>740</v>
      </c>
      <c r="H131" t="s">
        <v>5</v>
      </c>
      <c r="I131">
        <v>0.11836320261634861</v>
      </c>
      <c r="J131" t="s">
        <v>6</v>
      </c>
      <c r="L131" t="s">
        <v>741</v>
      </c>
      <c r="M131" t="s">
        <v>5</v>
      </c>
      <c r="N131">
        <v>9.6789695341175402E-2</v>
      </c>
      <c r="O131" t="s">
        <v>6</v>
      </c>
    </row>
    <row r="132" spans="2:15" x14ac:dyDescent="0.45">
      <c r="B132" t="s">
        <v>739</v>
      </c>
      <c r="C132" t="s">
        <v>9</v>
      </c>
      <c r="D132">
        <v>0.18013638319777781</v>
      </c>
      <c r="E132" t="s">
        <v>6</v>
      </c>
      <c r="G132" t="s">
        <v>740</v>
      </c>
      <c r="H132" t="s">
        <v>9</v>
      </c>
      <c r="I132">
        <v>0.14546918492727398</v>
      </c>
      <c r="J132" t="s">
        <v>6</v>
      </c>
      <c r="L132" t="s">
        <v>741</v>
      </c>
      <c r="M132" t="s">
        <v>9</v>
      </c>
      <c r="N132">
        <v>0.1229046792973227</v>
      </c>
      <c r="O132" t="s">
        <v>6</v>
      </c>
    </row>
    <row r="133" spans="2:15" x14ac:dyDescent="0.45">
      <c r="B133" t="s">
        <v>739</v>
      </c>
      <c r="C133" t="s">
        <v>10</v>
      </c>
      <c r="D133">
        <v>7.7839669476214048E-3</v>
      </c>
      <c r="E133" t="s">
        <v>6</v>
      </c>
      <c r="G133" t="s">
        <v>740</v>
      </c>
      <c r="H133" t="s">
        <v>10</v>
      </c>
      <c r="I133">
        <v>8.1519726588241595E-2</v>
      </c>
      <c r="J133" t="s">
        <v>6</v>
      </c>
      <c r="L133" t="s">
        <v>741</v>
      </c>
      <c r="M133" t="s">
        <v>10</v>
      </c>
      <c r="N133">
        <v>7.6302483681269198E-2</v>
      </c>
      <c r="O133" t="s">
        <v>6</v>
      </c>
    </row>
    <row r="134" spans="2:15" x14ac:dyDescent="0.45">
      <c r="B134" t="s">
        <v>739</v>
      </c>
      <c r="C134" t="s">
        <v>11</v>
      </c>
      <c r="D134">
        <v>1.5043310784165322E-4</v>
      </c>
      <c r="E134" t="s">
        <v>6</v>
      </c>
      <c r="G134" t="s">
        <v>740</v>
      </c>
      <c r="H134" t="s">
        <v>11</v>
      </c>
      <c r="I134">
        <v>8.6545376622868583E-2</v>
      </c>
      <c r="J134" t="s">
        <v>6</v>
      </c>
      <c r="L134" t="s">
        <v>741</v>
      </c>
      <c r="M134" t="s">
        <v>11</v>
      </c>
      <c r="N134">
        <v>9.856715117599367E-2</v>
      </c>
      <c r="O134" t="s">
        <v>6</v>
      </c>
    </row>
    <row r="135" spans="2:15" x14ac:dyDescent="0.45">
      <c r="B135" t="s">
        <v>739</v>
      </c>
      <c r="C135" t="s">
        <v>12</v>
      </c>
      <c r="D135">
        <v>0.2342838172648028</v>
      </c>
      <c r="E135" t="s">
        <v>6</v>
      </c>
      <c r="G135" t="s">
        <v>740</v>
      </c>
      <c r="H135" t="s">
        <v>12</v>
      </c>
      <c r="I135">
        <v>0.13603397965980477</v>
      </c>
      <c r="J135" t="s">
        <v>6</v>
      </c>
      <c r="L135" t="s">
        <v>741</v>
      </c>
      <c r="M135" t="s">
        <v>12</v>
      </c>
      <c r="N135">
        <v>0.12760022286131245</v>
      </c>
      <c r="O135" t="s">
        <v>6</v>
      </c>
    </row>
    <row r="136" spans="2:15" x14ac:dyDescent="0.45">
      <c r="B136" t="s">
        <v>739</v>
      </c>
      <c r="C136" t="s">
        <v>13</v>
      </c>
      <c r="D136">
        <v>2.0162265952522886E-2</v>
      </c>
      <c r="E136" t="s">
        <v>6</v>
      </c>
      <c r="G136" t="s">
        <v>740</v>
      </c>
      <c r="H136" t="s">
        <v>13</v>
      </c>
      <c r="I136">
        <v>6.7101767857161293E-2</v>
      </c>
      <c r="J136" t="s">
        <v>6</v>
      </c>
      <c r="L136" t="s">
        <v>741</v>
      </c>
      <c r="M136" t="s">
        <v>13</v>
      </c>
      <c r="N136">
        <v>8.0989649474110276E-2</v>
      </c>
      <c r="O136" t="s">
        <v>6</v>
      </c>
    </row>
    <row r="137" spans="2:15" x14ac:dyDescent="0.45">
      <c r="B137" t="s">
        <v>739</v>
      </c>
      <c r="C137" t="s">
        <v>14</v>
      </c>
      <c r="D137">
        <v>3.9679309840158717E-4</v>
      </c>
      <c r="E137" t="s">
        <v>6</v>
      </c>
      <c r="G137" t="s">
        <v>740</v>
      </c>
      <c r="H137" t="s">
        <v>14</v>
      </c>
      <c r="I137">
        <v>2.4863548627704801E-2</v>
      </c>
      <c r="J137" t="s">
        <v>6</v>
      </c>
      <c r="L137" t="s">
        <v>741</v>
      </c>
      <c r="M137" t="s">
        <v>14</v>
      </c>
      <c r="N137">
        <v>6.2577904931692102E-2</v>
      </c>
      <c r="O137" t="s">
        <v>6</v>
      </c>
    </row>
    <row r="138" spans="2:15" x14ac:dyDescent="0.45">
      <c r="B138" t="s">
        <v>739</v>
      </c>
      <c r="C138" t="s">
        <v>15</v>
      </c>
      <c r="D138">
        <v>0.28598591780652971</v>
      </c>
      <c r="E138" t="s">
        <v>6</v>
      </c>
      <c r="G138" t="s">
        <v>740</v>
      </c>
      <c r="H138" t="s">
        <v>15</v>
      </c>
      <c r="I138">
        <v>5.0947737520724561E-2</v>
      </c>
      <c r="J138" t="s">
        <v>6</v>
      </c>
      <c r="L138" t="s">
        <v>741</v>
      </c>
      <c r="M138" t="s">
        <v>15</v>
      </c>
      <c r="N138">
        <v>9.2515896147078197E-2</v>
      </c>
      <c r="O138" t="s">
        <v>6</v>
      </c>
    </row>
    <row r="139" spans="2:15" x14ac:dyDescent="0.45">
      <c r="B139" t="s">
        <v>739</v>
      </c>
      <c r="C139" t="s">
        <v>16</v>
      </c>
      <c r="D139">
        <v>2.9334069117204788E-2</v>
      </c>
      <c r="E139" t="s">
        <v>6</v>
      </c>
      <c r="G139" t="s">
        <v>740</v>
      </c>
      <c r="H139" t="s">
        <v>16</v>
      </c>
      <c r="I139">
        <v>2.6150704422480464E-2</v>
      </c>
      <c r="J139" t="s">
        <v>6</v>
      </c>
      <c r="L139" t="s">
        <v>741</v>
      </c>
      <c r="M139" t="s">
        <v>16</v>
      </c>
      <c r="N139">
        <v>5.3042283405947167E-2</v>
      </c>
      <c r="O139" t="s">
        <v>6</v>
      </c>
    </row>
    <row r="140" spans="2:15" x14ac:dyDescent="0.45">
      <c r="B140" t="s">
        <v>739</v>
      </c>
      <c r="C140" t="s">
        <v>17</v>
      </c>
      <c r="D140">
        <v>0</v>
      </c>
      <c r="E140" t="s">
        <v>6</v>
      </c>
      <c r="G140" t="s">
        <v>740</v>
      </c>
      <c r="H140" t="s">
        <v>17</v>
      </c>
      <c r="I140">
        <v>8.5276645497392875E-2</v>
      </c>
      <c r="J140" t="s">
        <v>6</v>
      </c>
      <c r="L140" t="s">
        <v>741</v>
      </c>
      <c r="M140" t="s">
        <v>17</v>
      </c>
      <c r="N140">
        <v>5.9612417845652459E-2</v>
      </c>
      <c r="O140" t="s">
        <v>6</v>
      </c>
    </row>
    <row r="141" spans="2:15" x14ac:dyDescent="0.45">
      <c r="B141" t="s">
        <v>739</v>
      </c>
      <c r="C141" t="s">
        <v>18</v>
      </c>
      <c r="D141">
        <v>0.23116561539454164</v>
      </c>
      <c r="E141" t="s">
        <v>6</v>
      </c>
      <c r="G141" t="s">
        <v>740</v>
      </c>
      <c r="H141" t="s">
        <v>18</v>
      </c>
      <c r="I141">
        <v>0.11298400071953313</v>
      </c>
      <c r="J141" t="s">
        <v>6</v>
      </c>
      <c r="L141" t="s">
        <v>741</v>
      </c>
      <c r="M141" t="s">
        <v>18</v>
      </c>
      <c r="N141">
        <v>7.9455802853847929E-2</v>
      </c>
      <c r="O141" t="s">
        <v>6</v>
      </c>
    </row>
    <row r="142" spans="2:15" x14ac:dyDescent="0.45">
      <c r="B142" t="s">
        <v>739</v>
      </c>
      <c r="C142" t="s">
        <v>19</v>
      </c>
      <c r="D142">
        <v>1.0600738112757668E-2</v>
      </c>
      <c r="E142" t="s">
        <v>6</v>
      </c>
      <c r="G142" t="s">
        <v>740</v>
      </c>
      <c r="H142" t="s">
        <v>19</v>
      </c>
      <c r="I142">
        <v>6.4744124940465345E-2</v>
      </c>
      <c r="J142" t="s">
        <v>6</v>
      </c>
      <c r="L142" t="s">
        <v>741</v>
      </c>
      <c r="M142" t="s">
        <v>19</v>
      </c>
      <c r="N142">
        <v>4.9641812984600998E-2</v>
      </c>
      <c r="O142" t="s">
        <v>6</v>
      </c>
    </row>
    <row r="143" spans="2:15" x14ac:dyDescent="0.45">
      <c r="B143" t="s">
        <v>742</v>
      </c>
      <c r="C143" t="s">
        <v>5</v>
      </c>
      <c r="D143">
        <v>0</v>
      </c>
      <c r="E143" t="s">
        <v>6</v>
      </c>
      <c r="G143" t="s">
        <v>743</v>
      </c>
      <c r="H143" t="s">
        <v>5</v>
      </c>
      <c r="I143">
        <v>0.10082993889503353</v>
      </c>
      <c r="J143" t="s">
        <v>6</v>
      </c>
      <c r="L143" t="s">
        <v>744</v>
      </c>
      <c r="M143" t="s">
        <v>5</v>
      </c>
      <c r="N143">
        <v>0.10482503263197557</v>
      </c>
      <c r="O143" t="s">
        <v>6</v>
      </c>
    </row>
    <row r="144" spans="2:15" x14ac:dyDescent="0.45">
      <c r="B144" t="s">
        <v>742</v>
      </c>
      <c r="C144" t="s">
        <v>9</v>
      </c>
      <c r="D144">
        <v>0.18220869821398586</v>
      </c>
      <c r="E144" t="s">
        <v>6</v>
      </c>
      <c r="G144" t="s">
        <v>743</v>
      </c>
      <c r="H144" t="s">
        <v>9</v>
      </c>
      <c r="I144">
        <v>0.11475521468898432</v>
      </c>
      <c r="J144" t="s">
        <v>6</v>
      </c>
      <c r="L144" t="s">
        <v>744</v>
      </c>
      <c r="M144" t="s">
        <v>9</v>
      </c>
      <c r="N144">
        <v>0.13111274736054698</v>
      </c>
      <c r="O144" t="s">
        <v>6</v>
      </c>
    </row>
    <row r="145" spans="2:15" x14ac:dyDescent="0.45">
      <c r="B145" t="s">
        <v>742</v>
      </c>
      <c r="C145" t="s">
        <v>10</v>
      </c>
      <c r="D145">
        <v>1.0849538921113349E-2</v>
      </c>
      <c r="E145" t="s">
        <v>6</v>
      </c>
      <c r="G145" t="s">
        <v>743</v>
      </c>
      <c r="H145" t="s">
        <v>10</v>
      </c>
      <c r="I145">
        <v>7.8937366003166878E-2</v>
      </c>
      <c r="J145" t="s">
        <v>6</v>
      </c>
      <c r="L145" t="s">
        <v>744</v>
      </c>
      <c r="M145" t="s">
        <v>10</v>
      </c>
      <c r="N145">
        <v>8.3416226616949959E-2</v>
      </c>
      <c r="O145" t="s">
        <v>6</v>
      </c>
    </row>
    <row r="146" spans="2:15" x14ac:dyDescent="0.45">
      <c r="B146" t="s">
        <v>742</v>
      </c>
      <c r="C146" t="s">
        <v>11</v>
      </c>
      <c r="D146">
        <v>5.9177862739274897E-5</v>
      </c>
      <c r="E146" t="s">
        <v>6</v>
      </c>
      <c r="G146" t="s">
        <v>743</v>
      </c>
      <c r="H146" t="s">
        <v>11</v>
      </c>
      <c r="I146">
        <v>9.5001026674522482E-2</v>
      </c>
      <c r="J146" t="s">
        <v>6</v>
      </c>
      <c r="L146" t="s">
        <v>744</v>
      </c>
      <c r="M146" t="s">
        <v>11</v>
      </c>
      <c r="N146">
        <v>9.410710314654841E-2</v>
      </c>
      <c r="O146" t="s">
        <v>6</v>
      </c>
    </row>
    <row r="147" spans="2:15" x14ac:dyDescent="0.45">
      <c r="B147" t="s">
        <v>742</v>
      </c>
      <c r="C147" t="s">
        <v>12</v>
      </c>
      <c r="D147">
        <v>0.24058471562405298</v>
      </c>
      <c r="E147" t="s">
        <v>6</v>
      </c>
      <c r="G147" t="s">
        <v>743</v>
      </c>
      <c r="H147" t="s">
        <v>12</v>
      </c>
      <c r="I147">
        <v>0.13419328248897469</v>
      </c>
      <c r="J147" t="s">
        <v>6</v>
      </c>
      <c r="L147" t="s">
        <v>744</v>
      </c>
      <c r="M147" t="s">
        <v>12</v>
      </c>
      <c r="N147">
        <v>0.12489951914422229</v>
      </c>
      <c r="O147" t="s">
        <v>6</v>
      </c>
    </row>
    <row r="148" spans="2:15" x14ac:dyDescent="0.45">
      <c r="B148" t="s">
        <v>742</v>
      </c>
      <c r="C148" t="s">
        <v>13</v>
      </c>
      <c r="D148">
        <v>2.3877056363163843E-2</v>
      </c>
      <c r="E148" t="s">
        <v>6</v>
      </c>
      <c r="G148" t="s">
        <v>743</v>
      </c>
      <c r="H148" t="s">
        <v>13</v>
      </c>
      <c r="I148">
        <v>8.4538972265945311E-2</v>
      </c>
      <c r="J148" t="s">
        <v>6</v>
      </c>
      <c r="L148" t="s">
        <v>744</v>
      </c>
      <c r="M148" t="s">
        <v>13</v>
      </c>
      <c r="N148">
        <v>8.0038855239636733E-2</v>
      </c>
      <c r="O148" t="s">
        <v>6</v>
      </c>
    </row>
    <row r="149" spans="2:15" x14ac:dyDescent="0.45">
      <c r="B149" t="s">
        <v>742</v>
      </c>
      <c r="C149" t="s">
        <v>14</v>
      </c>
      <c r="D149">
        <v>1.7154084241942185E-4</v>
      </c>
      <c r="E149" t="s">
        <v>6</v>
      </c>
      <c r="G149" t="s">
        <v>743</v>
      </c>
      <c r="H149" t="s">
        <v>14</v>
      </c>
      <c r="I149">
        <v>6.8212309296446019E-2</v>
      </c>
      <c r="J149" t="s">
        <v>6</v>
      </c>
      <c r="L149" t="s">
        <v>744</v>
      </c>
      <c r="M149" t="s">
        <v>14</v>
      </c>
      <c r="N149">
        <v>5.9756416841387792E-2</v>
      </c>
      <c r="O149" t="s">
        <v>6</v>
      </c>
    </row>
    <row r="150" spans="2:15" x14ac:dyDescent="0.45">
      <c r="B150" t="s">
        <v>742</v>
      </c>
      <c r="C150" t="s">
        <v>15</v>
      </c>
      <c r="D150">
        <v>0.27627533958823264</v>
      </c>
      <c r="E150" t="s">
        <v>6</v>
      </c>
      <c r="G150" t="s">
        <v>743</v>
      </c>
      <c r="H150" t="s">
        <v>15</v>
      </c>
      <c r="I150">
        <v>3.9433428801674705E-2</v>
      </c>
      <c r="J150" t="s">
        <v>6</v>
      </c>
      <c r="L150" t="s">
        <v>744</v>
      </c>
      <c r="M150" t="s">
        <v>15</v>
      </c>
      <c r="N150">
        <v>8.1250634192884266E-2</v>
      </c>
      <c r="O150" t="s">
        <v>6</v>
      </c>
    </row>
    <row r="151" spans="2:15" x14ac:dyDescent="0.45">
      <c r="B151" t="s">
        <v>742</v>
      </c>
      <c r="C151" t="s">
        <v>16</v>
      </c>
      <c r="D151">
        <v>3.2831868028169439E-2</v>
      </c>
      <c r="E151" t="s">
        <v>6</v>
      </c>
      <c r="G151" t="s">
        <v>743</v>
      </c>
      <c r="H151" t="s">
        <v>16</v>
      </c>
      <c r="I151">
        <v>4.8396363988681704E-2</v>
      </c>
      <c r="J151" t="s">
        <v>6</v>
      </c>
      <c r="L151" t="s">
        <v>744</v>
      </c>
      <c r="M151" t="s">
        <v>16</v>
      </c>
      <c r="N151">
        <v>4.5853243662751016E-2</v>
      </c>
      <c r="O151" t="s">
        <v>6</v>
      </c>
    </row>
    <row r="152" spans="2:15" x14ac:dyDescent="0.45">
      <c r="B152" t="s">
        <v>742</v>
      </c>
      <c r="C152" t="s">
        <v>17</v>
      </c>
      <c r="D152">
        <v>0</v>
      </c>
      <c r="E152" t="s">
        <v>6</v>
      </c>
      <c r="G152" t="s">
        <v>743</v>
      </c>
      <c r="H152" t="s">
        <v>17</v>
      </c>
      <c r="I152">
        <v>8.3592710898792069E-2</v>
      </c>
      <c r="J152" t="s">
        <v>6</v>
      </c>
      <c r="L152" t="s">
        <v>744</v>
      </c>
      <c r="M152" t="s">
        <v>17</v>
      </c>
      <c r="N152">
        <v>6.183735835636648E-2</v>
      </c>
      <c r="O152" t="s">
        <v>6</v>
      </c>
    </row>
    <row r="153" spans="2:15" x14ac:dyDescent="0.45">
      <c r="B153" t="s">
        <v>742</v>
      </c>
      <c r="C153" t="s">
        <v>18</v>
      </c>
      <c r="D153">
        <v>0.22078853363829931</v>
      </c>
      <c r="E153" t="s">
        <v>6</v>
      </c>
      <c r="G153" t="s">
        <v>743</v>
      </c>
      <c r="H153" t="s">
        <v>18</v>
      </c>
      <c r="I153">
        <v>8.6885256265882699E-2</v>
      </c>
      <c r="J153" t="s">
        <v>6</v>
      </c>
      <c r="L153" t="s">
        <v>744</v>
      </c>
      <c r="M153" t="s">
        <v>18</v>
      </c>
      <c r="N153">
        <v>8.1266224996692324E-2</v>
      </c>
      <c r="O153" t="s">
        <v>6</v>
      </c>
    </row>
    <row r="154" spans="2:15" x14ac:dyDescent="0.45">
      <c r="B154" t="s">
        <v>742</v>
      </c>
      <c r="C154" t="s">
        <v>19</v>
      </c>
      <c r="D154">
        <v>1.2353530917825838E-2</v>
      </c>
      <c r="E154" t="s">
        <v>6</v>
      </c>
      <c r="G154" t="s">
        <v>743</v>
      </c>
      <c r="H154" t="s">
        <v>19</v>
      </c>
      <c r="I154">
        <v>6.5224129731897826E-2</v>
      </c>
      <c r="J154" t="s">
        <v>6</v>
      </c>
      <c r="L154" t="s">
        <v>744</v>
      </c>
      <c r="M154" t="s">
        <v>19</v>
      </c>
      <c r="N154">
        <v>5.1636637810042386E-2</v>
      </c>
      <c r="O154" t="s">
        <v>6</v>
      </c>
    </row>
    <row r="155" spans="2:15" x14ac:dyDescent="0.45">
      <c r="B155" t="s">
        <v>745</v>
      </c>
      <c r="C155" t="s">
        <v>5</v>
      </c>
      <c r="D155">
        <v>0</v>
      </c>
      <c r="E155" t="s">
        <v>6</v>
      </c>
      <c r="G155" t="s">
        <v>746</v>
      </c>
      <c r="H155" t="s">
        <v>5</v>
      </c>
      <c r="I155">
        <v>0.11475698070353002</v>
      </c>
      <c r="J155" t="s">
        <v>6</v>
      </c>
      <c r="L155" t="s">
        <v>747</v>
      </c>
      <c r="M155" t="s">
        <v>5</v>
      </c>
      <c r="N155">
        <v>0.10261049083153793</v>
      </c>
      <c r="O155" t="s">
        <v>6</v>
      </c>
    </row>
    <row r="156" spans="2:15" x14ac:dyDescent="0.45">
      <c r="B156" t="s">
        <v>745</v>
      </c>
      <c r="C156" t="s">
        <v>9</v>
      </c>
      <c r="D156">
        <v>0.18059650199161981</v>
      </c>
      <c r="E156" t="s">
        <v>6</v>
      </c>
      <c r="G156" t="s">
        <v>746</v>
      </c>
      <c r="H156" t="s">
        <v>9</v>
      </c>
      <c r="I156">
        <v>0.13132776969671658</v>
      </c>
      <c r="J156" t="s">
        <v>6</v>
      </c>
      <c r="L156" t="s">
        <v>747</v>
      </c>
      <c r="M156" t="s">
        <v>9</v>
      </c>
      <c r="N156">
        <v>0.10521634657968433</v>
      </c>
      <c r="O156" t="s">
        <v>6</v>
      </c>
    </row>
    <row r="157" spans="2:15" x14ac:dyDescent="0.45">
      <c r="B157" t="s">
        <v>745</v>
      </c>
      <c r="C157" t="s">
        <v>10</v>
      </c>
      <c r="D157">
        <v>1.1164828370644376E-2</v>
      </c>
      <c r="E157" t="s">
        <v>6</v>
      </c>
      <c r="G157" t="s">
        <v>746</v>
      </c>
      <c r="H157" t="s">
        <v>10</v>
      </c>
      <c r="I157">
        <v>8.5768686747049599E-2</v>
      </c>
      <c r="J157" t="s">
        <v>6</v>
      </c>
      <c r="L157" t="s">
        <v>747</v>
      </c>
      <c r="M157" t="s">
        <v>10</v>
      </c>
      <c r="N157">
        <v>7.3388090650809396E-2</v>
      </c>
      <c r="O157" t="s">
        <v>6</v>
      </c>
    </row>
    <row r="158" spans="2:15" x14ac:dyDescent="0.45">
      <c r="B158" t="s">
        <v>745</v>
      </c>
      <c r="C158" t="s">
        <v>11</v>
      </c>
      <c r="D158">
        <v>5.7453769189329079E-5</v>
      </c>
      <c r="E158" t="s">
        <v>6</v>
      </c>
      <c r="G158" t="s">
        <v>746</v>
      </c>
      <c r="H158" t="s">
        <v>11</v>
      </c>
      <c r="I158">
        <v>9.1092017769232425E-2</v>
      </c>
      <c r="J158" t="s">
        <v>6</v>
      </c>
      <c r="L158" t="s">
        <v>747</v>
      </c>
      <c r="M158" t="s">
        <v>11</v>
      </c>
      <c r="N158">
        <v>0.11038441957012865</v>
      </c>
      <c r="O158" t="s">
        <v>6</v>
      </c>
    </row>
    <row r="159" spans="2:15" x14ac:dyDescent="0.45">
      <c r="B159" t="s">
        <v>745</v>
      </c>
      <c r="C159" t="s">
        <v>12</v>
      </c>
      <c r="D159">
        <v>0.23574399183039194</v>
      </c>
      <c r="E159" t="s">
        <v>6</v>
      </c>
      <c r="G159" t="s">
        <v>746</v>
      </c>
      <c r="H159" t="s">
        <v>12</v>
      </c>
      <c r="I159">
        <v>0.12853749140583334</v>
      </c>
      <c r="J159" t="s">
        <v>6</v>
      </c>
      <c r="L159" t="s">
        <v>747</v>
      </c>
      <c r="M159" t="s">
        <v>12</v>
      </c>
      <c r="N159">
        <v>0.12733093876426174</v>
      </c>
      <c r="O159" t="s">
        <v>6</v>
      </c>
    </row>
    <row r="160" spans="2:15" x14ac:dyDescent="0.45">
      <c r="B160" t="s">
        <v>745</v>
      </c>
      <c r="C160" t="s">
        <v>13</v>
      </c>
      <c r="D160">
        <v>2.4119796211913531E-2</v>
      </c>
      <c r="E160" t="s">
        <v>6</v>
      </c>
      <c r="G160" t="s">
        <v>746</v>
      </c>
      <c r="H160" t="s">
        <v>13</v>
      </c>
      <c r="I160">
        <v>8.3777135253313845E-2</v>
      </c>
      <c r="J160" t="s">
        <v>6</v>
      </c>
      <c r="L160" t="s">
        <v>747</v>
      </c>
      <c r="M160" t="s">
        <v>13</v>
      </c>
      <c r="N160">
        <v>9.6072271107196724E-2</v>
      </c>
      <c r="O160" t="s">
        <v>6</v>
      </c>
    </row>
    <row r="161" spans="2:15" x14ac:dyDescent="0.45">
      <c r="B161" t="s">
        <v>745</v>
      </c>
      <c r="C161" t="s">
        <v>14</v>
      </c>
      <c r="D161">
        <v>1.6717217197229642E-4</v>
      </c>
      <c r="E161" t="s">
        <v>6</v>
      </c>
      <c r="G161" t="s">
        <v>746</v>
      </c>
      <c r="H161" t="s">
        <v>14</v>
      </c>
      <c r="I161">
        <v>5.2917610818801579E-2</v>
      </c>
      <c r="J161" t="s">
        <v>6</v>
      </c>
      <c r="L161" t="s">
        <v>747</v>
      </c>
      <c r="M161" t="s">
        <v>14</v>
      </c>
      <c r="N161">
        <v>6.5450008856356087E-2</v>
      </c>
      <c r="O161" t="s">
        <v>6</v>
      </c>
    </row>
    <row r="162" spans="2:15" x14ac:dyDescent="0.45">
      <c r="B162" t="s">
        <v>745</v>
      </c>
      <c r="C162" t="s">
        <v>15</v>
      </c>
      <c r="D162">
        <v>0.28130958583760157</v>
      </c>
      <c r="E162" t="s">
        <v>6</v>
      </c>
      <c r="G162" t="s">
        <v>746</v>
      </c>
      <c r="H162" t="s">
        <v>15</v>
      </c>
      <c r="I162">
        <v>3.6088108016184138E-2</v>
      </c>
      <c r="J162" t="s">
        <v>6</v>
      </c>
      <c r="L162" t="s">
        <v>747</v>
      </c>
      <c r="M162" t="s">
        <v>15</v>
      </c>
      <c r="N162">
        <v>5.6401071051494125E-2</v>
      </c>
      <c r="O162" t="s">
        <v>6</v>
      </c>
    </row>
    <row r="163" spans="2:15" x14ac:dyDescent="0.45">
      <c r="B163" t="s">
        <v>745</v>
      </c>
      <c r="C163" t="s">
        <v>16</v>
      </c>
      <c r="D163">
        <v>3.4339727425225897E-2</v>
      </c>
      <c r="E163" t="s">
        <v>6</v>
      </c>
      <c r="G163" t="s">
        <v>746</v>
      </c>
      <c r="H163" t="s">
        <v>16</v>
      </c>
      <c r="I163">
        <v>5.7030398196800051E-2</v>
      </c>
      <c r="J163" t="s">
        <v>6</v>
      </c>
      <c r="L163" t="s">
        <v>747</v>
      </c>
      <c r="M163" t="s">
        <v>16</v>
      </c>
      <c r="N163">
        <v>6.7340136146990554E-2</v>
      </c>
      <c r="O163" t="s">
        <v>6</v>
      </c>
    </row>
    <row r="164" spans="2:15" x14ac:dyDescent="0.45">
      <c r="B164" t="s">
        <v>745</v>
      </c>
      <c r="C164" t="s">
        <v>17</v>
      </c>
      <c r="D164">
        <v>0</v>
      </c>
      <c r="E164" t="s">
        <v>6</v>
      </c>
      <c r="G164" t="s">
        <v>746</v>
      </c>
      <c r="H164" t="s">
        <v>17</v>
      </c>
      <c r="I164">
        <v>6.8244723781343122E-2</v>
      </c>
      <c r="J164" t="s">
        <v>6</v>
      </c>
      <c r="L164" t="s">
        <v>747</v>
      </c>
      <c r="M164" t="s">
        <v>17</v>
      </c>
      <c r="N164">
        <v>6.8183460902979595E-2</v>
      </c>
      <c r="O164" t="s">
        <v>6</v>
      </c>
    </row>
    <row r="165" spans="2:15" x14ac:dyDescent="0.45">
      <c r="B165" t="s">
        <v>745</v>
      </c>
      <c r="C165" t="s">
        <v>18</v>
      </c>
      <c r="D165">
        <v>0.21987471271055101</v>
      </c>
      <c r="E165" t="s">
        <v>6</v>
      </c>
      <c r="G165" t="s">
        <v>746</v>
      </c>
      <c r="H165" t="s">
        <v>18</v>
      </c>
      <c r="I165">
        <v>8.8191970136036274E-2</v>
      </c>
      <c r="J165" t="s">
        <v>6</v>
      </c>
      <c r="L165" t="s">
        <v>747</v>
      </c>
      <c r="M165" t="s">
        <v>18</v>
      </c>
      <c r="N165">
        <v>7.2351943803819985E-2</v>
      </c>
      <c r="O165" t="s">
        <v>6</v>
      </c>
    </row>
    <row r="166" spans="2:15" x14ac:dyDescent="0.45">
      <c r="B166" t="s">
        <v>745</v>
      </c>
      <c r="C166" t="s">
        <v>19</v>
      </c>
      <c r="D166">
        <v>1.2626229680890999E-2</v>
      </c>
      <c r="E166" t="s">
        <v>6</v>
      </c>
      <c r="G166" t="s">
        <v>746</v>
      </c>
      <c r="H166" t="s">
        <v>19</v>
      </c>
      <c r="I166">
        <v>6.2267107475153786E-2</v>
      </c>
      <c r="J166" t="s">
        <v>6</v>
      </c>
      <c r="L166" t="s">
        <v>747</v>
      </c>
      <c r="M166" t="s">
        <v>19</v>
      </c>
      <c r="N166">
        <v>5.527082173473926E-2</v>
      </c>
      <c r="O166" t="s">
        <v>6</v>
      </c>
    </row>
    <row r="167" spans="2:15" x14ac:dyDescent="0.45">
      <c r="B167" t="s">
        <v>748</v>
      </c>
      <c r="C167" t="s">
        <v>5</v>
      </c>
      <c r="D167">
        <v>0</v>
      </c>
      <c r="E167" t="s">
        <v>6</v>
      </c>
      <c r="G167" t="s">
        <v>749</v>
      </c>
      <c r="H167" t="s">
        <v>5</v>
      </c>
      <c r="I167">
        <v>0.10176676857611835</v>
      </c>
      <c r="J167" t="s">
        <v>6</v>
      </c>
      <c r="L167" t="s">
        <v>750</v>
      </c>
      <c r="M167" t="s">
        <v>5</v>
      </c>
      <c r="N167">
        <v>9.2146694301388485E-2</v>
      </c>
      <c r="O167" t="s">
        <v>6</v>
      </c>
    </row>
    <row r="168" spans="2:15" x14ac:dyDescent="0.45">
      <c r="B168" t="s">
        <v>748</v>
      </c>
      <c r="C168" t="s">
        <v>9</v>
      </c>
      <c r="D168">
        <v>0.16760562148532274</v>
      </c>
      <c r="E168" t="s">
        <v>6</v>
      </c>
      <c r="G168" t="s">
        <v>749</v>
      </c>
      <c r="H168" t="s">
        <v>9</v>
      </c>
      <c r="I168">
        <v>0.11798062579066218</v>
      </c>
      <c r="J168" t="s">
        <v>6</v>
      </c>
      <c r="L168" t="s">
        <v>750</v>
      </c>
      <c r="M168" t="s">
        <v>9</v>
      </c>
      <c r="N168">
        <v>0.10506100458913363</v>
      </c>
      <c r="O168" t="s">
        <v>6</v>
      </c>
    </row>
    <row r="169" spans="2:15" x14ac:dyDescent="0.45">
      <c r="B169" t="s">
        <v>748</v>
      </c>
      <c r="C169" t="s">
        <v>10</v>
      </c>
      <c r="D169">
        <v>9.1213761739266288E-3</v>
      </c>
      <c r="E169" t="s">
        <v>6</v>
      </c>
      <c r="G169" t="s">
        <v>749</v>
      </c>
      <c r="H169" t="s">
        <v>10</v>
      </c>
      <c r="I169">
        <v>7.5949958308652019E-2</v>
      </c>
      <c r="J169" t="s">
        <v>6</v>
      </c>
      <c r="L169" t="s">
        <v>750</v>
      </c>
      <c r="M169" t="s">
        <v>10</v>
      </c>
      <c r="N169">
        <v>7.0534456662839168E-2</v>
      </c>
      <c r="O169" t="s">
        <v>6</v>
      </c>
    </row>
    <row r="170" spans="2:15" x14ac:dyDescent="0.45">
      <c r="B170" t="s">
        <v>748</v>
      </c>
      <c r="C170" t="s">
        <v>11</v>
      </c>
      <c r="D170">
        <v>9.6443061286601429E-5</v>
      </c>
      <c r="E170" t="s">
        <v>6</v>
      </c>
      <c r="G170" t="s">
        <v>749</v>
      </c>
      <c r="H170" t="s">
        <v>11</v>
      </c>
      <c r="I170">
        <v>9.3724046058529714E-2</v>
      </c>
      <c r="J170" t="s">
        <v>6</v>
      </c>
      <c r="L170" t="s">
        <v>750</v>
      </c>
      <c r="M170" t="s">
        <v>11</v>
      </c>
      <c r="N170">
        <v>9.1549930049638475E-2</v>
      </c>
      <c r="O170" t="s">
        <v>6</v>
      </c>
    </row>
    <row r="171" spans="2:15" x14ac:dyDescent="0.45">
      <c r="B171" t="s">
        <v>748</v>
      </c>
      <c r="C171" t="s">
        <v>12</v>
      </c>
      <c r="D171">
        <v>0.23249848879073629</v>
      </c>
      <c r="E171" t="s">
        <v>6</v>
      </c>
      <c r="G171" t="s">
        <v>749</v>
      </c>
      <c r="H171" t="s">
        <v>12</v>
      </c>
      <c r="I171">
        <v>0.11769448133024149</v>
      </c>
      <c r="J171" t="s">
        <v>6</v>
      </c>
      <c r="L171" t="s">
        <v>750</v>
      </c>
      <c r="M171" t="s">
        <v>12</v>
      </c>
      <c r="N171">
        <v>0.10783176618625841</v>
      </c>
      <c r="O171" t="s">
        <v>6</v>
      </c>
    </row>
    <row r="172" spans="2:15" x14ac:dyDescent="0.45">
      <c r="B172" t="s">
        <v>748</v>
      </c>
      <c r="C172" t="s">
        <v>13</v>
      </c>
      <c r="D172">
        <v>2.3803007609353943E-2</v>
      </c>
      <c r="E172" t="s">
        <v>6</v>
      </c>
      <c r="G172" t="s">
        <v>749</v>
      </c>
      <c r="H172" t="s">
        <v>13</v>
      </c>
      <c r="I172">
        <v>7.909758065194987E-2</v>
      </c>
      <c r="J172" t="s">
        <v>6</v>
      </c>
      <c r="L172" t="s">
        <v>750</v>
      </c>
      <c r="M172" t="s">
        <v>13</v>
      </c>
      <c r="N172">
        <v>7.3715843397401976E-2</v>
      </c>
      <c r="O172" t="s">
        <v>6</v>
      </c>
    </row>
    <row r="173" spans="2:15" x14ac:dyDescent="0.45">
      <c r="B173" t="s">
        <v>748</v>
      </c>
      <c r="C173" t="s">
        <v>14</v>
      </c>
      <c r="D173">
        <v>2.6449936130788944E-4</v>
      </c>
      <c r="E173" t="s">
        <v>6</v>
      </c>
      <c r="G173" t="s">
        <v>749</v>
      </c>
      <c r="H173" t="s">
        <v>14</v>
      </c>
      <c r="I173">
        <v>6.8840922922517853E-2</v>
      </c>
      <c r="J173" t="s">
        <v>6</v>
      </c>
      <c r="L173" t="s">
        <v>750</v>
      </c>
      <c r="M173" t="s">
        <v>14</v>
      </c>
      <c r="N173">
        <v>8.4725166662032142E-2</v>
      </c>
      <c r="O173" t="s">
        <v>6</v>
      </c>
    </row>
    <row r="174" spans="2:15" x14ac:dyDescent="0.45">
      <c r="B174" t="s">
        <v>748</v>
      </c>
      <c r="C174" t="s">
        <v>15</v>
      </c>
      <c r="D174">
        <v>0.29827020184900283</v>
      </c>
      <c r="E174" t="s">
        <v>6</v>
      </c>
      <c r="G174" t="s">
        <v>749</v>
      </c>
      <c r="H174" t="s">
        <v>15</v>
      </c>
      <c r="I174">
        <v>4.3479895795262735E-2</v>
      </c>
      <c r="J174" t="s">
        <v>6</v>
      </c>
      <c r="L174" t="s">
        <v>750</v>
      </c>
      <c r="M174" t="s">
        <v>15</v>
      </c>
      <c r="N174">
        <v>9.1165663257518556E-2</v>
      </c>
      <c r="O174" t="s">
        <v>6</v>
      </c>
    </row>
    <row r="175" spans="2:15" x14ac:dyDescent="0.45">
      <c r="B175" t="s">
        <v>748</v>
      </c>
      <c r="C175" t="s">
        <v>16</v>
      </c>
      <c r="D175">
        <v>3.5848927826137453E-2</v>
      </c>
      <c r="E175" t="s">
        <v>6</v>
      </c>
      <c r="G175" t="s">
        <v>749</v>
      </c>
      <c r="H175" t="s">
        <v>16</v>
      </c>
      <c r="I175">
        <v>6.5452216654918807E-2</v>
      </c>
      <c r="J175" t="s">
        <v>6</v>
      </c>
      <c r="L175" t="s">
        <v>750</v>
      </c>
      <c r="M175" t="s">
        <v>16</v>
      </c>
      <c r="N175">
        <v>6.9768892166746518E-2</v>
      </c>
      <c r="O175" t="s">
        <v>6</v>
      </c>
    </row>
    <row r="176" spans="2:15" x14ac:dyDescent="0.45">
      <c r="B176" t="s">
        <v>748</v>
      </c>
      <c r="C176" t="s">
        <v>17</v>
      </c>
      <c r="D176">
        <v>0</v>
      </c>
      <c r="E176" t="s">
        <v>6</v>
      </c>
      <c r="G176" t="s">
        <v>749</v>
      </c>
      <c r="H176" t="s">
        <v>17</v>
      </c>
      <c r="I176">
        <v>7.9020455208300269E-2</v>
      </c>
      <c r="J176" t="s">
        <v>6</v>
      </c>
      <c r="L176" t="s">
        <v>750</v>
      </c>
      <c r="M176" t="s">
        <v>17</v>
      </c>
      <c r="N176">
        <v>7.3197715666929467E-2</v>
      </c>
      <c r="O176" t="s">
        <v>6</v>
      </c>
    </row>
    <row r="177" spans="2:15" x14ac:dyDescent="0.45">
      <c r="B177" t="s">
        <v>748</v>
      </c>
      <c r="C177" t="s">
        <v>18</v>
      </c>
      <c r="D177">
        <v>0.21997219257607431</v>
      </c>
      <c r="E177" t="s">
        <v>6</v>
      </c>
      <c r="G177" t="s">
        <v>749</v>
      </c>
      <c r="H177" t="s">
        <v>18</v>
      </c>
      <c r="I177">
        <v>9.2249547974447094E-2</v>
      </c>
      <c r="J177" t="s">
        <v>6</v>
      </c>
      <c r="L177" t="s">
        <v>750</v>
      </c>
      <c r="M177" t="s">
        <v>18</v>
      </c>
      <c r="N177">
        <v>8.3181314106804252E-2</v>
      </c>
      <c r="O177" t="s">
        <v>6</v>
      </c>
    </row>
    <row r="178" spans="2:15" x14ac:dyDescent="0.45">
      <c r="B178" t="s">
        <v>748</v>
      </c>
      <c r="C178" t="s">
        <v>19</v>
      </c>
      <c r="D178">
        <v>1.2519241266853515E-2</v>
      </c>
      <c r="E178" t="s">
        <v>6</v>
      </c>
      <c r="G178" t="s">
        <v>749</v>
      </c>
      <c r="H178" t="s">
        <v>19</v>
      </c>
      <c r="I178">
        <v>6.4743500728396061E-2</v>
      </c>
      <c r="J178" t="s">
        <v>6</v>
      </c>
      <c r="L178" t="s">
        <v>750</v>
      </c>
      <c r="M178" t="s">
        <v>19</v>
      </c>
      <c r="N178">
        <v>5.7121552953308785E-2</v>
      </c>
      <c r="O178" t="s">
        <v>6</v>
      </c>
    </row>
    <row r="179" spans="2:15" x14ac:dyDescent="0.45">
      <c r="B179" t="s">
        <v>751</v>
      </c>
      <c r="C179" t="s">
        <v>5</v>
      </c>
      <c r="D179">
        <v>0</v>
      </c>
      <c r="E179" t="s">
        <v>6</v>
      </c>
      <c r="G179" t="s">
        <v>752</v>
      </c>
      <c r="H179" t="s">
        <v>5</v>
      </c>
      <c r="I179">
        <v>9.0089220429896838E-2</v>
      </c>
      <c r="J179" t="s">
        <v>6</v>
      </c>
      <c r="L179" t="s">
        <v>753</v>
      </c>
      <c r="M179" t="s">
        <v>5</v>
      </c>
      <c r="N179">
        <v>8.2847197968165948E-2</v>
      </c>
      <c r="O179" t="s">
        <v>6</v>
      </c>
    </row>
    <row r="180" spans="2:15" x14ac:dyDescent="0.45">
      <c r="B180" t="s">
        <v>751</v>
      </c>
      <c r="C180" t="s">
        <v>9</v>
      </c>
      <c r="D180">
        <v>0.16972889083260423</v>
      </c>
      <c r="E180" t="s">
        <v>6</v>
      </c>
      <c r="G180" t="s">
        <v>752</v>
      </c>
      <c r="H180" t="s">
        <v>9</v>
      </c>
      <c r="I180">
        <v>0.11208884712930689</v>
      </c>
      <c r="J180" t="s">
        <v>6</v>
      </c>
      <c r="L180" t="s">
        <v>753</v>
      </c>
      <c r="M180" t="s">
        <v>9</v>
      </c>
      <c r="N180">
        <v>0.1037128507646332</v>
      </c>
      <c r="O180" t="s">
        <v>6</v>
      </c>
    </row>
    <row r="181" spans="2:15" x14ac:dyDescent="0.45">
      <c r="B181" t="s">
        <v>751</v>
      </c>
      <c r="C181" t="s">
        <v>10</v>
      </c>
      <c r="D181">
        <v>1.0006143614902646E-2</v>
      </c>
      <c r="E181" t="s">
        <v>6</v>
      </c>
      <c r="G181" t="s">
        <v>752</v>
      </c>
      <c r="H181" t="s">
        <v>10</v>
      </c>
      <c r="I181">
        <v>7.2425824225748406E-2</v>
      </c>
      <c r="J181" t="s">
        <v>6</v>
      </c>
      <c r="L181" t="s">
        <v>753</v>
      </c>
      <c r="M181" t="s">
        <v>10</v>
      </c>
      <c r="N181">
        <v>6.6623799616599505E-2</v>
      </c>
      <c r="O181" t="s">
        <v>6</v>
      </c>
    </row>
    <row r="182" spans="2:15" x14ac:dyDescent="0.45">
      <c r="B182" t="s">
        <v>751</v>
      </c>
      <c r="C182" t="s">
        <v>11</v>
      </c>
      <c r="D182">
        <v>7.4400509232937914E-5</v>
      </c>
      <c r="E182" t="s">
        <v>6</v>
      </c>
      <c r="G182" t="s">
        <v>752</v>
      </c>
      <c r="H182" t="s">
        <v>11</v>
      </c>
      <c r="I182">
        <v>7.8851983746599658E-2</v>
      </c>
      <c r="J182" t="s">
        <v>6</v>
      </c>
      <c r="L182" t="s">
        <v>753</v>
      </c>
      <c r="M182" t="s">
        <v>11</v>
      </c>
      <c r="N182">
        <v>9.2247149430223302E-2</v>
      </c>
      <c r="O182" t="s">
        <v>6</v>
      </c>
    </row>
    <row r="183" spans="2:15" x14ac:dyDescent="0.45">
      <c r="B183" t="s">
        <v>751</v>
      </c>
      <c r="C183" t="s">
        <v>12</v>
      </c>
      <c r="D183">
        <v>0.23943355524994561</v>
      </c>
      <c r="E183" t="s">
        <v>6</v>
      </c>
      <c r="G183" t="s">
        <v>752</v>
      </c>
      <c r="H183" t="s">
        <v>12</v>
      </c>
      <c r="I183">
        <v>0.12667122189797117</v>
      </c>
      <c r="J183" t="s">
        <v>6</v>
      </c>
      <c r="L183" t="s">
        <v>753</v>
      </c>
      <c r="M183" t="s">
        <v>12</v>
      </c>
      <c r="N183">
        <v>0.11789420148459755</v>
      </c>
      <c r="O183" t="s">
        <v>6</v>
      </c>
    </row>
    <row r="184" spans="2:15" x14ac:dyDescent="0.45">
      <c r="B184" t="s">
        <v>751</v>
      </c>
      <c r="C184" t="s">
        <v>13</v>
      </c>
      <c r="D184">
        <v>2.3986499254455496E-2</v>
      </c>
      <c r="E184" t="s">
        <v>6</v>
      </c>
      <c r="G184" t="s">
        <v>752</v>
      </c>
      <c r="H184" t="s">
        <v>13</v>
      </c>
      <c r="I184">
        <v>8.2664912603113899E-2</v>
      </c>
      <c r="J184" t="s">
        <v>6</v>
      </c>
      <c r="L184" t="s">
        <v>753</v>
      </c>
      <c r="M184" t="s">
        <v>13</v>
      </c>
      <c r="N184">
        <v>7.7055940484547072E-2</v>
      </c>
      <c r="O184" t="s">
        <v>6</v>
      </c>
    </row>
    <row r="185" spans="2:15" x14ac:dyDescent="0.45">
      <c r="B185" t="s">
        <v>751</v>
      </c>
      <c r="C185" t="s">
        <v>14</v>
      </c>
      <c r="D185">
        <v>2.0787787780732501E-4</v>
      </c>
      <c r="E185" t="s">
        <v>6</v>
      </c>
      <c r="G185" t="s">
        <v>752</v>
      </c>
      <c r="H185" t="s">
        <v>14</v>
      </c>
      <c r="I185">
        <v>3.80394662842099E-2</v>
      </c>
      <c r="J185" t="s">
        <v>6</v>
      </c>
      <c r="L185" t="s">
        <v>753</v>
      </c>
      <c r="M185" t="s">
        <v>14</v>
      </c>
      <c r="N185">
        <v>6.2080414553325247E-2</v>
      </c>
      <c r="O185" t="s">
        <v>6</v>
      </c>
    </row>
    <row r="186" spans="2:15" x14ac:dyDescent="0.45">
      <c r="B186" t="s">
        <v>751</v>
      </c>
      <c r="C186" t="s">
        <v>15</v>
      </c>
      <c r="D186">
        <v>0.28885278871150488</v>
      </c>
      <c r="E186" t="s">
        <v>6</v>
      </c>
      <c r="G186" t="s">
        <v>752</v>
      </c>
      <c r="H186" t="s">
        <v>15</v>
      </c>
      <c r="I186">
        <v>6.7984384314829394E-2</v>
      </c>
      <c r="J186" t="s">
        <v>6</v>
      </c>
      <c r="L186" t="s">
        <v>753</v>
      </c>
      <c r="M186" t="s">
        <v>15</v>
      </c>
      <c r="N186">
        <v>7.6783389588916395E-2</v>
      </c>
      <c r="O186" t="s">
        <v>6</v>
      </c>
    </row>
    <row r="187" spans="2:15" x14ac:dyDescent="0.45">
      <c r="B187" t="s">
        <v>751</v>
      </c>
      <c r="C187" t="s">
        <v>16</v>
      </c>
      <c r="D187">
        <v>3.553376547145827E-2</v>
      </c>
      <c r="E187" t="s">
        <v>6</v>
      </c>
      <c r="G187" t="s">
        <v>752</v>
      </c>
      <c r="H187" t="s">
        <v>16</v>
      </c>
      <c r="I187">
        <v>4.0847388993708031E-2</v>
      </c>
      <c r="J187" t="s">
        <v>6</v>
      </c>
      <c r="L187" t="s">
        <v>753</v>
      </c>
      <c r="M187" t="s">
        <v>16</v>
      </c>
      <c r="N187">
        <v>5.8254259712174586E-2</v>
      </c>
      <c r="O187" t="s">
        <v>6</v>
      </c>
    </row>
    <row r="188" spans="2:15" x14ac:dyDescent="0.45">
      <c r="B188" t="s">
        <v>751</v>
      </c>
      <c r="C188" t="s">
        <v>17</v>
      </c>
      <c r="D188">
        <v>0</v>
      </c>
      <c r="E188" t="s">
        <v>6</v>
      </c>
      <c r="G188" t="s">
        <v>752</v>
      </c>
      <c r="H188" t="s">
        <v>17</v>
      </c>
      <c r="I188">
        <v>9.3162901080686256E-2</v>
      </c>
      <c r="J188" t="s">
        <v>6</v>
      </c>
      <c r="L188" t="s">
        <v>753</v>
      </c>
      <c r="M188" t="s">
        <v>17</v>
      </c>
      <c r="N188">
        <v>8.4288445554938432E-2</v>
      </c>
      <c r="O188" t="s">
        <v>6</v>
      </c>
    </row>
    <row r="189" spans="2:15" x14ac:dyDescent="0.45">
      <c r="B189" t="s">
        <v>751</v>
      </c>
      <c r="C189" t="s">
        <v>18</v>
      </c>
      <c r="D189">
        <v>0.21928708447869585</v>
      </c>
      <c r="E189" t="s">
        <v>6</v>
      </c>
      <c r="G189" t="s">
        <v>752</v>
      </c>
      <c r="H189" t="s">
        <v>18</v>
      </c>
      <c r="I189">
        <v>0.11916239223466081</v>
      </c>
      <c r="J189" t="s">
        <v>6</v>
      </c>
      <c r="L189" t="s">
        <v>753</v>
      </c>
      <c r="M189" t="s">
        <v>18</v>
      </c>
      <c r="N189">
        <v>0.10612878160107551</v>
      </c>
      <c r="O189" t="s">
        <v>6</v>
      </c>
    </row>
    <row r="190" spans="2:15" x14ac:dyDescent="0.45">
      <c r="B190" t="s">
        <v>751</v>
      </c>
      <c r="C190" t="s">
        <v>19</v>
      </c>
      <c r="D190">
        <v>1.2888993999392013E-2</v>
      </c>
      <c r="E190" t="s">
        <v>6</v>
      </c>
      <c r="G190" t="s">
        <v>752</v>
      </c>
      <c r="H190" t="s">
        <v>19</v>
      </c>
      <c r="I190">
        <v>7.8011457059268888E-2</v>
      </c>
      <c r="J190" t="s">
        <v>6</v>
      </c>
      <c r="L190" t="s">
        <v>753</v>
      </c>
      <c r="M190" t="s">
        <v>19</v>
      </c>
      <c r="N190">
        <v>7.2083569240802225E-2</v>
      </c>
      <c r="O190" t="s">
        <v>6</v>
      </c>
    </row>
    <row r="191" spans="2:15" x14ac:dyDescent="0.45">
      <c r="B191" t="s">
        <v>754</v>
      </c>
      <c r="C191" t="s">
        <v>5</v>
      </c>
      <c r="D191">
        <v>0</v>
      </c>
      <c r="E191" t="s">
        <v>6</v>
      </c>
      <c r="G191" t="s">
        <v>755</v>
      </c>
      <c r="H191" t="s">
        <v>5</v>
      </c>
      <c r="I191">
        <v>8.787882186395872E-2</v>
      </c>
      <c r="J191" t="s">
        <v>6</v>
      </c>
      <c r="L191" t="s">
        <v>756</v>
      </c>
      <c r="M191" t="s">
        <v>5</v>
      </c>
      <c r="N191">
        <v>0.10432761997102932</v>
      </c>
      <c r="O191" t="s">
        <v>6</v>
      </c>
    </row>
    <row r="192" spans="2:15" x14ac:dyDescent="0.45">
      <c r="B192" t="s">
        <v>754</v>
      </c>
      <c r="C192" t="s">
        <v>9</v>
      </c>
      <c r="D192">
        <v>0.17786459992609319</v>
      </c>
      <c r="E192" t="s">
        <v>6</v>
      </c>
      <c r="G192" t="s">
        <v>755</v>
      </c>
      <c r="H192" t="s">
        <v>9</v>
      </c>
      <c r="I192">
        <v>0.10824109791484457</v>
      </c>
      <c r="J192" t="s">
        <v>6</v>
      </c>
      <c r="L192" t="s">
        <v>756</v>
      </c>
      <c r="M192" t="s">
        <v>9</v>
      </c>
      <c r="N192">
        <v>0.12535470936486298</v>
      </c>
      <c r="O192" t="s">
        <v>6</v>
      </c>
    </row>
    <row r="193" spans="2:15" x14ac:dyDescent="0.45">
      <c r="B193" t="s">
        <v>754</v>
      </c>
      <c r="C193" t="s">
        <v>10</v>
      </c>
      <c r="D193">
        <v>7.2236192099879607E-3</v>
      </c>
      <c r="E193" t="s">
        <v>6</v>
      </c>
      <c r="G193" t="s">
        <v>755</v>
      </c>
      <c r="H193" t="s">
        <v>10</v>
      </c>
      <c r="I193">
        <v>6.7283473455236054E-2</v>
      </c>
      <c r="J193" t="s">
        <v>6</v>
      </c>
      <c r="L193" t="s">
        <v>756</v>
      </c>
      <c r="M193" t="s">
        <v>10</v>
      </c>
      <c r="N193">
        <v>7.7114603096155018E-2</v>
      </c>
      <c r="O193" t="s">
        <v>6</v>
      </c>
    </row>
    <row r="194" spans="2:15" x14ac:dyDescent="0.45">
      <c r="B194" t="s">
        <v>754</v>
      </c>
      <c r="C194" t="s">
        <v>11</v>
      </c>
      <c r="D194">
        <v>2.145226535581904E-4</v>
      </c>
      <c r="E194" t="s">
        <v>6</v>
      </c>
      <c r="G194" t="s">
        <v>755</v>
      </c>
      <c r="H194" t="s">
        <v>11</v>
      </c>
      <c r="I194">
        <v>8.2201756069082338E-2</v>
      </c>
      <c r="J194" t="s">
        <v>6</v>
      </c>
      <c r="L194" t="s">
        <v>756</v>
      </c>
      <c r="M194" t="s">
        <v>11</v>
      </c>
      <c r="N194">
        <v>8.3555149566014383E-2</v>
      </c>
      <c r="O194" t="s">
        <v>6</v>
      </c>
    </row>
    <row r="195" spans="2:15" x14ac:dyDescent="0.45">
      <c r="B195" t="s">
        <v>754</v>
      </c>
      <c r="C195" t="s">
        <v>12</v>
      </c>
      <c r="D195">
        <v>0.24101454273565645</v>
      </c>
      <c r="E195" t="s">
        <v>6</v>
      </c>
      <c r="G195" t="s">
        <v>755</v>
      </c>
      <c r="H195" t="s">
        <v>12</v>
      </c>
      <c r="I195">
        <v>0.1749150728158668</v>
      </c>
      <c r="J195" t="s">
        <v>6</v>
      </c>
      <c r="L195" t="s">
        <v>756</v>
      </c>
      <c r="M195" t="s">
        <v>12</v>
      </c>
      <c r="N195">
        <v>0.10428202399711611</v>
      </c>
      <c r="O195" t="s">
        <v>6</v>
      </c>
    </row>
    <row r="196" spans="2:15" x14ac:dyDescent="0.45">
      <c r="B196" t="s">
        <v>754</v>
      </c>
      <c r="C196" t="s">
        <v>13</v>
      </c>
      <c r="D196">
        <v>1.9751974256967085E-2</v>
      </c>
      <c r="E196" t="s">
        <v>6</v>
      </c>
      <c r="G196" t="s">
        <v>755</v>
      </c>
      <c r="H196" t="s">
        <v>13</v>
      </c>
      <c r="I196">
        <v>0.10101028311644376</v>
      </c>
      <c r="J196" t="s">
        <v>6</v>
      </c>
      <c r="L196" t="s">
        <v>756</v>
      </c>
      <c r="M196" t="s">
        <v>13</v>
      </c>
      <c r="N196">
        <v>6.0135344437359163E-2</v>
      </c>
      <c r="O196" t="s">
        <v>6</v>
      </c>
    </row>
    <row r="197" spans="2:15" x14ac:dyDescent="0.45">
      <c r="B197" t="s">
        <v>754</v>
      </c>
      <c r="C197" t="s">
        <v>14</v>
      </c>
      <c r="D197">
        <v>5.6009705117131996E-4</v>
      </c>
      <c r="E197" t="s">
        <v>6</v>
      </c>
      <c r="G197" t="s">
        <v>755</v>
      </c>
      <c r="H197" t="s">
        <v>14</v>
      </c>
      <c r="I197">
        <v>2.197072378126556E-2</v>
      </c>
      <c r="J197" t="s">
        <v>6</v>
      </c>
      <c r="L197" t="s">
        <v>756</v>
      </c>
      <c r="M197" t="s">
        <v>14</v>
      </c>
      <c r="N197">
        <v>5.8373186846782332E-2</v>
      </c>
      <c r="O197" t="s">
        <v>6</v>
      </c>
    </row>
    <row r="198" spans="2:15" x14ac:dyDescent="0.45">
      <c r="B198" t="s">
        <v>754</v>
      </c>
      <c r="C198" t="s">
        <v>15</v>
      </c>
      <c r="D198">
        <v>0.28981947419491971</v>
      </c>
      <c r="E198" t="s">
        <v>6</v>
      </c>
      <c r="G198" t="s">
        <v>755</v>
      </c>
      <c r="H198" t="s">
        <v>15</v>
      </c>
      <c r="I198">
        <v>7.4427773809491768E-2</v>
      </c>
      <c r="J198" t="s">
        <v>6</v>
      </c>
      <c r="L198" t="s">
        <v>756</v>
      </c>
      <c r="M198" t="s">
        <v>15</v>
      </c>
      <c r="N198">
        <v>8.283080491292949E-2</v>
      </c>
      <c r="O198" t="s">
        <v>6</v>
      </c>
    </row>
    <row r="199" spans="2:15" x14ac:dyDescent="0.45">
      <c r="B199" t="s">
        <v>754</v>
      </c>
      <c r="C199" t="s">
        <v>16</v>
      </c>
      <c r="D199">
        <v>2.8633109839363912E-2</v>
      </c>
      <c r="E199" t="s">
        <v>6</v>
      </c>
      <c r="G199" t="s">
        <v>755</v>
      </c>
      <c r="H199" t="s">
        <v>16</v>
      </c>
      <c r="I199">
        <v>3.3002205381897125E-2</v>
      </c>
      <c r="J199" t="s">
        <v>6</v>
      </c>
      <c r="L199" t="s">
        <v>756</v>
      </c>
      <c r="M199" t="s">
        <v>16</v>
      </c>
      <c r="N199">
        <v>5.1807111825377887E-2</v>
      </c>
      <c r="O199" t="s">
        <v>6</v>
      </c>
    </row>
    <row r="200" spans="2:15" x14ac:dyDescent="0.45">
      <c r="B200" t="s">
        <v>754</v>
      </c>
      <c r="C200" t="s">
        <v>17</v>
      </c>
      <c r="D200">
        <v>0</v>
      </c>
      <c r="E200" t="s">
        <v>6</v>
      </c>
      <c r="G200" t="s">
        <v>755</v>
      </c>
      <c r="H200" t="s">
        <v>17</v>
      </c>
      <c r="I200">
        <v>7.4185747566696283E-2</v>
      </c>
      <c r="J200" t="s">
        <v>6</v>
      </c>
      <c r="L200" t="s">
        <v>756</v>
      </c>
      <c r="M200" t="s">
        <v>17</v>
      </c>
      <c r="N200">
        <v>8.1869334353681406E-2</v>
      </c>
      <c r="O200" t="s">
        <v>6</v>
      </c>
    </row>
    <row r="201" spans="2:15" x14ac:dyDescent="0.45">
      <c r="B201" t="s">
        <v>754</v>
      </c>
      <c r="C201" t="s">
        <v>18</v>
      </c>
      <c r="D201">
        <v>0.22487255949627266</v>
      </c>
      <c r="E201" t="s">
        <v>6</v>
      </c>
      <c r="G201" t="s">
        <v>755</v>
      </c>
      <c r="H201" t="s">
        <v>18</v>
      </c>
      <c r="I201">
        <v>0.10879328550449295</v>
      </c>
      <c r="J201" t="s">
        <v>6</v>
      </c>
      <c r="L201" t="s">
        <v>756</v>
      </c>
      <c r="M201" t="s">
        <v>18</v>
      </c>
      <c r="N201">
        <v>0.10813670249113391</v>
      </c>
      <c r="O201" t="s">
        <v>6</v>
      </c>
    </row>
    <row r="202" spans="2:15" x14ac:dyDescent="0.45">
      <c r="B202" t="s">
        <v>754</v>
      </c>
      <c r="C202" t="s">
        <v>19</v>
      </c>
      <c r="D202">
        <v>1.0045500636011827E-2</v>
      </c>
      <c r="E202" t="s">
        <v>6</v>
      </c>
      <c r="G202" t="s">
        <v>755</v>
      </c>
      <c r="H202" t="s">
        <v>19</v>
      </c>
      <c r="I202">
        <v>6.6089758720724062E-2</v>
      </c>
      <c r="J202" t="s">
        <v>6</v>
      </c>
      <c r="L202" t="s">
        <v>756</v>
      </c>
      <c r="M202" t="s">
        <v>19</v>
      </c>
      <c r="N202">
        <v>6.2213409137563187E-2</v>
      </c>
      <c r="O202" t="s">
        <v>6</v>
      </c>
    </row>
    <row r="203" spans="2:15" x14ac:dyDescent="0.45">
      <c r="B203" t="s">
        <v>757</v>
      </c>
      <c r="C203" t="s">
        <v>5</v>
      </c>
      <c r="D203">
        <v>0</v>
      </c>
      <c r="E203" t="s">
        <v>6</v>
      </c>
      <c r="G203" t="s">
        <v>758</v>
      </c>
      <c r="H203" t="s">
        <v>5</v>
      </c>
      <c r="I203">
        <v>0.10395988187643716</v>
      </c>
      <c r="J203" t="s">
        <v>6</v>
      </c>
      <c r="L203" t="s">
        <v>759</v>
      </c>
      <c r="M203" t="s">
        <v>5</v>
      </c>
      <c r="N203">
        <v>8.5544977459637336E-2</v>
      </c>
      <c r="O203" t="s">
        <v>6</v>
      </c>
    </row>
    <row r="204" spans="2:15" x14ac:dyDescent="0.45">
      <c r="B204" t="s">
        <v>757</v>
      </c>
      <c r="C204" t="s">
        <v>9</v>
      </c>
      <c r="D204">
        <v>0.17613317370773388</v>
      </c>
      <c r="E204" t="s">
        <v>6</v>
      </c>
      <c r="G204" t="s">
        <v>758</v>
      </c>
      <c r="H204" t="s">
        <v>9</v>
      </c>
      <c r="I204">
        <v>0.13221646066600662</v>
      </c>
      <c r="J204" t="s">
        <v>6</v>
      </c>
      <c r="L204" t="s">
        <v>759</v>
      </c>
      <c r="M204" t="s">
        <v>9</v>
      </c>
      <c r="N204">
        <v>0.10555760709484176</v>
      </c>
      <c r="O204" t="s">
        <v>6</v>
      </c>
    </row>
    <row r="205" spans="2:15" x14ac:dyDescent="0.45">
      <c r="B205" t="s">
        <v>757</v>
      </c>
      <c r="C205" t="s">
        <v>10</v>
      </c>
      <c r="D205">
        <v>8.4494951965465286E-3</v>
      </c>
      <c r="E205" t="s">
        <v>6</v>
      </c>
      <c r="G205" t="s">
        <v>758</v>
      </c>
      <c r="H205" t="s">
        <v>10</v>
      </c>
      <c r="I205">
        <v>8.2490748150755272E-2</v>
      </c>
      <c r="J205" t="s">
        <v>6</v>
      </c>
      <c r="L205" t="s">
        <v>759</v>
      </c>
      <c r="M205" t="s">
        <v>10</v>
      </c>
      <c r="N205">
        <v>6.7589904836939732E-2</v>
      </c>
      <c r="O205" t="s">
        <v>6</v>
      </c>
    </row>
    <row r="206" spans="2:15" x14ac:dyDescent="0.45">
      <c r="B206" t="s">
        <v>757</v>
      </c>
      <c r="C206" t="s">
        <v>11</v>
      </c>
      <c r="D206">
        <v>1.4868184184235427E-4</v>
      </c>
      <c r="E206" t="s">
        <v>6</v>
      </c>
      <c r="G206" t="s">
        <v>758</v>
      </c>
      <c r="H206" t="s">
        <v>11</v>
      </c>
      <c r="I206">
        <v>8.5377702357863253E-2</v>
      </c>
      <c r="J206" t="s">
        <v>6</v>
      </c>
      <c r="L206" t="s">
        <v>759</v>
      </c>
      <c r="M206" t="s">
        <v>11</v>
      </c>
      <c r="N206">
        <v>8.2496594433247639E-2</v>
      </c>
      <c r="O206" t="s">
        <v>6</v>
      </c>
    </row>
    <row r="207" spans="2:15" x14ac:dyDescent="0.45">
      <c r="B207" t="s">
        <v>757</v>
      </c>
      <c r="C207" t="s">
        <v>12</v>
      </c>
      <c r="D207">
        <v>0.23660689691573164</v>
      </c>
      <c r="E207" t="s">
        <v>6</v>
      </c>
      <c r="G207" t="s">
        <v>758</v>
      </c>
      <c r="H207" t="s">
        <v>12</v>
      </c>
      <c r="I207">
        <v>0.13634128343683835</v>
      </c>
      <c r="J207" t="s">
        <v>6</v>
      </c>
      <c r="L207" t="s">
        <v>759</v>
      </c>
      <c r="M207" t="s">
        <v>12</v>
      </c>
      <c r="N207">
        <v>0.10251154474825584</v>
      </c>
      <c r="O207" t="s">
        <v>6</v>
      </c>
    </row>
    <row r="208" spans="2:15" x14ac:dyDescent="0.45">
      <c r="B208" t="s">
        <v>757</v>
      </c>
      <c r="C208" t="s">
        <v>13</v>
      </c>
      <c r="D208">
        <v>2.1588789200255615E-2</v>
      </c>
      <c r="E208" t="s">
        <v>6</v>
      </c>
      <c r="G208" t="s">
        <v>758</v>
      </c>
      <c r="H208" t="s">
        <v>13</v>
      </c>
      <c r="I208">
        <v>8.402334931444419E-2</v>
      </c>
      <c r="J208" t="s">
        <v>6</v>
      </c>
      <c r="L208" t="s">
        <v>759</v>
      </c>
      <c r="M208" t="s">
        <v>13</v>
      </c>
      <c r="N208">
        <v>6.536101777606225E-2</v>
      </c>
      <c r="O208" t="s">
        <v>6</v>
      </c>
    </row>
    <row r="209" spans="2:15" x14ac:dyDescent="0.45">
      <c r="B209" t="s">
        <v>757</v>
      </c>
      <c r="C209" t="s">
        <v>14</v>
      </c>
      <c r="D209">
        <v>3.897247283534833E-4</v>
      </c>
      <c r="E209" t="s">
        <v>6</v>
      </c>
      <c r="G209" t="s">
        <v>758</v>
      </c>
      <c r="H209" t="s">
        <v>14</v>
      </c>
      <c r="I209">
        <v>6.4851347234351819E-2</v>
      </c>
      <c r="J209" t="s">
        <v>6</v>
      </c>
      <c r="L209" t="s">
        <v>759</v>
      </c>
      <c r="M209" t="s">
        <v>14</v>
      </c>
      <c r="N209">
        <v>7.3829987071119416E-2</v>
      </c>
      <c r="O209" t="s">
        <v>6</v>
      </c>
    </row>
    <row r="210" spans="2:15" x14ac:dyDescent="0.45">
      <c r="B210" t="s">
        <v>757</v>
      </c>
      <c r="C210" t="s">
        <v>15</v>
      </c>
      <c r="D210">
        <v>0.29052386271980507</v>
      </c>
      <c r="E210" t="s">
        <v>6</v>
      </c>
      <c r="G210" t="s">
        <v>758</v>
      </c>
      <c r="H210" t="s">
        <v>15</v>
      </c>
      <c r="I210">
        <v>4.8447765091776146E-2</v>
      </c>
      <c r="J210" t="s">
        <v>6</v>
      </c>
      <c r="L210" t="s">
        <v>759</v>
      </c>
      <c r="M210" t="s">
        <v>15</v>
      </c>
      <c r="N210">
        <v>0.10011219690697654</v>
      </c>
      <c r="O210" t="s">
        <v>6</v>
      </c>
    </row>
    <row r="211" spans="2:15" x14ac:dyDescent="0.45">
      <c r="B211" t="s">
        <v>757</v>
      </c>
      <c r="C211" t="s">
        <v>16</v>
      </c>
      <c r="D211">
        <v>3.18307866411058E-2</v>
      </c>
      <c r="E211" t="s">
        <v>6</v>
      </c>
      <c r="G211" t="s">
        <v>758</v>
      </c>
      <c r="H211" t="s">
        <v>16</v>
      </c>
      <c r="I211">
        <v>5.0222895221916766E-2</v>
      </c>
      <c r="J211" t="s">
        <v>6</v>
      </c>
      <c r="L211" t="s">
        <v>759</v>
      </c>
      <c r="M211" t="s">
        <v>16</v>
      </c>
      <c r="N211">
        <v>6.1130819656864399E-2</v>
      </c>
      <c r="O211" t="s">
        <v>6</v>
      </c>
    </row>
    <row r="212" spans="2:15" x14ac:dyDescent="0.45">
      <c r="B212" t="s">
        <v>757</v>
      </c>
      <c r="C212" t="s">
        <v>17</v>
      </c>
      <c r="D212">
        <v>0</v>
      </c>
      <c r="E212" t="s">
        <v>6</v>
      </c>
      <c r="G212" t="s">
        <v>758</v>
      </c>
      <c r="H212" t="s">
        <v>17</v>
      </c>
      <c r="I212">
        <v>7.1116500186062415E-2</v>
      </c>
      <c r="J212" t="s">
        <v>6</v>
      </c>
      <c r="L212" t="s">
        <v>759</v>
      </c>
      <c r="M212" t="s">
        <v>17</v>
      </c>
      <c r="N212">
        <v>8.5052215422854516E-2</v>
      </c>
      <c r="O212" t="s">
        <v>6</v>
      </c>
    </row>
    <row r="213" spans="2:15" x14ac:dyDescent="0.45">
      <c r="B213" t="s">
        <v>757</v>
      </c>
      <c r="C213" t="s">
        <v>18</v>
      </c>
      <c r="D213">
        <v>0.22286930326872514</v>
      </c>
      <c r="E213" t="s">
        <v>6</v>
      </c>
      <c r="G213" t="s">
        <v>758</v>
      </c>
      <c r="H213" t="s">
        <v>18</v>
      </c>
      <c r="I213">
        <v>7.9917652974123315E-2</v>
      </c>
      <c r="J213" t="s">
        <v>6</v>
      </c>
      <c r="L213" t="s">
        <v>759</v>
      </c>
      <c r="M213" t="s">
        <v>18</v>
      </c>
      <c r="N213">
        <v>0.10697408970903999</v>
      </c>
      <c r="O213" t="s">
        <v>6</v>
      </c>
    </row>
    <row r="214" spans="2:15" x14ac:dyDescent="0.45">
      <c r="B214" t="s">
        <v>757</v>
      </c>
      <c r="C214" t="s">
        <v>19</v>
      </c>
      <c r="D214">
        <v>1.1459285779900515E-2</v>
      </c>
      <c r="E214" t="s">
        <v>6</v>
      </c>
      <c r="G214" t="s">
        <v>758</v>
      </c>
      <c r="H214" t="s">
        <v>19</v>
      </c>
      <c r="I214">
        <v>6.1034413489426523E-2</v>
      </c>
      <c r="J214" t="s">
        <v>6</v>
      </c>
      <c r="L214" t="s">
        <v>759</v>
      </c>
      <c r="M214" t="s">
        <v>19</v>
      </c>
      <c r="N214">
        <v>6.3839044884158744E-2</v>
      </c>
      <c r="O214" t="s">
        <v>6</v>
      </c>
    </row>
    <row r="215" spans="2:15" x14ac:dyDescent="0.45">
      <c r="B215" t="s">
        <v>760</v>
      </c>
      <c r="C215" t="s">
        <v>5</v>
      </c>
      <c r="D215">
        <v>0</v>
      </c>
      <c r="E215" t="s">
        <v>6</v>
      </c>
      <c r="G215" t="s">
        <v>761</v>
      </c>
      <c r="H215" t="s">
        <v>5</v>
      </c>
      <c r="I215">
        <v>0.11532611920073978</v>
      </c>
      <c r="J215" t="s">
        <v>6</v>
      </c>
      <c r="L215" t="s">
        <v>762</v>
      </c>
      <c r="M215" t="s">
        <v>5</v>
      </c>
      <c r="N215">
        <v>0.11490719100562499</v>
      </c>
      <c r="O215" t="s">
        <v>6</v>
      </c>
    </row>
    <row r="216" spans="2:15" x14ac:dyDescent="0.45">
      <c r="B216" t="s">
        <v>760</v>
      </c>
      <c r="C216" t="s">
        <v>9</v>
      </c>
      <c r="D216">
        <v>0.18680957508042037</v>
      </c>
      <c r="E216" t="s">
        <v>6</v>
      </c>
      <c r="G216" t="s">
        <v>761</v>
      </c>
      <c r="H216" t="s">
        <v>9</v>
      </c>
      <c r="I216">
        <v>0.14730834315267619</v>
      </c>
      <c r="J216" t="s">
        <v>6</v>
      </c>
      <c r="L216" t="s">
        <v>762</v>
      </c>
      <c r="M216" t="s">
        <v>9</v>
      </c>
      <c r="N216">
        <v>0.13340159668194124</v>
      </c>
      <c r="O216" t="s">
        <v>6</v>
      </c>
    </row>
    <row r="217" spans="2:15" x14ac:dyDescent="0.45">
      <c r="B217" t="s">
        <v>760</v>
      </c>
      <c r="C217" t="s">
        <v>10</v>
      </c>
      <c r="D217">
        <v>7.3613110082830424E-3</v>
      </c>
      <c r="E217" t="s">
        <v>6</v>
      </c>
      <c r="G217" t="s">
        <v>761</v>
      </c>
      <c r="H217" t="s">
        <v>10</v>
      </c>
      <c r="I217">
        <v>8.3878616681627077E-2</v>
      </c>
      <c r="J217" t="s">
        <v>6</v>
      </c>
      <c r="L217" t="s">
        <v>762</v>
      </c>
      <c r="M217" t="s">
        <v>10</v>
      </c>
      <c r="N217">
        <v>8.4481138985728219E-2</v>
      </c>
      <c r="O217" t="s">
        <v>6</v>
      </c>
    </row>
    <row r="218" spans="2:15" x14ac:dyDescent="0.45">
      <c r="B218" t="s">
        <v>760</v>
      </c>
      <c r="C218" t="s">
        <v>11</v>
      </c>
      <c r="D218">
        <v>2.3504486109605035E-4</v>
      </c>
      <c r="E218" t="s">
        <v>6</v>
      </c>
      <c r="G218" t="s">
        <v>761</v>
      </c>
      <c r="H218" t="s">
        <v>11</v>
      </c>
      <c r="I218">
        <v>8.1157836621492646E-2</v>
      </c>
      <c r="J218" t="s">
        <v>6</v>
      </c>
      <c r="L218" t="s">
        <v>762</v>
      </c>
      <c r="M218" t="s">
        <v>11</v>
      </c>
      <c r="N218">
        <v>8.6350038616480537E-2</v>
      </c>
      <c r="O218" t="s">
        <v>6</v>
      </c>
    </row>
    <row r="219" spans="2:15" x14ac:dyDescent="0.45">
      <c r="B219" t="s">
        <v>760</v>
      </c>
      <c r="C219" t="s">
        <v>12</v>
      </c>
      <c r="D219">
        <v>0.24296929720603525</v>
      </c>
      <c r="E219" t="s">
        <v>6</v>
      </c>
      <c r="G219" t="s">
        <v>761</v>
      </c>
      <c r="H219" t="s">
        <v>12</v>
      </c>
      <c r="I219">
        <v>0.13505978405331048</v>
      </c>
      <c r="J219" t="s">
        <v>6</v>
      </c>
      <c r="L219" t="s">
        <v>762</v>
      </c>
      <c r="M219" t="s">
        <v>12</v>
      </c>
      <c r="N219">
        <v>0.11047079725041081</v>
      </c>
      <c r="O219" t="s">
        <v>6</v>
      </c>
    </row>
    <row r="220" spans="2:15" x14ac:dyDescent="0.45">
      <c r="B220" t="s">
        <v>760</v>
      </c>
      <c r="C220" t="s">
        <v>13</v>
      </c>
      <c r="D220">
        <v>1.8517334136462244E-2</v>
      </c>
      <c r="E220" t="s">
        <v>6</v>
      </c>
      <c r="G220" t="s">
        <v>761</v>
      </c>
      <c r="H220" t="s">
        <v>13</v>
      </c>
      <c r="I220">
        <v>7.5234512168446135E-2</v>
      </c>
      <c r="J220" t="s">
        <v>6</v>
      </c>
      <c r="L220" t="s">
        <v>762</v>
      </c>
      <c r="M220" t="s">
        <v>13</v>
      </c>
      <c r="N220">
        <v>6.4327690081790928E-2</v>
      </c>
      <c r="O220" t="s">
        <v>6</v>
      </c>
    </row>
    <row r="221" spans="2:15" x14ac:dyDescent="0.45">
      <c r="B221" t="s">
        <v>760</v>
      </c>
      <c r="C221" t="s">
        <v>14</v>
      </c>
      <c r="D221">
        <v>5.7862114353630131E-4</v>
      </c>
      <c r="E221" t="s">
        <v>6</v>
      </c>
      <c r="G221" t="s">
        <v>761</v>
      </c>
      <c r="H221" t="s">
        <v>14</v>
      </c>
      <c r="I221">
        <v>3.2674153835807213E-2</v>
      </c>
      <c r="J221" t="s">
        <v>6</v>
      </c>
      <c r="L221" t="s">
        <v>762</v>
      </c>
      <c r="M221" t="s">
        <v>14</v>
      </c>
      <c r="N221">
        <v>4.909633144809538E-2</v>
      </c>
      <c r="O221" t="s">
        <v>6</v>
      </c>
    </row>
    <row r="222" spans="2:15" x14ac:dyDescent="0.45">
      <c r="B222" t="s">
        <v>760</v>
      </c>
      <c r="C222" t="s">
        <v>15</v>
      </c>
      <c r="D222">
        <v>0.28178566909777175</v>
      </c>
      <c r="E222" t="s">
        <v>6</v>
      </c>
      <c r="G222" t="s">
        <v>761</v>
      </c>
      <c r="H222" t="s">
        <v>15</v>
      </c>
      <c r="I222">
        <v>3.8711654440831481E-2</v>
      </c>
      <c r="J222" t="s">
        <v>6</v>
      </c>
      <c r="L222" t="s">
        <v>762</v>
      </c>
      <c r="M222" t="s">
        <v>15</v>
      </c>
      <c r="N222">
        <v>7.3133731022658646E-2</v>
      </c>
      <c r="O222" t="s">
        <v>6</v>
      </c>
    </row>
    <row r="223" spans="2:15" x14ac:dyDescent="0.45">
      <c r="B223" t="s">
        <v>760</v>
      </c>
      <c r="C223" t="s">
        <v>16</v>
      </c>
      <c r="D223">
        <v>2.5335787766141538E-2</v>
      </c>
      <c r="E223" t="s">
        <v>6</v>
      </c>
      <c r="G223" t="s">
        <v>761</v>
      </c>
      <c r="H223" t="s">
        <v>16</v>
      </c>
      <c r="I223">
        <v>4.4610409841910004E-2</v>
      </c>
      <c r="J223" t="s">
        <v>6</v>
      </c>
      <c r="L223" t="s">
        <v>762</v>
      </c>
      <c r="M223" t="s">
        <v>16</v>
      </c>
      <c r="N223">
        <v>4.2200829054487292E-2</v>
      </c>
      <c r="O223" t="s">
        <v>6</v>
      </c>
    </row>
    <row r="224" spans="2:15" x14ac:dyDescent="0.45">
      <c r="B224" t="s">
        <v>760</v>
      </c>
      <c r="C224" t="s">
        <v>17</v>
      </c>
      <c r="D224">
        <v>0</v>
      </c>
      <c r="E224" t="s">
        <v>6</v>
      </c>
      <c r="G224" t="s">
        <v>761</v>
      </c>
      <c r="H224" t="s">
        <v>17</v>
      </c>
      <c r="I224">
        <v>7.4080059581875829E-2</v>
      </c>
      <c r="J224" t="s">
        <v>6</v>
      </c>
      <c r="L224" t="s">
        <v>762</v>
      </c>
      <c r="M224" t="s">
        <v>17</v>
      </c>
      <c r="N224">
        <v>7.7185110584073152E-2</v>
      </c>
      <c r="O224" t="s">
        <v>6</v>
      </c>
    </row>
    <row r="225" spans="2:15" x14ac:dyDescent="0.45">
      <c r="B225" t="s">
        <v>760</v>
      </c>
      <c r="C225" t="s">
        <v>18</v>
      </c>
      <c r="D225">
        <v>0.22745425753419568</v>
      </c>
      <c r="E225" t="s">
        <v>6</v>
      </c>
      <c r="G225" t="s">
        <v>761</v>
      </c>
      <c r="H225" t="s">
        <v>18</v>
      </c>
      <c r="I225">
        <v>0.10839283359223359</v>
      </c>
      <c r="J225" t="s">
        <v>6</v>
      </c>
      <c r="L225" t="s">
        <v>762</v>
      </c>
      <c r="M225" t="s">
        <v>18</v>
      </c>
      <c r="N225">
        <v>0.10400878877638729</v>
      </c>
      <c r="O225" t="s">
        <v>6</v>
      </c>
    </row>
    <row r="226" spans="2:15" x14ac:dyDescent="0.45">
      <c r="B226" t="s">
        <v>760</v>
      </c>
      <c r="C226" t="s">
        <v>19</v>
      </c>
      <c r="D226">
        <v>8.9531021660569556E-3</v>
      </c>
      <c r="E226" t="s">
        <v>6</v>
      </c>
      <c r="G226" t="s">
        <v>761</v>
      </c>
      <c r="H226" t="s">
        <v>19</v>
      </c>
      <c r="I226">
        <v>6.356567682905194E-2</v>
      </c>
      <c r="J226" t="s">
        <v>6</v>
      </c>
      <c r="L226" t="s">
        <v>762</v>
      </c>
      <c r="M226" t="s">
        <v>19</v>
      </c>
      <c r="N226">
        <v>6.0436756492321671E-2</v>
      </c>
      <c r="O226" t="s">
        <v>6</v>
      </c>
    </row>
    <row r="227" spans="2:15" x14ac:dyDescent="0.45">
      <c r="B227" t="s">
        <v>763</v>
      </c>
      <c r="C227" t="s">
        <v>5</v>
      </c>
      <c r="D227">
        <v>0</v>
      </c>
      <c r="E227" t="s">
        <v>6</v>
      </c>
      <c r="G227" t="s">
        <v>764</v>
      </c>
      <c r="H227" t="s">
        <v>5</v>
      </c>
      <c r="I227">
        <v>0.1322313136958829</v>
      </c>
      <c r="J227" t="s">
        <v>6</v>
      </c>
      <c r="L227" t="s">
        <v>765</v>
      </c>
      <c r="M227" t="s">
        <v>5</v>
      </c>
      <c r="N227">
        <v>0.11296463117700953</v>
      </c>
      <c r="O227" t="s">
        <v>6</v>
      </c>
    </row>
    <row r="228" spans="2:15" x14ac:dyDescent="0.45">
      <c r="B228" t="s">
        <v>763</v>
      </c>
      <c r="C228" t="s">
        <v>9</v>
      </c>
      <c r="D228">
        <v>0.19038453032988772</v>
      </c>
      <c r="E228" t="s">
        <v>6</v>
      </c>
      <c r="G228" t="s">
        <v>764</v>
      </c>
      <c r="H228" t="s">
        <v>9</v>
      </c>
      <c r="I228">
        <v>0.16471635230584203</v>
      </c>
      <c r="J228" t="s">
        <v>6</v>
      </c>
      <c r="L228" t="s">
        <v>765</v>
      </c>
      <c r="M228" t="s">
        <v>9</v>
      </c>
      <c r="N228">
        <v>0.12772162823676306</v>
      </c>
      <c r="O228" t="s">
        <v>6</v>
      </c>
    </row>
    <row r="229" spans="2:15" x14ac:dyDescent="0.45">
      <c r="B229" t="s">
        <v>763</v>
      </c>
      <c r="C229" t="s">
        <v>10</v>
      </c>
      <c r="D229">
        <v>8.3058206932575852E-3</v>
      </c>
      <c r="E229" t="s">
        <v>6</v>
      </c>
      <c r="G229" t="s">
        <v>764</v>
      </c>
      <c r="H229" t="s">
        <v>10</v>
      </c>
      <c r="I229">
        <v>9.9251802184375057E-2</v>
      </c>
      <c r="J229" t="s">
        <v>6</v>
      </c>
      <c r="L229" t="s">
        <v>765</v>
      </c>
      <c r="M229" t="s">
        <v>10</v>
      </c>
      <c r="N229">
        <v>8.1512313179434692E-2</v>
      </c>
      <c r="O229" t="s">
        <v>6</v>
      </c>
    </row>
    <row r="230" spans="2:15" x14ac:dyDescent="0.45">
      <c r="B230" t="s">
        <v>763</v>
      </c>
      <c r="C230" t="s">
        <v>11</v>
      </c>
      <c r="D230">
        <v>1.7446154532216998E-4</v>
      </c>
      <c r="E230" t="s">
        <v>6</v>
      </c>
      <c r="G230" t="s">
        <v>764</v>
      </c>
      <c r="H230" t="s">
        <v>11</v>
      </c>
      <c r="I230">
        <v>0.10468027146803111</v>
      </c>
      <c r="J230" t="s">
        <v>6</v>
      </c>
      <c r="L230" t="s">
        <v>765</v>
      </c>
      <c r="M230" t="s">
        <v>11</v>
      </c>
      <c r="N230">
        <v>9.2473921399453984E-2</v>
      </c>
      <c r="O230" t="s">
        <v>6</v>
      </c>
    </row>
    <row r="231" spans="2:15" x14ac:dyDescent="0.45">
      <c r="B231" t="s">
        <v>763</v>
      </c>
      <c r="C231" t="s">
        <v>12</v>
      </c>
      <c r="D231">
        <v>0.24651545865856056</v>
      </c>
      <c r="E231" t="s">
        <v>6</v>
      </c>
      <c r="G231" t="s">
        <v>764</v>
      </c>
      <c r="H231" t="s">
        <v>12</v>
      </c>
      <c r="I231">
        <v>0.16116738850981807</v>
      </c>
      <c r="J231" t="s">
        <v>6</v>
      </c>
      <c r="L231" t="s">
        <v>765</v>
      </c>
      <c r="M231" t="s">
        <v>12</v>
      </c>
      <c r="N231">
        <v>0.11683238826043497</v>
      </c>
      <c r="O231" t="s">
        <v>6</v>
      </c>
    </row>
    <row r="232" spans="2:15" x14ac:dyDescent="0.45">
      <c r="B232" t="s">
        <v>763</v>
      </c>
      <c r="C232" t="s">
        <v>13</v>
      </c>
      <c r="D232">
        <v>2.007426719001627E-2</v>
      </c>
      <c r="E232" t="s">
        <v>6</v>
      </c>
      <c r="G232" t="s">
        <v>764</v>
      </c>
      <c r="H232" t="s">
        <v>13</v>
      </c>
      <c r="I232">
        <v>9.2408963858069113E-2</v>
      </c>
      <c r="J232" t="s">
        <v>6</v>
      </c>
      <c r="L232" t="s">
        <v>765</v>
      </c>
      <c r="M232" t="s">
        <v>13</v>
      </c>
      <c r="N232">
        <v>6.7341619922174537E-2</v>
      </c>
      <c r="O232" t="s">
        <v>6</v>
      </c>
    </row>
    <row r="233" spans="2:15" x14ac:dyDescent="0.45">
      <c r="B233" t="s">
        <v>763</v>
      </c>
      <c r="C233" t="s">
        <v>14</v>
      </c>
      <c r="D233">
        <v>4.3691170442176203E-4</v>
      </c>
      <c r="E233" t="s">
        <v>6</v>
      </c>
      <c r="G233" t="s">
        <v>764</v>
      </c>
      <c r="H233" t="s">
        <v>14</v>
      </c>
      <c r="I233">
        <v>2.5416105224607712E-2</v>
      </c>
      <c r="J233" t="s">
        <v>6</v>
      </c>
      <c r="L233" t="s">
        <v>765</v>
      </c>
      <c r="M233" t="s">
        <v>14</v>
      </c>
      <c r="N233">
        <v>4.0456536273084806E-2</v>
      </c>
      <c r="O233" t="s">
        <v>6</v>
      </c>
    </row>
    <row r="234" spans="2:15" x14ac:dyDescent="0.45">
      <c r="B234" t="s">
        <v>763</v>
      </c>
      <c r="C234" t="s">
        <v>15</v>
      </c>
      <c r="D234">
        <v>0.27650658672169892</v>
      </c>
      <c r="E234" t="s">
        <v>6</v>
      </c>
      <c r="G234" t="s">
        <v>764</v>
      </c>
      <c r="H234" t="s">
        <v>15</v>
      </c>
      <c r="I234">
        <v>4.5515828566741842E-2</v>
      </c>
      <c r="J234" t="s">
        <v>6</v>
      </c>
      <c r="L234" t="s">
        <v>765</v>
      </c>
      <c r="M234" t="s">
        <v>15</v>
      </c>
      <c r="N234">
        <v>5.8394862642718023E-2</v>
      </c>
      <c r="O234" t="s">
        <v>6</v>
      </c>
    </row>
    <row r="235" spans="2:15" x14ac:dyDescent="0.45">
      <c r="B235" t="s">
        <v>763</v>
      </c>
      <c r="C235" t="s">
        <v>16</v>
      </c>
      <c r="D235">
        <v>2.6032706301917456E-2</v>
      </c>
      <c r="E235" t="s">
        <v>6</v>
      </c>
      <c r="G235" t="s">
        <v>764</v>
      </c>
      <c r="H235" t="s">
        <v>16</v>
      </c>
      <c r="I235">
        <v>3.6037835591088196E-2</v>
      </c>
      <c r="J235" t="s">
        <v>6</v>
      </c>
      <c r="L235" t="s">
        <v>765</v>
      </c>
      <c r="M235" t="s">
        <v>16</v>
      </c>
      <c r="N235">
        <v>3.9658302953755366E-2</v>
      </c>
      <c r="O235" t="s">
        <v>6</v>
      </c>
    </row>
    <row r="236" spans="2:15" x14ac:dyDescent="0.45">
      <c r="B236" t="s">
        <v>763</v>
      </c>
      <c r="C236" t="s">
        <v>17</v>
      </c>
      <c r="D236">
        <v>0</v>
      </c>
      <c r="E236" t="s">
        <v>6</v>
      </c>
      <c r="G236" t="s">
        <v>764</v>
      </c>
      <c r="H236" t="s">
        <v>17</v>
      </c>
      <c r="I236">
        <v>3.8857324703847285E-2</v>
      </c>
      <c r="J236" t="s">
        <v>6</v>
      </c>
      <c r="L236" t="s">
        <v>765</v>
      </c>
      <c r="M236" t="s">
        <v>17</v>
      </c>
      <c r="N236">
        <v>8.7664274424238867E-2</v>
      </c>
      <c r="O236" t="s">
        <v>6</v>
      </c>
    </row>
    <row r="237" spans="2:15" x14ac:dyDescent="0.45">
      <c r="B237" t="s">
        <v>763</v>
      </c>
      <c r="C237" t="s">
        <v>18</v>
      </c>
      <c r="D237">
        <v>0.22263144511064953</v>
      </c>
      <c r="E237" t="s">
        <v>6</v>
      </c>
      <c r="G237" t="s">
        <v>764</v>
      </c>
      <c r="H237" t="s">
        <v>18</v>
      </c>
      <c r="I237">
        <v>6.1181153970982539E-2</v>
      </c>
      <c r="J237" t="s">
        <v>6</v>
      </c>
      <c r="L237" t="s">
        <v>765</v>
      </c>
      <c r="M237" t="s">
        <v>18</v>
      </c>
      <c r="N237">
        <v>0.10588047083718995</v>
      </c>
      <c r="O237" t="s">
        <v>6</v>
      </c>
    </row>
    <row r="238" spans="2:15" x14ac:dyDescent="0.45">
      <c r="B238" t="s">
        <v>763</v>
      </c>
      <c r="C238" t="s">
        <v>19</v>
      </c>
      <c r="D238">
        <v>8.9378117442690738E-3</v>
      </c>
      <c r="E238" t="s">
        <v>6</v>
      </c>
      <c r="G238" t="s">
        <v>764</v>
      </c>
      <c r="H238" t="s">
        <v>19</v>
      </c>
      <c r="I238">
        <v>3.8535659920713158E-2</v>
      </c>
      <c r="J238" t="s">
        <v>6</v>
      </c>
      <c r="L238" t="s">
        <v>765</v>
      </c>
      <c r="M238" t="s">
        <v>19</v>
      </c>
      <c r="N238">
        <v>6.9099050693746777E-2</v>
      </c>
      <c r="O238" t="s">
        <v>6</v>
      </c>
    </row>
    <row r="239" spans="2:15" x14ac:dyDescent="0.45">
      <c r="B239" t="s">
        <v>766</v>
      </c>
      <c r="C239" t="s">
        <v>5</v>
      </c>
      <c r="D239">
        <v>0</v>
      </c>
      <c r="E239" t="s">
        <v>6</v>
      </c>
      <c r="G239" t="s">
        <v>767</v>
      </c>
      <c r="H239" t="s">
        <v>5</v>
      </c>
      <c r="I239">
        <v>0.15403534203458794</v>
      </c>
      <c r="J239" t="s">
        <v>6</v>
      </c>
    </row>
    <row r="240" spans="2:15" x14ac:dyDescent="0.45">
      <c r="B240" t="s">
        <v>766</v>
      </c>
      <c r="C240" t="s">
        <v>9</v>
      </c>
      <c r="D240">
        <v>0.19497002435036981</v>
      </c>
      <c r="E240" t="s">
        <v>6</v>
      </c>
      <c r="G240" t="s">
        <v>767</v>
      </c>
      <c r="H240" t="s">
        <v>9</v>
      </c>
      <c r="I240">
        <v>0.17707705269625013</v>
      </c>
      <c r="J240" t="s">
        <v>6</v>
      </c>
    </row>
    <row r="241" spans="2:10" x14ac:dyDescent="0.45">
      <c r="B241" t="s">
        <v>766</v>
      </c>
      <c r="C241" t="s">
        <v>10</v>
      </c>
      <c r="D241">
        <v>7.0198134055819324E-3</v>
      </c>
      <c r="E241" t="s">
        <v>6</v>
      </c>
      <c r="G241" t="s">
        <v>767</v>
      </c>
      <c r="H241" t="s">
        <v>10</v>
      </c>
      <c r="I241">
        <v>9.6961266291788167E-2</v>
      </c>
      <c r="J241" t="s">
        <v>6</v>
      </c>
    </row>
    <row r="242" spans="2:10" x14ac:dyDescent="0.45">
      <c r="B242" t="s">
        <v>766</v>
      </c>
      <c r="C242" t="s">
        <v>11</v>
      </c>
      <c r="D242">
        <v>2.8079217811868883E-4</v>
      </c>
      <c r="E242" t="s">
        <v>6</v>
      </c>
      <c r="G242" t="s">
        <v>767</v>
      </c>
      <c r="H242" t="s">
        <v>11</v>
      </c>
      <c r="I242">
        <v>9.7195394056399945E-2</v>
      </c>
      <c r="J242" t="s">
        <v>6</v>
      </c>
    </row>
    <row r="243" spans="2:10" x14ac:dyDescent="0.45">
      <c r="B243" t="s">
        <v>766</v>
      </c>
      <c r="C243" t="s">
        <v>12</v>
      </c>
      <c r="D243">
        <v>0.2510379705919098</v>
      </c>
      <c r="E243" t="s">
        <v>6</v>
      </c>
      <c r="G243" t="s">
        <v>767</v>
      </c>
      <c r="H243" t="s">
        <v>12</v>
      </c>
      <c r="I243">
        <v>0.14116532350281391</v>
      </c>
      <c r="J243" t="s">
        <v>6</v>
      </c>
    </row>
    <row r="244" spans="2:10" x14ac:dyDescent="0.45">
      <c r="B244" t="s">
        <v>766</v>
      </c>
      <c r="C244" t="s">
        <v>13</v>
      </c>
      <c r="D244">
        <v>1.7841274150088803E-2</v>
      </c>
      <c r="E244" t="s">
        <v>6</v>
      </c>
      <c r="G244" t="s">
        <v>767</v>
      </c>
      <c r="H244" t="s">
        <v>13</v>
      </c>
      <c r="I244">
        <v>7.5294437864598371E-2</v>
      </c>
      <c r="J244" t="s">
        <v>6</v>
      </c>
    </row>
    <row r="245" spans="2:10" x14ac:dyDescent="0.45">
      <c r="B245" t="s">
        <v>766</v>
      </c>
      <c r="C245" t="s">
        <v>14</v>
      </c>
      <c r="D245">
        <v>6.5523270445504459E-4</v>
      </c>
      <c r="E245" t="s">
        <v>6</v>
      </c>
      <c r="G245" t="s">
        <v>767</v>
      </c>
      <c r="H245" t="s">
        <v>14</v>
      </c>
      <c r="I245">
        <v>1.567772190108719E-2</v>
      </c>
      <c r="J245" t="s">
        <v>6</v>
      </c>
    </row>
    <row r="246" spans="2:10" x14ac:dyDescent="0.45">
      <c r="B246" t="s">
        <v>766</v>
      </c>
      <c r="C246" t="s">
        <v>15</v>
      </c>
      <c r="D246">
        <v>0.27458045458556174</v>
      </c>
      <c r="E246" t="s">
        <v>6</v>
      </c>
      <c r="G246" t="s">
        <v>767</v>
      </c>
      <c r="H246" t="s">
        <v>15</v>
      </c>
      <c r="I246">
        <v>3.9815582568345061E-2</v>
      </c>
      <c r="J246" t="s">
        <v>6</v>
      </c>
    </row>
    <row r="247" spans="2:10" x14ac:dyDescent="0.45">
      <c r="B247" t="s">
        <v>766</v>
      </c>
      <c r="C247" t="s">
        <v>16</v>
      </c>
      <c r="D247">
        <v>2.3470116349007836E-2</v>
      </c>
      <c r="E247" t="s">
        <v>6</v>
      </c>
      <c r="G247" t="s">
        <v>767</v>
      </c>
      <c r="H247" t="s">
        <v>16</v>
      </c>
      <c r="I247">
        <v>2.5883963470884949E-2</v>
      </c>
      <c r="J247" t="s">
        <v>6</v>
      </c>
    </row>
    <row r="248" spans="2:10" x14ac:dyDescent="0.45">
      <c r="B248" t="s">
        <v>766</v>
      </c>
      <c r="C248" t="s">
        <v>17</v>
      </c>
      <c r="D248">
        <v>0</v>
      </c>
      <c r="E248" t="s">
        <v>6</v>
      </c>
      <c r="G248" t="s">
        <v>767</v>
      </c>
      <c r="H248" t="s">
        <v>17</v>
      </c>
      <c r="I248">
        <v>6.0773902220775257E-2</v>
      </c>
      <c r="J248" t="s">
        <v>6</v>
      </c>
    </row>
    <row r="249" spans="2:10" x14ac:dyDescent="0.45">
      <c r="B249" t="s">
        <v>766</v>
      </c>
      <c r="C249" t="s">
        <v>18</v>
      </c>
      <c r="D249">
        <v>0.22222946450141165</v>
      </c>
      <c r="E249" t="s">
        <v>6</v>
      </c>
      <c r="G249" t="s">
        <v>767</v>
      </c>
      <c r="H249" t="s">
        <v>18</v>
      </c>
      <c r="I249">
        <v>6.9719324434141014E-2</v>
      </c>
      <c r="J249" t="s">
        <v>6</v>
      </c>
    </row>
    <row r="250" spans="2:10" x14ac:dyDescent="0.45">
      <c r="B250" t="s">
        <v>766</v>
      </c>
      <c r="C250" t="s">
        <v>19</v>
      </c>
      <c r="D250">
        <v>7.9148571834959051E-3</v>
      </c>
      <c r="E250" t="s">
        <v>6</v>
      </c>
      <c r="G250" t="s">
        <v>767</v>
      </c>
      <c r="H250" t="s">
        <v>19</v>
      </c>
      <c r="I250">
        <v>4.6400688958334955E-2</v>
      </c>
      <c r="J250" t="s">
        <v>6</v>
      </c>
    </row>
    <row r="251" spans="2:10" x14ac:dyDescent="0.45">
      <c r="B251" t="s">
        <v>768</v>
      </c>
      <c r="C251" t="s">
        <v>5</v>
      </c>
      <c r="D251">
        <v>0</v>
      </c>
      <c r="E251" t="s">
        <v>6</v>
      </c>
      <c r="G251" t="s">
        <v>769</v>
      </c>
      <c r="H251" t="s">
        <v>5</v>
      </c>
      <c r="I251">
        <v>0.13725493577626136</v>
      </c>
      <c r="J251" t="s">
        <v>6</v>
      </c>
    </row>
    <row r="252" spans="2:10" x14ac:dyDescent="0.45">
      <c r="B252" t="s">
        <v>768</v>
      </c>
      <c r="C252" t="s">
        <v>9</v>
      </c>
      <c r="D252">
        <v>0.19078933184892791</v>
      </c>
      <c r="E252" t="s">
        <v>6</v>
      </c>
      <c r="G252" t="s">
        <v>769</v>
      </c>
      <c r="H252" t="s">
        <v>9</v>
      </c>
      <c r="I252">
        <v>0.17012696405467961</v>
      </c>
      <c r="J252" t="s">
        <v>6</v>
      </c>
    </row>
    <row r="253" spans="2:10" x14ac:dyDescent="0.45">
      <c r="B253" t="s">
        <v>768</v>
      </c>
      <c r="C253" t="s">
        <v>10</v>
      </c>
      <c r="D253">
        <v>5.8568558202829564E-3</v>
      </c>
      <c r="E253" t="s">
        <v>6</v>
      </c>
      <c r="G253" t="s">
        <v>769</v>
      </c>
      <c r="H253" t="s">
        <v>10</v>
      </c>
      <c r="I253">
        <v>9.5856392389192274E-2</v>
      </c>
      <c r="J253" t="s">
        <v>6</v>
      </c>
    </row>
    <row r="254" spans="2:10" x14ac:dyDescent="0.45">
      <c r="B254" t="s">
        <v>768</v>
      </c>
      <c r="C254" t="s">
        <v>11</v>
      </c>
      <c r="D254">
        <v>3.4369237718908377E-4</v>
      </c>
      <c r="E254" t="s">
        <v>6</v>
      </c>
      <c r="G254" t="s">
        <v>769</v>
      </c>
      <c r="H254" t="s">
        <v>11</v>
      </c>
      <c r="I254">
        <v>8.0789692325761095E-2</v>
      </c>
      <c r="J254" t="s">
        <v>6</v>
      </c>
    </row>
    <row r="255" spans="2:10" x14ac:dyDescent="0.45">
      <c r="B255" t="s">
        <v>768</v>
      </c>
      <c r="C255" t="s">
        <v>12</v>
      </c>
      <c r="D255">
        <v>0.25346312182404329</v>
      </c>
      <c r="E255" t="s">
        <v>6</v>
      </c>
      <c r="G255" t="s">
        <v>769</v>
      </c>
      <c r="H255" t="s">
        <v>12</v>
      </c>
      <c r="I255">
        <v>0.13612846497131684</v>
      </c>
      <c r="J255" t="s">
        <v>6</v>
      </c>
    </row>
    <row r="256" spans="2:10" x14ac:dyDescent="0.45">
      <c r="B256" t="s">
        <v>768</v>
      </c>
      <c r="C256" t="s">
        <v>13</v>
      </c>
      <c r="D256">
        <v>1.7671575815101995E-2</v>
      </c>
      <c r="E256" t="s">
        <v>6</v>
      </c>
      <c r="G256" t="s">
        <v>769</v>
      </c>
      <c r="H256" t="s">
        <v>13</v>
      </c>
      <c r="I256">
        <v>7.834769516702339E-2</v>
      </c>
      <c r="J256" t="s">
        <v>6</v>
      </c>
    </row>
    <row r="257" spans="2:10" x14ac:dyDescent="0.45">
      <c r="B257" t="s">
        <v>768</v>
      </c>
      <c r="C257" t="s">
        <v>14</v>
      </c>
      <c r="D257">
        <v>7.7909784173341623E-4</v>
      </c>
      <c r="E257" t="s">
        <v>6</v>
      </c>
      <c r="G257" t="s">
        <v>769</v>
      </c>
      <c r="H257" t="s">
        <v>14</v>
      </c>
      <c r="I257">
        <v>2.2786621027261113E-2</v>
      </c>
      <c r="J257" t="s">
        <v>6</v>
      </c>
    </row>
    <row r="258" spans="2:10" x14ac:dyDescent="0.45">
      <c r="B258" t="s">
        <v>768</v>
      </c>
      <c r="C258" t="s">
        <v>15</v>
      </c>
      <c r="D258">
        <v>0.27581821404629153</v>
      </c>
      <c r="E258" t="s">
        <v>6</v>
      </c>
      <c r="G258" t="s">
        <v>769</v>
      </c>
      <c r="H258" t="s">
        <v>15</v>
      </c>
      <c r="I258">
        <v>6.2406484798382116E-2</v>
      </c>
      <c r="J258" t="s">
        <v>6</v>
      </c>
    </row>
    <row r="259" spans="2:10" x14ac:dyDescent="0.45">
      <c r="B259" t="s">
        <v>768</v>
      </c>
      <c r="C259" t="s">
        <v>16</v>
      </c>
      <c r="D259">
        <v>2.3276047588417236E-2</v>
      </c>
      <c r="E259" t="s">
        <v>6</v>
      </c>
      <c r="G259" t="s">
        <v>769</v>
      </c>
      <c r="H259" t="s">
        <v>16</v>
      </c>
      <c r="I259">
        <v>3.4525774451339343E-2</v>
      </c>
      <c r="J259" t="s">
        <v>6</v>
      </c>
    </row>
    <row r="260" spans="2:10" x14ac:dyDescent="0.45">
      <c r="B260" t="s">
        <v>768</v>
      </c>
      <c r="C260" t="s">
        <v>17</v>
      </c>
      <c r="D260">
        <v>0</v>
      </c>
      <c r="E260" t="s">
        <v>6</v>
      </c>
      <c r="G260" t="s">
        <v>769</v>
      </c>
      <c r="H260" t="s">
        <v>17</v>
      </c>
      <c r="I260">
        <v>5.7335304621997672E-2</v>
      </c>
      <c r="J260" t="s">
        <v>6</v>
      </c>
    </row>
    <row r="261" spans="2:10" x14ac:dyDescent="0.45">
      <c r="B261" t="s">
        <v>768</v>
      </c>
      <c r="C261" t="s">
        <v>18</v>
      </c>
      <c r="D261">
        <v>0.22427712550587306</v>
      </c>
      <c r="E261" t="s">
        <v>6</v>
      </c>
      <c r="G261" t="s">
        <v>769</v>
      </c>
      <c r="H261" t="s">
        <v>18</v>
      </c>
      <c r="I261">
        <v>7.4360575831513828E-2</v>
      </c>
      <c r="J261" t="s">
        <v>6</v>
      </c>
    </row>
    <row r="262" spans="2:10" x14ac:dyDescent="0.45">
      <c r="B262" t="s">
        <v>768</v>
      </c>
      <c r="C262" t="s">
        <v>19</v>
      </c>
      <c r="D262">
        <v>7.7249373321393823E-3</v>
      </c>
      <c r="E262" t="s">
        <v>6</v>
      </c>
      <c r="G262" t="s">
        <v>769</v>
      </c>
      <c r="H262" t="s">
        <v>19</v>
      </c>
      <c r="I262">
        <v>5.0081094585274155E-2</v>
      </c>
      <c r="J262" t="s">
        <v>6</v>
      </c>
    </row>
    <row r="263" spans="2:10" x14ac:dyDescent="0.45">
      <c r="B263" t="s">
        <v>770</v>
      </c>
      <c r="C263" t="s">
        <v>5</v>
      </c>
      <c r="D263">
        <v>0</v>
      </c>
      <c r="E263" t="s">
        <v>6</v>
      </c>
      <c r="G263" t="s">
        <v>771</v>
      </c>
      <c r="H263" t="s">
        <v>5</v>
      </c>
      <c r="I263">
        <v>9.8052304095793144E-2</v>
      </c>
      <c r="J263" t="s">
        <v>6</v>
      </c>
    </row>
    <row r="264" spans="2:10" x14ac:dyDescent="0.45">
      <c r="B264" t="s">
        <v>770</v>
      </c>
      <c r="C264" t="s">
        <v>9</v>
      </c>
      <c r="D264">
        <v>0.18176734752446955</v>
      </c>
      <c r="E264" t="s">
        <v>6</v>
      </c>
      <c r="G264" t="s">
        <v>771</v>
      </c>
      <c r="H264" t="s">
        <v>9</v>
      </c>
      <c r="I264">
        <v>0.13095577298315755</v>
      </c>
      <c r="J264" t="s">
        <v>6</v>
      </c>
    </row>
    <row r="265" spans="2:10" x14ac:dyDescent="0.45">
      <c r="B265" t="s">
        <v>770</v>
      </c>
      <c r="C265" t="s">
        <v>10</v>
      </c>
      <c r="D265">
        <v>4.9164732560820212E-3</v>
      </c>
      <c r="E265" t="s">
        <v>6</v>
      </c>
      <c r="G265" t="s">
        <v>771</v>
      </c>
      <c r="H265" t="s">
        <v>10</v>
      </c>
      <c r="I265">
        <v>7.3293369963042421E-2</v>
      </c>
      <c r="J265" t="s">
        <v>6</v>
      </c>
    </row>
    <row r="266" spans="2:10" x14ac:dyDescent="0.45">
      <c r="B266" t="s">
        <v>770</v>
      </c>
      <c r="C266" t="s">
        <v>11</v>
      </c>
      <c r="D266">
        <v>3.51393558485843E-4</v>
      </c>
      <c r="E266" t="s">
        <v>6</v>
      </c>
      <c r="G266" t="s">
        <v>771</v>
      </c>
      <c r="H266" t="s">
        <v>11</v>
      </c>
      <c r="I266">
        <v>7.5783353035872719E-2</v>
      </c>
      <c r="J266" t="s">
        <v>6</v>
      </c>
    </row>
    <row r="267" spans="2:10" x14ac:dyDescent="0.45">
      <c r="B267" t="s">
        <v>770</v>
      </c>
      <c r="C267" t="s">
        <v>12</v>
      </c>
      <c r="D267">
        <v>0.25019700853515103</v>
      </c>
      <c r="E267" t="s">
        <v>6</v>
      </c>
      <c r="G267" t="s">
        <v>771</v>
      </c>
      <c r="H267" t="s">
        <v>12</v>
      </c>
      <c r="I267">
        <v>0.11746076205135739</v>
      </c>
      <c r="J267" t="s">
        <v>6</v>
      </c>
    </row>
    <row r="268" spans="2:10" x14ac:dyDescent="0.45">
      <c r="B268" t="s">
        <v>770</v>
      </c>
      <c r="C268" t="s">
        <v>13</v>
      </c>
      <c r="D268">
        <v>1.8389355104537819E-2</v>
      </c>
      <c r="E268" t="s">
        <v>6</v>
      </c>
      <c r="G268" t="s">
        <v>771</v>
      </c>
      <c r="H268" t="s">
        <v>13</v>
      </c>
      <c r="I268">
        <v>7.2239836211813999E-2</v>
      </c>
      <c r="J268" t="s">
        <v>6</v>
      </c>
    </row>
    <row r="269" spans="2:10" x14ac:dyDescent="0.45">
      <c r="B269" t="s">
        <v>770</v>
      </c>
      <c r="C269" t="s">
        <v>14</v>
      </c>
      <c r="D269">
        <v>8.0254559745033855E-4</v>
      </c>
      <c r="E269" t="s">
        <v>6</v>
      </c>
      <c r="G269" t="s">
        <v>771</v>
      </c>
      <c r="H269" t="s">
        <v>14</v>
      </c>
      <c r="I269">
        <v>5.3804841590088942E-2</v>
      </c>
      <c r="J269" t="s">
        <v>6</v>
      </c>
    </row>
    <row r="270" spans="2:10" x14ac:dyDescent="0.45">
      <c r="B270" t="s">
        <v>770</v>
      </c>
      <c r="C270" t="s">
        <v>15</v>
      </c>
      <c r="D270">
        <v>0.28678261060019689</v>
      </c>
      <c r="E270" t="s">
        <v>6</v>
      </c>
      <c r="G270" t="s">
        <v>771</v>
      </c>
      <c r="H270" t="s">
        <v>15</v>
      </c>
      <c r="I270">
        <v>5.3678950531894316E-2</v>
      </c>
      <c r="J270" t="s">
        <v>6</v>
      </c>
    </row>
    <row r="271" spans="2:10" x14ac:dyDescent="0.45">
      <c r="B271" t="s">
        <v>770</v>
      </c>
      <c r="C271" t="s">
        <v>16</v>
      </c>
      <c r="D271">
        <v>2.5081432175838015E-2</v>
      </c>
      <c r="E271" t="s">
        <v>6</v>
      </c>
      <c r="G271" t="s">
        <v>771</v>
      </c>
      <c r="H271" t="s">
        <v>16</v>
      </c>
      <c r="I271">
        <v>5.5172967998892014E-2</v>
      </c>
      <c r="J271" t="s">
        <v>6</v>
      </c>
    </row>
    <row r="272" spans="2:10" x14ac:dyDescent="0.45">
      <c r="B272" t="s">
        <v>770</v>
      </c>
      <c r="C272" t="s">
        <v>17</v>
      </c>
      <c r="D272">
        <v>0</v>
      </c>
      <c r="E272" t="s">
        <v>6</v>
      </c>
      <c r="G272" t="s">
        <v>771</v>
      </c>
      <c r="H272" t="s">
        <v>17</v>
      </c>
      <c r="I272">
        <v>8.5904207999132384E-2</v>
      </c>
      <c r="J272" t="s">
        <v>6</v>
      </c>
    </row>
    <row r="273" spans="2:10" x14ac:dyDescent="0.45">
      <c r="B273" t="s">
        <v>770</v>
      </c>
      <c r="C273" t="s">
        <v>18</v>
      </c>
      <c r="D273">
        <v>0.22349548162958441</v>
      </c>
      <c r="E273" t="s">
        <v>6</v>
      </c>
      <c r="G273" t="s">
        <v>771</v>
      </c>
      <c r="H273" t="s">
        <v>18</v>
      </c>
      <c r="I273">
        <v>0.10378880002735863</v>
      </c>
      <c r="J273" t="s">
        <v>6</v>
      </c>
    </row>
    <row r="274" spans="2:10" x14ac:dyDescent="0.45">
      <c r="B274" t="s">
        <v>770</v>
      </c>
      <c r="C274" t="s">
        <v>19</v>
      </c>
      <c r="D274">
        <v>8.216352018203494E-3</v>
      </c>
      <c r="E274" t="s">
        <v>6</v>
      </c>
      <c r="G274" t="s">
        <v>771</v>
      </c>
      <c r="H274" t="s">
        <v>19</v>
      </c>
      <c r="I274">
        <v>7.9864833511596109E-2</v>
      </c>
      <c r="J274" t="s">
        <v>6</v>
      </c>
    </row>
    <row r="275" spans="2:10" x14ac:dyDescent="0.45">
      <c r="B275" t="s">
        <v>772</v>
      </c>
      <c r="C275" t="s">
        <v>5</v>
      </c>
      <c r="D275">
        <v>0</v>
      </c>
      <c r="E275" t="s">
        <v>6</v>
      </c>
      <c r="G275" t="s">
        <v>773</v>
      </c>
      <c r="H275" t="s">
        <v>5</v>
      </c>
      <c r="I275">
        <v>9.4776682110856783E-2</v>
      </c>
      <c r="J275" t="s">
        <v>6</v>
      </c>
    </row>
    <row r="276" spans="2:10" x14ac:dyDescent="0.45">
      <c r="B276" t="s">
        <v>772</v>
      </c>
      <c r="C276" t="s">
        <v>9</v>
      </c>
      <c r="D276">
        <v>0.19224122181286954</v>
      </c>
      <c r="E276" t="s">
        <v>6</v>
      </c>
      <c r="G276" t="s">
        <v>773</v>
      </c>
      <c r="H276" t="s">
        <v>9</v>
      </c>
      <c r="I276">
        <v>0.12658986893533164</v>
      </c>
      <c r="J276" t="s">
        <v>6</v>
      </c>
    </row>
    <row r="277" spans="2:10" x14ac:dyDescent="0.45">
      <c r="B277" t="s">
        <v>772</v>
      </c>
      <c r="C277" t="s">
        <v>10</v>
      </c>
      <c r="D277">
        <v>3.0672066279658333E-3</v>
      </c>
      <c r="E277" t="s">
        <v>6</v>
      </c>
      <c r="G277" t="s">
        <v>773</v>
      </c>
      <c r="H277" t="s">
        <v>10</v>
      </c>
      <c r="I277">
        <v>6.9233649404674566E-2</v>
      </c>
      <c r="J277" t="s">
        <v>6</v>
      </c>
    </row>
    <row r="278" spans="2:10" x14ac:dyDescent="0.45">
      <c r="B278" t="s">
        <v>772</v>
      </c>
      <c r="C278" t="s">
        <v>11</v>
      </c>
      <c r="D278">
        <v>5.9460269984674865E-4</v>
      </c>
      <c r="E278" t="s">
        <v>6</v>
      </c>
      <c r="G278" t="s">
        <v>773</v>
      </c>
      <c r="H278" t="s">
        <v>11</v>
      </c>
      <c r="I278">
        <v>7.0510800347101069E-2</v>
      </c>
      <c r="J278" t="s">
        <v>6</v>
      </c>
    </row>
    <row r="279" spans="2:10" x14ac:dyDescent="0.45">
      <c r="B279" t="s">
        <v>772</v>
      </c>
      <c r="C279" t="s">
        <v>12</v>
      </c>
      <c r="D279">
        <v>0.25611542410270277</v>
      </c>
      <c r="E279" t="s">
        <v>6</v>
      </c>
      <c r="G279" t="s">
        <v>773</v>
      </c>
      <c r="H279" t="s">
        <v>12</v>
      </c>
      <c r="I279">
        <v>0.12708302696102564</v>
      </c>
      <c r="J279" t="s">
        <v>6</v>
      </c>
    </row>
    <row r="280" spans="2:10" x14ac:dyDescent="0.45">
      <c r="B280" t="s">
        <v>772</v>
      </c>
      <c r="C280" t="s">
        <v>13</v>
      </c>
      <c r="D280">
        <v>1.4310803745212614E-2</v>
      </c>
      <c r="E280" t="s">
        <v>6</v>
      </c>
      <c r="G280" t="s">
        <v>773</v>
      </c>
      <c r="H280" t="s">
        <v>13</v>
      </c>
      <c r="I280">
        <v>6.6533921032100374E-2</v>
      </c>
      <c r="J280" t="s">
        <v>6</v>
      </c>
    </row>
    <row r="281" spans="2:10" x14ac:dyDescent="0.45">
      <c r="B281" t="s">
        <v>772</v>
      </c>
      <c r="C281" t="s">
        <v>14</v>
      </c>
      <c r="D281">
        <v>1.3961171599257544E-3</v>
      </c>
      <c r="E281" t="s">
        <v>6</v>
      </c>
      <c r="G281" t="s">
        <v>773</v>
      </c>
      <c r="H281" t="s">
        <v>14</v>
      </c>
      <c r="I281">
        <v>4.3610111249569414E-2</v>
      </c>
      <c r="J281" t="s">
        <v>6</v>
      </c>
    </row>
    <row r="282" spans="2:10" x14ac:dyDescent="0.45">
      <c r="B282" t="s">
        <v>772</v>
      </c>
      <c r="C282" t="s">
        <v>15</v>
      </c>
      <c r="D282">
        <v>0.28856967694384217</v>
      </c>
      <c r="E282" t="s">
        <v>6</v>
      </c>
      <c r="G282" t="s">
        <v>773</v>
      </c>
      <c r="H282" t="s">
        <v>15</v>
      </c>
      <c r="I282">
        <v>6.3689747157461715E-2</v>
      </c>
      <c r="J282" t="s">
        <v>6</v>
      </c>
    </row>
    <row r="283" spans="2:10" x14ac:dyDescent="0.45">
      <c r="B283" t="s">
        <v>772</v>
      </c>
      <c r="C283" t="s">
        <v>16</v>
      </c>
      <c r="D283">
        <v>2.0968018952230248E-2</v>
      </c>
      <c r="E283" t="s">
        <v>6</v>
      </c>
      <c r="G283" t="s">
        <v>773</v>
      </c>
      <c r="H283" t="s">
        <v>16</v>
      </c>
      <c r="I283">
        <v>5.1777233801560948E-2</v>
      </c>
      <c r="J283" t="s">
        <v>6</v>
      </c>
    </row>
    <row r="284" spans="2:10" x14ac:dyDescent="0.45">
      <c r="B284" t="s">
        <v>772</v>
      </c>
      <c r="C284" t="s">
        <v>17</v>
      </c>
      <c r="D284">
        <v>7.897927446153773E-6</v>
      </c>
      <c r="E284" t="s">
        <v>6</v>
      </c>
      <c r="G284" t="s">
        <v>773</v>
      </c>
      <c r="H284" t="s">
        <v>17</v>
      </c>
      <c r="I284">
        <v>8.9473808272240482E-2</v>
      </c>
      <c r="J284" t="s">
        <v>6</v>
      </c>
    </row>
    <row r="285" spans="2:10" x14ac:dyDescent="0.45">
      <c r="B285" t="s">
        <v>772</v>
      </c>
      <c r="C285" t="s">
        <v>18</v>
      </c>
      <c r="D285">
        <v>0.217878267202679</v>
      </c>
      <c r="E285" t="s">
        <v>6</v>
      </c>
      <c r="G285" t="s">
        <v>773</v>
      </c>
      <c r="H285" t="s">
        <v>18</v>
      </c>
      <c r="I285">
        <v>0.12218483042548019</v>
      </c>
      <c r="J285" t="s">
        <v>6</v>
      </c>
    </row>
    <row r="286" spans="2:10" x14ac:dyDescent="0.45">
      <c r="B286" t="s">
        <v>772</v>
      </c>
      <c r="C286" t="s">
        <v>19</v>
      </c>
      <c r="D286">
        <v>4.8507628252796716E-3</v>
      </c>
      <c r="E286" t="s">
        <v>6</v>
      </c>
      <c r="G286" t="s">
        <v>773</v>
      </c>
      <c r="H286" t="s">
        <v>19</v>
      </c>
      <c r="I286">
        <v>7.453632030259541E-2</v>
      </c>
      <c r="J286" t="s">
        <v>6</v>
      </c>
    </row>
    <row r="287" spans="2:10" x14ac:dyDescent="0.45">
      <c r="B287" t="s">
        <v>774</v>
      </c>
      <c r="C287" t="s">
        <v>5</v>
      </c>
      <c r="D287">
        <v>0</v>
      </c>
      <c r="E287" t="s">
        <v>6</v>
      </c>
      <c r="G287" t="s">
        <v>775</v>
      </c>
      <c r="H287" t="s">
        <v>5</v>
      </c>
      <c r="I287">
        <v>0.1041290449555002</v>
      </c>
      <c r="J287" t="s">
        <v>6</v>
      </c>
    </row>
    <row r="288" spans="2:10" x14ac:dyDescent="0.45">
      <c r="B288" t="s">
        <v>774</v>
      </c>
      <c r="C288" t="s">
        <v>9</v>
      </c>
      <c r="D288">
        <v>0.18178925319806158</v>
      </c>
      <c r="E288" t="s">
        <v>6</v>
      </c>
      <c r="G288" t="s">
        <v>775</v>
      </c>
      <c r="H288" t="s">
        <v>9</v>
      </c>
      <c r="I288">
        <v>0.13669927755150488</v>
      </c>
      <c r="J288" t="s">
        <v>6</v>
      </c>
    </row>
    <row r="289" spans="2:10" x14ac:dyDescent="0.45">
      <c r="B289" t="s">
        <v>774</v>
      </c>
      <c r="C289" t="s">
        <v>10</v>
      </c>
      <c r="D289">
        <v>4.2625131985558036E-3</v>
      </c>
      <c r="E289" t="s">
        <v>6</v>
      </c>
      <c r="G289" t="s">
        <v>775</v>
      </c>
      <c r="H289" t="s">
        <v>10</v>
      </c>
      <c r="I289">
        <v>8.7110998799597147E-2</v>
      </c>
      <c r="J289" t="s">
        <v>6</v>
      </c>
    </row>
    <row r="290" spans="2:10" x14ac:dyDescent="0.45">
      <c r="B290" t="s">
        <v>774</v>
      </c>
      <c r="C290" t="s">
        <v>11</v>
      </c>
      <c r="D290">
        <v>3.684996862842053E-4</v>
      </c>
      <c r="E290" t="s">
        <v>6</v>
      </c>
      <c r="G290" t="s">
        <v>775</v>
      </c>
      <c r="H290" t="s">
        <v>11</v>
      </c>
      <c r="I290">
        <v>8.6495791632906813E-2</v>
      </c>
      <c r="J290" t="s">
        <v>6</v>
      </c>
    </row>
    <row r="291" spans="2:10" x14ac:dyDescent="0.45">
      <c r="B291" t="s">
        <v>774</v>
      </c>
      <c r="C291" t="s">
        <v>12</v>
      </c>
      <c r="D291">
        <v>0.24977121665570726</v>
      </c>
      <c r="E291" t="s">
        <v>6</v>
      </c>
      <c r="G291" t="s">
        <v>775</v>
      </c>
      <c r="H291" t="s">
        <v>12</v>
      </c>
      <c r="I291">
        <v>0.15383490992047955</v>
      </c>
      <c r="J291" t="s">
        <v>6</v>
      </c>
    </row>
    <row r="292" spans="2:10" x14ac:dyDescent="0.45">
      <c r="B292" t="s">
        <v>774</v>
      </c>
      <c r="C292" t="s">
        <v>13</v>
      </c>
      <c r="D292">
        <v>1.8423455335100133E-2</v>
      </c>
      <c r="E292" t="s">
        <v>6</v>
      </c>
      <c r="G292" t="s">
        <v>775</v>
      </c>
      <c r="H292" t="s">
        <v>13</v>
      </c>
      <c r="I292">
        <v>8.3491125332777014E-2</v>
      </c>
      <c r="J292" t="s">
        <v>6</v>
      </c>
    </row>
    <row r="293" spans="2:10" x14ac:dyDescent="0.45">
      <c r="B293" t="s">
        <v>774</v>
      </c>
      <c r="C293" t="s">
        <v>14</v>
      </c>
      <c r="D293">
        <v>8.5908879723366042E-4</v>
      </c>
      <c r="E293" t="s">
        <v>6</v>
      </c>
      <c r="G293" t="s">
        <v>775</v>
      </c>
      <c r="H293" t="s">
        <v>14</v>
      </c>
      <c r="I293">
        <v>2.2147233073060768E-2</v>
      </c>
      <c r="J293" t="s">
        <v>6</v>
      </c>
    </row>
    <row r="294" spans="2:10" x14ac:dyDescent="0.45">
      <c r="B294" t="s">
        <v>774</v>
      </c>
      <c r="C294" t="s">
        <v>15</v>
      </c>
      <c r="D294">
        <v>0.29324055207825522</v>
      </c>
      <c r="E294" t="s">
        <v>6</v>
      </c>
      <c r="G294" t="s">
        <v>775</v>
      </c>
      <c r="H294" t="s">
        <v>15</v>
      </c>
      <c r="I294">
        <v>5.7401612130955543E-2</v>
      </c>
      <c r="J294" t="s">
        <v>6</v>
      </c>
    </row>
    <row r="295" spans="2:10" x14ac:dyDescent="0.45">
      <c r="B295" t="s">
        <v>774</v>
      </c>
      <c r="C295" t="s">
        <v>16</v>
      </c>
      <c r="D295">
        <v>2.6154794398980045E-2</v>
      </c>
      <c r="E295" t="s">
        <v>6</v>
      </c>
      <c r="G295" t="s">
        <v>775</v>
      </c>
      <c r="H295" t="s">
        <v>16</v>
      </c>
      <c r="I295">
        <v>3.4383531679060803E-2</v>
      </c>
      <c r="J295" t="s">
        <v>6</v>
      </c>
    </row>
    <row r="296" spans="2:10" x14ac:dyDescent="0.45">
      <c r="B296" t="s">
        <v>774</v>
      </c>
      <c r="C296" t="s">
        <v>17</v>
      </c>
      <c r="D296">
        <v>0</v>
      </c>
      <c r="E296" t="s">
        <v>6</v>
      </c>
      <c r="G296" t="s">
        <v>775</v>
      </c>
      <c r="H296" t="s">
        <v>17</v>
      </c>
      <c r="I296">
        <v>7.1742540339476163E-2</v>
      </c>
      <c r="J296" t="s">
        <v>6</v>
      </c>
    </row>
    <row r="297" spans="2:10" x14ac:dyDescent="0.45">
      <c r="B297" t="s">
        <v>774</v>
      </c>
      <c r="C297" t="s">
        <v>18</v>
      </c>
      <c r="D297">
        <v>0.21774194101637978</v>
      </c>
      <c r="E297" t="s">
        <v>6</v>
      </c>
      <c r="G297" t="s">
        <v>775</v>
      </c>
      <c r="H297" t="s">
        <v>18</v>
      </c>
      <c r="I297">
        <v>9.6930771223607257E-2</v>
      </c>
      <c r="J297" t="s">
        <v>6</v>
      </c>
    </row>
    <row r="298" spans="2:10" x14ac:dyDescent="0.45">
      <c r="B298" t="s">
        <v>774</v>
      </c>
      <c r="C298" t="s">
        <v>19</v>
      </c>
      <c r="D298">
        <v>7.3886856354439812E-3</v>
      </c>
      <c r="E298" t="s">
        <v>6</v>
      </c>
      <c r="G298" t="s">
        <v>775</v>
      </c>
      <c r="H298" t="s">
        <v>19</v>
      </c>
      <c r="I298">
        <v>6.5633163361075997E-2</v>
      </c>
      <c r="J298" t="s">
        <v>6</v>
      </c>
    </row>
    <row r="299" spans="2:10" x14ac:dyDescent="0.45">
      <c r="B299" t="s">
        <v>776</v>
      </c>
      <c r="C299" t="s">
        <v>5</v>
      </c>
      <c r="D299">
        <v>0</v>
      </c>
      <c r="E299" t="s">
        <v>6</v>
      </c>
      <c r="G299" t="s">
        <v>777</v>
      </c>
      <c r="H299" t="s">
        <v>5</v>
      </c>
      <c r="I299">
        <v>0.13401978791826435</v>
      </c>
      <c r="J299" t="s">
        <v>6</v>
      </c>
    </row>
    <row r="300" spans="2:10" x14ac:dyDescent="0.45">
      <c r="B300" t="s">
        <v>776</v>
      </c>
      <c r="C300" t="s">
        <v>9</v>
      </c>
      <c r="D300">
        <v>0.19894211677832996</v>
      </c>
      <c r="E300" t="s">
        <v>6</v>
      </c>
      <c r="G300" t="s">
        <v>777</v>
      </c>
      <c r="H300" t="s">
        <v>9</v>
      </c>
      <c r="I300">
        <v>0.16401706342668859</v>
      </c>
      <c r="J300" t="s">
        <v>6</v>
      </c>
    </row>
    <row r="301" spans="2:10" x14ac:dyDescent="0.45">
      <c r="B301" t="s">
        <v>776</v>
      </c>
      <c r="C301" t="s">
        <v>10</v>
      </c>
      <c r="D301">
        <v>3.4986797104329839E-3</v>
      </c>
      <c r="E301" t="s">
        <v>6</v>
      </c>
      <c r="G301" t="s">
        <v>777</v>
      </c>
      <c r="H301" t="s">
        <v>10</v>
      </c>
      <c r="I301">
        <v>8.5140367930833308E-2</v>
      </c>
      <c r="J301" t="s">
        <v>6</v>
      </c>
    </row>
    <row r="302" spans="2:10" x14ac:dyDescent="0.45">
      <c r="B302" t="s">
        <v>776</v>
      </c>
      <c r="C302" t="s">
        <v>11</v>
      </c>
      <c r="D302">
        <v>5.9422426679739599E-4</v>
      </c>
      <c r="E302" t="s">
        <v>6</v>
      </c>
      <c r="G302" t="s">
        <v>777</v>
      </c>
      <c r="H302" t="s">
        <v>11</v>
      </c>
      <c r="I302">
        <v>9.4456995065061708E-2</v>
      </c>
      <c r="J302" t="s">
        <v>6</v>
      </c>
    </row>
    <row r="303" spans="2:10" x14ac:dyDescent="0.45">
      <c r="B303" t="s">
        <v>776</v>
      </c>
      <c r="C303" t="s">
        <v>12</v>
      </c>
      <c r="D303">
        <v>0.26048218477618068</v>
      </c>
      <c r="E303" t="s">
        <v>6</v>
      </c>
      <c r="G303" t="s">
        <v>777</v>
      </c>
      <c r="H303" t="s">
        <v>12</v>
      </c>
      <c r="I303">
        <v>0.13000000711983417</v>
      </c>
      <c r="J303" t="s">
        <v>6</v>
      </c>
    </row>
    <row r="304" spans="2:10" x14ac:dyDescent="0.45">
      <c r="B304" t="s">
        <v>776</v>
      </c>
      <c r="C304" t="s">
        <v>13</v>
      </c>
      <c r="D304">
        <v>1.5715662282220457E-2</v>
      </c>
      <c r="E304" t="s">
        <v>6</v>
      </c>
      <c r="G304" t="s">
        <v>777</v>
      </c>
      <c r="H304" t="s">
        <v>13</v>
      </c>
      <c r="I304">
        <v>7.3134623467587853E-2</v>
      </c>
      <c r="J304" t="s">
        <v>6</v>
      </c>
    </row>
    <row r="305" spans="2:10" x14ac:dyDescent="0.45">
      <c r="B305" t="s">
        <v>776</v>
      </c>
      <c r="C305" t="s">
        <v>14</v>
      </c>
      <c r="D305">
        <v>1.2446591035746742E-3</v>
      </c>
      <c r="E305" t="s">
        <v>6</v>
      </c>
      <c r="G305" t="s">
        <v>777</v>
      </c>
      <c r="H305" t="s">
        <v>14</v>
      </c>
      <c r="I305">
        <v>2.1781122119207956E-2</v>
      </c>
      <c r="J305" t="s">
        <v>6</v>
      </c>
    </row>
    <row r="306" spans="2:10" x14ac:dyDescent="0.45">
      <c r="B306" t="s">
        <v>776</v>
      </c>
      <c r="C306" t="s">
        <v>15</v>
      </c>
      <c r="D306">
        <v>0.27590963222803222</v>
      </c>
      <c r="E306" t="s">
        <v>6</v>
      </c>
      <c r="G306" t="s">
        <v>777</v>
      </c>
      <c r="H306" t="s">
        <v>15</v>
      </c>
      <c r="I306">
        <v>5.0878047551840562E-2</v>
      </c>
      <c r="J306" t="s">
        <v>6</v>
      </c>
    </row>
    <row r="307" spans="2:10" x14ac:dyDescent="0.45">
      <c r="B307" t="s">
        <v>776</v>
      </c>
      <c r="C307" t="s">
        <v>16</v>
      </c>
      <c r="D307">
        <v>2.0323000605106872E-2</v>
      </c>
      <c r="E307" t="s">
        <v>6</v>
      </c>
      <c r="G307" t="s">
        <v>777</v>
      </c>
      <c r="H307" t="s">
        <v>16</v>
      </c>
      <c r="I307">
        <v>1.791040290746327E-2</v>
      </c>
      <c r="J307" t="s">
        <v>6</v>
      </c>
    </row>
    <row r="308" spans="2:10" x14ac:dyDescent="0.45">
      <c r="B308" t="s">
        <v>776</v>
      </c>
      <c r="C308" t="s">
        <v>17</v>
      </c>
      <c r="D308">
        <v>1.9485543295878185E-6</v>
      </c>
      <c r="E308" t="s">
        <v>6</v>
      </c>
      <c r="G308" t="s">
        <v>777</v>
      </c>
      <c r="H308" t="s">
        <v>17</v>
      </c>
      <c r="I308">
        <v>7.7198463825377164E-2</v>
      </c>
      <c r="J308" t="s">
        <v>6</v>
      </c>
    </row>
    <row r="309" spans="2:10" x14ac:dyDescent="0.45">
      <c r="B309" t="s">
        <v>776</v>
      </c>
      <c r="C309" t="s">
        <v>18</v>
      </c>
      <c r="D309">
        <v>0.21765321773024804</v>
      </c>
      <c r="E309" t="s">
        <v>6</v>
      </c>
      <c r="G309" t="s">
        <v>777</v>
      </c>
      <c r="H309" t="s">
        <v>18</v>
      </c>
      <c r="I309">
        <v>9.3011253722598303E-2</v>
      </c>
      <c r="J309" t="s">
        <v>6</v>
      </c>
    </row>
    <row r="310" spans="2:10" x14ac:dyDescent="0.45">
      <c r="B310" t="s">
        <v>776</v>
      </c>
      <c r="C310" t="s">
        <v>19</v>
      </c>
      <c r="D310">
        <v>5.634673964747791E-3</v>
      </c>
      <c r="E310" t="s">
        <v>6</v>
      </c>
      <c r="G310" t="s">
        <v>777</v>
      </c>
      <c r="H310" t="s">
        <v>19</v>
      </c>
      <c r="I310">
        <v>5.8451864945246373E-2</v>
      </c>
      <c r="J310" t="s">
        <v>6</v>
      </c>
    </row>
    <row r="311" spans="2:10" x14ac:dyDescent="0.45">
      <c r="B311" t="s">
        <v>778</v>
      </c>
      <c r="C311" t="s">
        <v>5</v>
      </c>
      <c r="D311">
        <v>0</v>
      </c>
      <c r="E311" t="s">
        <v>6</v>
      </c>
    </row>
    <row r="312" spans="2:10" x14ac:dyDescent="0.45">
      <c r="B312" t="s">
        <v>778</v>
      </c>
      <c r="C312" t="s">
        <v>9</v>
      </c>
      <c r="D312">
        <v>0.19284528893755254</v>
      </c>
      <c r="E312" t="s">
        <v>6</v>
      </c>
    </row>
    <row r="313" spans="2:10" x14ac:dyDescent="0.45">
      <c r="B313" t="s">
        <v>778</v>
      </c>
      <c r="C313" t="s">
        <v>10</v>
      </c>
      <c r="D313">
        <v>4.3068005759969389E-3</v>
      </c>
      <c r="E313" t="s">
        <v>6</v>
      </c>
    </row>
    <row r="314" spans="2:10" x14ac:dyDescent="0.45">
      <c r="B314" t="s">
        <v>778</v>
      </c>
      <c r="C314" t="s">
        <v>11</v>
      </c>
      <c r="D314">
        <v>4.4797577583266187E-4</v>
      </c>
      <c r="E314" t="s">
        <v>6</v>
      </c>
    </row>
    <row r="315" spans="2:10" x14ac:dyDescent="0.45">
      <c r="B315" t="s">
        <v>778</v>
      </c>
      <c r="C315" t="s">
        <v>12</v>
      </c>
      <c r="D315">
        <v>0.25668918920183287</v>
      </c>
      <c r="E315" t="s">
        <v>6</v>
      </c>
    </row>
    <row r="316" spans="2:10" x14ac:dyDescent="0.45">
      <c r="B316" t="s">
        <v>778</v>
      </c>
      <c r="C316" t="s">
        <v>13</v>
      </c>
      <c r="D316">
        <v>1.6790147658974731E-2</v>
      </c>
      <c r="E316" t="s">
        <v>6</v>
      </c>
    </row>
    <row r="317" spans="2:10" x14ac:dyDescent="0.45">
      <c r="B317" t="s">
        <v>778</v>
      </c>
      <c r="C317" t="s">
        <v>14</v>
      </c>
      <c r="D317">
        <v>9.6628794746197717E-4</v>
      </c>
      <c r="E317" t="s">
        <v>6</v>
      </c>
    </row>
    <row r="318" spans="2:10" x14ac:dyDescent="0.45">
      <c r="B318" t="s">
        <v>778</v>
      </c>
      <c r="C318" t="s">
        <v>15</v>
      </c>
      <c r="D318">
        <v>0.27576635410344702</v>
      </c>
      <c r="E318" t="s">
        <v>6</v>
      </c>
    </row>
    <row r="319" spans="2:10" x14ac:dyDescent="0.45">
      <c r="B319" t="s">
        <v>778</v>
      </c>
      <c r="C319" t="s">
        <v>16</v>
      </c>
      <c r="D319">
        <v>2.1949717982134312E-2</v>
      </c>
      <c r="E319" t="s">
        <v>6</v>
      </c>
    </row>
    <row r="320" spans="2:10" x14ac:dyDescent="0.45">
      <c r="B320" t="s">
        <v>778</v>
      </c>
      <c r="C320" t="s">
        <v>17</v>
      </c>
      <c r="D320">
        <v>4.0211208453495539E-8</v>
      </c>
      <c r="E320" t="s">
        <v>6</v>
      </c>
    </row>
    <row r="321" spans="2:5" x14ac:dyDescent="0.45">
      <c r="B321" t="s">
        <v>778</v>
      </c>
      <c r="C321" t="s">
        <v>18</v>
      </c>
      <c r="D321">
        <v>0.22352256705405291</v>
      </c>
      <c r="E321" t="s">
        <v>6</v>
      </c>
    </row>
    <row r="322" spans="2:5" x14ac:dyDescent="0.45">
      <c r="B322" t="s">
        <v>778</v>
      </c>
      <c r="C322" t="s">
        <v>19</v>
      </c>
      <c r="D322">
        <v>6.7156305515052393E-3</v>
      </c>
      <c r="E322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B07DF-ADB2-4A4A-88F1-1244C368F227}">
  <dimension ref="B9:CI8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other_indexes=ACT; region=ESP")</f>
        <v>~TFM_DINS-TSL: attribute=FLO_EMIS; other_indexes=ACT; region=ESP</v>
      </c>
      <c r="Q9" t="str">
        <f>IF(A11="x","DeActivated","~TFM_DINS-TSL: attribute=FLO_SHAR; limtype=FX; region=ESP")</f>
        <v>~TFM_DINS-TSL: attribute=FLO_SHAR; limtype=FX; region=ESP</v>
      </c>
      <c r="AF9" t="str">
        <f>IF(A11="x","DeActivated","~TFM_DINS-TSL: attribute=FLO_SHAR; limtype=FX; region=ESP")</f>
        <v>~TFM_DINS-TSL: attribute=FLO_SHAR; limtype=FX; region=ESP</v>
      </c>
      <c r="AU9" t="str">
        <f>IF(A11="x","DeActivated","~TFM_DINS-TSL: attribute=FLO_SHAR; limtype=FX; region=ESP")</f>
        <v>~TFM_DINS-TSL: attribute=FLO_SHAR; limtype=FX; region=ESP</v>
      </c>
      <c r="BJ9" t="str">
        <f>IF(A11="x","DeActivated","~TFM_INS: region=ESP")</f>
        <v>~TFM_INS: region=ESP</v>
      </c>
      <c r="BR9" t="str">
        <f>IF(A11="x","DeActivated","~TFM_DINS-TSL: attribute=NCAP_PKCNT; region=ESP")</f>
        <v>~TFM_DINS-TSL: attribute=NCAP_PKCNT; region=ESP</v>
      </c>
      <c r="CF9" t="str">
        <f>IF(A11="x","DeActivated","~TFM_DINS-AT: region=ESP")</f>
        <v>~TFM_DINS-AT: region=ESP</v>
      </c>
    </row>
    <row r="10" spans="2:87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0</v>
      </c>
      <c r="AW10" t="s">
        <v>5</v>
      </c>
      <c r="AX10" t="s">
        <v>9</v>
      </c>
      <c r="AY10" t="s">
        <v>10</v>
      </c>
      <c r="AZ10" t="s">
        <v>11</v>
      </c>
      <c r="BA10" t="s">
        <v>12</v>
      </c>
      <c r="BB10" t="s">
        <v>13</v>
      </c>
      <c r="BC10" t="s">
        <v>14</v>
      </c>
      <c r="BD10" t="s">
        <v>15</v>
      </c>
      <c r="BE10" t="s">
        <v>16</v>
      </c>
      <c r="BF10" t="s">
        <v>17</v>
      </c>
      <c r="BG10" t="s">
        <v>18</v>
      </c>
      <c r="BH10" t="s">
        <v>19</v>
      </c>
      <c r="BJ10" t="s">
        <v>92</v>
      </c>
      <c r="BK10" t="s">
        <v>3</v>
      </c>
      <c r="BL10" t="s">
        <v>0</v>
      </c>
      <c r="BM10" t="s">
        <v>93</v>
      </c>
      <c r="BN10" t="s">
        <v>94</v>
      </c>
      <c r="BO10" t="s">
        <v>95</v>
      </c>
      <c r="BP10" t="s">
        <v>1</v>
      </c>
      <c r="BR10" t="s">
        <v>3</v>
      </c>
      <c r="BS10" t="s">
        <v>5</v>
      </c>
      <c r="BT10" t="s">
        <v>9</v>
      </c>
      <c r="BU10" t="s">
        <v>10</v>
      </c>
      <c r="BV10" t="s">
        <v>11</v>
      </c>
      <c r="BW10" t="s">
        <v>12</v>
      </c>
      <c r="BX10" t="s">
        <v>13</v>
      </c>
      <c r="BY10" t="s">
        <v>14</v>
      </c>
      <c r="BZ10" t="s">
        <v>15</v>
      </c>
      <c r="CA10" t="s">
        <v>16</v>
      </c>
      <c r="CB10" t="s">
        <v>17</v>
      </c>
      <c r="CC10" t="s">
        <v>18</v>
      </c>
      <c r="CD10" t="s">
        <v>19</v>
      </c>
      <c r="CF10" t="s">
        <v>3</v>
      </c>
      <c r="CG10" t="s">
        <v>0</v>
      </c>
      <c r="CH10" t="s">
        <v>96</v>
      </c>
      <c r="CI10" t="s">
        <v>97</v>
      </c>
    </row>
    <row r="11" spans="2:87" x14ac:dyDescent="0.45">
      <c r="B11" t="s">
        <v>779</v>
      </c>
      <c r="C11" t="s">
        <v>99</v>
      </c>
      <c r="D11">
        <v>0</v>
      </c>
      <c r="E11">
        <v>0.32803700443669542</v>
      </c>
      <c r="F11">
        <v>0.85780496610323997</v>
      </c>
      <c r="G11">
        <v>0.94233689538515353</v>
      </c>
      <c r="H11">
        <v>0.24219536006007553</v>
      </c>
      <c r="I11">
        <v>0.65682216416249106</v>
      </c>
      <c r="J11">
        <v>0.89030866912287254</v>
      </c>
      <c r="K11">
        <v>0.18344186605954446</v>
      </c>
      <c r="L11">
        <v>0.61173152896326366</v>
      </c>
      <c r="M11">
        <v>0</v>
      </c>
      <c r="N11">
        <v>0.28239508075788078</v>
      </c>
      <c r="O11">
        <v>0.79658546198163127</v>
      </c>
      <c r="Q11" t="s">
        <v>779</v>
      </c>
      <c r="R11" t="s">
        <v>100</v>
      </c>
      <c r="S11">
        <v>0</v>
      </c>
      <c r="T11">
        <v>0.17952456771893313</v>
      </c>
      <c r="U11">
        <v>0.38180901820151009</v>
      </c>
      <c r="V11">
        <v>0.88896957074771432</v>
      </c>
      <c r="W11">
        <v>0.1174688476038212</v>
      </c>
      <c r="X11">
        <v>0.19515229896660632</v>
      </c>
      <c r="Y11">
        <v>0.79787632054442736</v>
      </c>
      <c r="Z11">
        <v>9.2632411186745436E-2</v>
      </c>
      <c r="AA11">
        <v>0.1953484836603564</v>
      </c>
      <c r="AB11">
        <v>0</v>
      </c>
      <c r="AC11">
        <v>0.14210513387360177</v>
      </c>
      <c r="AD11">
        <v>0.26526400127040634</v>
      </c>
      <c r="AF11" t="s">
        <v>779</v>
      </c>
      <c r="AG11" t="s">
        <v>101</v>
      </c>
      <c r="AH11">
        <v>0</v>
      </c>
      <c r="AI11">
        <v>1.1978006346444149E-2</v>
      </c>
      <c r="AJ11">
        <v>0.37105890095717997</v>
      </c>
      <c r="AK11">
        <v>0</v>
      </c>
      <c r="AL11">
        <v>1.6890943255486679E-2</v>
      </c>
      <c r="AM11">
        <v>0.29091964098936884</v>
      </c>
      <c r="AN11">
        <v>0</v>
      </c>
      <c r="AO11">
        <v>5.2205838977223713E-3</v>
      </c>
      <c r="AP11">
        <v>0.22790106221333004</v>
      </c>
      <c r="AQ11">
        <v>0</v>
      </c>
      <c r="AR11">
        <v>1.7892051210401584E-2</v>
      </c>
      <c r="AS11">
        <v>0.39725409674541096</v>
      </c>
      <c r="AU11" t="s">
        <v>779</v>
      </c>
      <c r="AV11" t="s">
        <v>102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103</v>
      </c>
      <c r="BK11" t="s">
        <v>104</v>
      </c>
      <c r="BL11" t="s">
        <v>105</v>
      </c>
      <c r="BM11">
        <v>0</v>
      </c>
      <c r="BN11" t="s">
        <v>106</v>
      </c>
      <c r="BO11">
        <v>3</v>
      </c>
      <c r="BP11" t="s">
        <v>107</v>
      </c>
      <c r="BR11" t="s">
        <v>779</v>
      </c>
      <c r="BS11">
        <v>0</v>
      </c>
      <c r="BT11">
        <v>0.2637260710474818</v>
      </c>
      <c r="BU11">
        <v>1.1002350374982622E-2</v>
      </c>
      <c r="BV11">
        <v>5.971442009635999E-4</v>
      </c>
      <c r="BW11">
        <v>0.37862735942131936</v>
      </c>
      <c r="BX11">
        <v>4.9259494410767379E-2</v>
      </c>
      <c r="BY11">
        <v>1.5820105467564552E-3</v>
      </c>
      <c r="BZ11">
        <v>0.45549864431472631</v>
      </c>
      <c r="CA11">
        <v>7.2602931525986264E-2</v>
      </c>
      <c r="CB11">
        <v>0</v>
      </c>
      <c r="CC11">
        <v>0.31915289679169978</v>
      </c>
      <c r="CD11">
        <v>1.9809623709983386E-2</v>
      </c>
      <c r="CF11" t="s">
        <v>779</v>
      </c>
      <c r="CG11" t="s">
        <v>108</v>
      </c>
      <c r="CH11" t="s">
        <v>109</v>
      </c>
      <c r="CI11">
        <v>0.41884558926025345</v>
      </c>
    </row>
    <row r="12" spans="2:87" x14ac:dyDescent="0.45">
      <c r="B12" t="s">
        <v>780</v>
      </c>
      <c r="C12" t="s">
        <v>99</v>
      </c>
      <c r="D12">
        <v>0</v>
      </c>
      <c r="E12">
        <v>0.3548295761749366</v>
      </c>
      <c r="F12">
        <v>0.81178150205655397</v>
      </c>
      <c r="G12">
        <v>0.94904065782034308</v>
      </c>
      <c r="H12">
        <v>0.25493022203745086</v>
      </c>
      <c r="I12">
        <v>0.65351746614069317</v>
      </c>
      <c r="J12">
        <v>0.90138102979728507</v>
      </c>
      <c r="K12">
        <v>0.19086277982271346</v>
      </c>
      <c r="L12">
        <v>0.60423985162660032</v>
      </c>
      <c r="M12">
        <v>0</v>
      </c>
      <c r="N12">
        <v>0.31152869032007852</v>
      </c>
      <c r="O12">
        <v>0.77544722575977876</v>
      </c>
      <c r="Q12" t="s">
        <v>780</v>
      </c>
      <c r="R12" t="s">
        <v>100</v>
      </c>
      <c r="S12">
        <v>0</v>
      </c>
      <c r="T12">
        <v>0.19773677737881964</v>
      </c>
      <c r="U12">
        <v>0.27636117813959271</v>
      </c>
      <c r="V12">
        <v>0.90637719151107921</v>
      </c>
      <c r="W12">
        <v>0.12596076212228138</v>
      </c>
      <c r="X12">
        <v>0.18477187361498296</v>
      </c>
      <c r="Y12">
        <v>0.81695544031749834</v>
      </c>
      <c r="Z12">
        <v>9.143090971636407E-2</v>
      </c>
      <c r="AA12">
        <v>0.14955515444176862</v>
      </c>
      <c r="AB12">
        <v>0</v>
      </c>
      <c r="AC12">
        <v>0.1604331378193081</v>
      </c>
      <c r="AD12">
        <v>0.20745873128763337</v>
      </c>
      <c r="AF12" t="s">
        <v>780</v>
      </c>
      <c r="AG12" t="s">
        <v>101</v>
      </c>
      <c r="AH12">
        <v>0</v>
      </c>
      <c r="AI12">
        <v>1.4767738514931603E-2</v>
      </c>
      <c r="AJ12">
        <v>0.40251690519191191</v>
      </c>
      <c r="AK12">
        <v>0</v>
      </c>
      <c r="AL12">
        <v>1.7346457049944836E-2</v>
      </c>
      <c r="AM12">
        <v>0.29311717642948093</v>
      </c>
      <c r="AN12">
        <v>0</v>
      </c>
      <c r="AO12">
        <v>7.0668426398265852E-3</v>
      </c>
      <c r="AP12">
        <v>0.2661521067750679</v>
      </c>
      <c r="AQ12">
        <v>0</v>
      </c>
      <c r="AR12">
        <v>2.2291473694419646E-2</v>
      </c>
      <c r="AS12">
        <v>0.42156307742198762</v>
      </c>
      <c r="AU12" t="s">
        <v>780</v>
      </c>
      <c r="AV12" t="s">
        <v>102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780</v>
      </c>
      <c r="BS12">
        <v>0</v>
      </c>
      <c r="BT12">
        <v>0.23893172802984106</v>
      </c>
      <c r="BU12">
        <v>1.5267110507509007E-2</v>
      </c>
      <c r="BV12">
        <v>4.2785313529546126E-4</v>
      </c>
      <c r="BW12">
        <v>0.3644829033660984</v>
      </c>
      <c r="BX12">
        <v>5.2997565516834898E-2</v>
      </c>
      <c r="BY12">
        <v>1.2304152768105702E-3</v>
      </c>
      <c r="BZ12">
        <v>0.46632877829559</v>
      </c>
      <c r="CA12">
        <v>8.0867327275987694E-2</v>
      </c>
      <c r="CB12">
        <v>0</v>
      </c>
      <c r="CC12">
        <v>0.29977408832298086</v>
      </c>
      <c r="CD12">
        <v>2.4479643201144166E-2</v>
      </c>
      <c r="CF12" t="s">
        <v>780</v>
      </c>
      <c r="CG12" t="s">
        <v>108</v>
      </c>
      <c r="CH12" t="s">
        <v>109</v>
      </c>
      <c r="CI12">
        <v>0.44265693338368867</v>
      </c>
    </row>
    <row r="13" spans="2:87" x14ac:dyDescent="0.45">
      <c r="B13" t="s">
        <v>781</v>
      </c>
      <c r="C13" t="s">
        <v>99</v>
      </c>
      <c r="D13">
        <v>0</v>
      </c>
      <c r="E13">
        <v>0.35643321455971294</v>
      </c>
      <c r="F13">
        <v>0.83997129554612227</v>
      </c>
      <c r="G13">
        <v>0.94658571137244218</v>
      </c>
      <c r="H13">
        <v>0.26067825152123503</v>
      </c>
      <c r="I13">
        <v>0.6554287330556996</v>
      </c>
      <c r="J13">
        <v>0.89738385896356843</v>
      </c>
      <c r="K13">
        <v>0.21188626059081203</v>
      </c>
      <c r="L13">
        <v>0.60758501108179674</v>
      </c>
      <c r="M13">
        <v>0</v>
      </c>
      <c r="N13">
        <v>0.32246394908745812</v>
      </c>
      <c r="O13">
        <v>0.78501081331930633</v>
      </c>
      <c r="Q13" t="s">
        <v>781</v>
      </c>
      <c r="R13" t="s">
        <v>100</v>
      </c>
      <c r="S13">
        <v>0</v>
      </c>
      <c r="T13">
        <v>0.20287126996303761</v>
      </c>
      <c r="U13">
        <v>0.28718286198709925</v>
      </c>
      <c r="V13">
        <v>0.89989162841436943</v>
      </c>
      <c r="W13">
        <v>0.1296546979565</v>
      </c>
      <c r="X13">
        <v>0.21490480581977631</v>
      </c>
      <c r="Y13">
        <v>0.81276570422872263</v>
      </c>
      <c r="Z13">
        <v>0.1057418127909197</v>
      </c>
      <c r="AA13">
        <v>0.13495447492737603</v>
      </c>
      <c r="AB13">
        <v>0</v>
      </c>
      <c r="AC13">
        <v>0.16696772156933537</v>
      </c>
      <c r="AD13">
        <v>0.224438205949095</v>
      </c>
      <c r="AF13" t="s">
        <v>781</v>
      </c>
      <c r="AG13" t="s">
        <v>101</v>
      </c>
      <c r="AH13">
        <v>0</v>
      </c>
      <c r="AI13">
        <v>1.2241845659955595E-2</v>
      </c>
      <c r="AJ13">
        <v>0.44111378959622344</v>
      </c>
      <c r="AK13">
        <v>0</v>
      </c>
      <c r="AL13">
        <v>2.0687569056982096E-2</v>
      </c>
      <c r="AM13">
        <v>0.26710758898947423</v>
      </c>
      <c r="AN13">
        <v>0</v>
      </c>
      <c r="AO13">
        <v>1.0337793311852412E-2</v>
      </c>
      <c r="AP13">
        <v>0.28937276434350501</v>
      </c>
      <c r="AQ13">
        <v>0</v>
      </c>
      <c r="AR13">
        <v>2.4961616717946434E-2</v>
      </c>
      <c r="AS13">
        <v>0.42440910007919141</v>
      </c>
      <c r="AU13" t="s">
        <v>781</v>
      </c>
      <c r="AV13" t="s">
        <v>102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781</v>
      </c>
      <c r="BS13">
        <v>0</v>
      </c>
      <c r="BT13">
        <v>0.22989401954235966</v>
      </c>
      <c r="BU13">
        <v>1.1506157168738125E-2</v>
      </c>
      <c r="BV13">
        <v>4.3728284880880009E-4</v>
      </c>
      <c r="BW13">
        <v>0.35109724303241147</v>
      </c>
      <c r="BX13">
        <v>4.8756872632928092E-2</v>
      </c>
      <c r="BY13">
        <v>1.2324029565268511E-3</v>
      </c>
      <c r="BZ13">
        <v>0.4257334480425547</v>
      </c>
      <c r="CA13">
        <v>7.4838506124961901E-2</v>
      </c>
      <c r="CB13">
        <v>0</v>
      </c>
      <c r="CC13">
        <v>0.2749107539517186</v>
      </c>
      <c r="CD13">
        <v>2.024231392096016E-2</v>
      </c>
      <c r="CF13" t="s">
        <v>781</v>
      </c>
      <c r="CG13" t="s">
        <v>108</v>
      </c>
      <c r="CH13" t="s">
        <v>109</v>
      </c>
      <c r="CI13">
        <v>0.41364647159694223</v>
      </c>
    </row>
    <row r="14" spans="2:87" x14ac:dyDescent="0.45">
      <c r="B14" t="s">
        <v>782</v>
      </c>
      <c r="C14" t="s">
        <v>99</v>
      </c>
      <c r="D14">
        <v>0</v>
      </c>
      <c r="E14">
        <v>0.40555649093910834</v>
      </c>
      <c r="F14">
        <v>0.79916585656435757</v>
      </c>
      <c r="G14">
        <v>0.96443074176382071</v>
      </c>
      <c r="H14">
        <v>0.27857914864740896</v>
      </c>
      <c r="I14">
        <v>0.62061984116118241</v>
      </c>
      <c r="J14">
        <v>0.91838373187563693</v>
      </c>
      <c r="K14">
        <v>0.21324739460316372</v>
      </c>
      <c r="L14">
        <v>0.56042586932429228</v>
      </c>
      <c r="M14">
        <v>0</v>
      </c>
      <c r="N14">
        <v>0.31553964673839452</v>
      </c>
      <c r="O14">
        <v>0.75699818337397184</v>
      </c>
      <c r="Q14" t="s">
        <v>782</v>
      </c>
      <c r="R14" t="s">
        <v>100</v>
      </c>
      <c r="S14">
        <v>0</v>
      </c>
      <c r="T14">
        <v>0.23042355298933395</v>
      </c>
      <c r="U14">
        <v>0.18003581311468167</v>
      </c>
      <c r="V14">
        <v>0.93167154537238683</v>
      </c>
      <c r="W14">
        <v>0.14010039073079147</v>
      </c>
      <c r="X14">
        <v>0.11233718788981215</v>
      </c>
      <c r="Y14">
        <v>0.84960126271790171</v>
      </c>
      <c r="Z14">
        <v>0.10205370749981309</v>
      </c>
      <c r="AA14">
        <v>7.6147124043447728E-2</v>
      </c>
      <c r="AB14">
        <v>0</v>
      </c>
      <c r="AC14">
        <v>0.15942439621769622</v>
      </c>
      <c r="AD14">
        <v>0.11591343926660036</v>
      </c>
      <c r="AF14" t="s">
        <v>782</v>
      </c>
      <c r="AG14" t="s">
        <v>101</v>
      </c>
      <c r="AH14">
        <v>0</v>
      </c>
      <c r="AI14">
        <v>3.0476373686769115E-2</v>
      </c>
      <c r="AJ14">
        <v>0.48311575713217536</v>
      </c>
      <c r="AK14">
        <v>0</v>
      </c>
      <c r="AL14">
        <v>2.0071513041311145E-2</v>
      </c>
      <c r="AM14">
        <v>0.33828241380819213</v>
      </c>
      <c r="AN14">
        <v>0</v>
      </c>
      <c r="AO14">
        <v>5.6413227346355432E-3</v>
      </c>
      <c r="AP14">
        <v>0.30998405686506048</v>
      </c>
      <c r="AQ14">
        <v>0</v>
      </c>
      <c r="AR14">
        <v>2.2929824166894191E-2</v>
      </c>
      <c r="AS14">
        <v>0.48525330248402887</v>
      </c>
      <c r="AU14" t="s">
        <v>782</v>
      </c>
      <c r="AV14" t="s">
        <v>102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782</v>
      </c>
      <c r="BS14">
        <v>0</v>
      </c>
      <c r="BT14">
        <v>0.20669425606904043</v>
      </c>
      <c r="BU14">
        <v>1.888663690017953E-2</v>
      </c>
      <c r="BV14">
        <v>1.5972967506102509E-4</v>
      </c>
      <c r="BW14">
        <v>0.35548657777509074</v>
      </c>
      <c r="BX14">
        <v>6.965999994300863E-2</v>
      </c>
      <c r="BY14">
        <v>4.942090527941136E-4</v>
      </c>
      <c r="BZ14">
        <v>0.45340595431590064</v>
      </c>
      <c r="CA14">
        <v>0.10439128664632547</v>
      </c>
      <c r="CB14">
        <v>0</v>
      </c>
      <c r="CC14">
        <v>0.30187824747417846</v>
      </c>
      <c r="CD14">
        <v>3.375149723055134E-2</v>
      </c>
      <c r="CF14" t="s">
        <v>782</v>
      </c>
      <c r="CG14" t="s">
        <v>108</v>
      </c>
      <c r="CH14" t="s">
        <v>109</v>
      </c>
      <c r="CI14">
        <v>0.44002593347455343</v>
      </c>
    </row>
    <row r="15" spans="2:87" x14ac:dyDescent="0.45">
      <c r="B15" t="s">
        <v>783</v>
      </c>
      <c r="C15" t="s">
        <v>99</v>
      </c>
      <c r="D15">
        <v>0</v>
      </c>
      <c r="E15">
        <v>0.33690265587387969</v>
      </c>
      <c r="F15">
        <v>0.80830609613384019</v>
      </c>
      <c r="G15">
        <v>0.94756526013464848</v>
      </c>
      <c r="H15">
        <v>0.24454440360016455</v>
      </c>
      <c r="I15">
        <v>0.65577815433193931</v>
      </c>
      <c r="J15">
        <v>0.89953205851213858</v>
      </c>
      <c r="K15">
        <v>0.16689385957218519</v>
      </c>
      <c r="L15">
        <v>0.60836735028786437</v>
      </c>
      <c r="M15">
        <v>0</v>
      </c>
      <c r="N15">
        <v>0.27746512185030392</v>
      </c>
      <c r="O15">
        <v>0.77417986751968326</v>
      </c>
      <c r="Q15" t="s">
        <v>783</v>
      </c>
      <c r="R15" t="s">
        <v>100</v>
      </c>
      <c r="S15">
        <v>0</v>
      </c>
      <c r="T15">
        <v>0.17777188915253439</v>
      </c>
      <c r="U15">
        <v>0.19512940494900932</v>
      </c>
      <c r="V15">
        <v>0.90077660152496464</v>
      </c>
      <c r="W15">
        <v>0.1171831806420319</v>
      </c>
      <c r="X15">
        <v>0.18069787828220935</v>
      </c>
      <c r="Y15">
        <v>0.81312586718444835</v>
      </c>
      <c r="Z15">
        <v>7.8996392381453132E-2</v>
      </c>
      <c r="AA15">
        <v>0.21743044330989578</v>
      </c>
      <c r="AB15">
        <v>0</v>
      </c>
      <c r="AC15">
        <v>0.14452699508167546</v>
      </c>
      <c r="AD15">
        <v>0.18177673329216412</v>
      </c>
      <c r="AF15" t="s">
        <v>783</v>
      </c>
      <c r="AG15" t="s">
        <v>101</v>
      </c>
      <c r="AH15">
        <v>0</v>
      </c>
      <c r="AI15">
        <v>1.7258422613585674E-2</v>
      </c>
      <c r="AJ15">
        <v>0.48174983573096153</v>
      </c>
      <c r="AK15">
        <v>0</v>
      </c>
      <c r="AL15">
        <v>1.4709370610930561E-2</v>
      </c>
      <c r="AM15">
        <v>0.30268390354914892</v>
      </c>
      <c r="AN15">
        <v>0</v>
      </c>
      <c r="AO15">
        <v>2.8397508344566126E-3</v>
      </c>
      <c r="AP15">
        <v>0.19469469256650365</v>
      </c>
      <c r="AQ15">
        <v>0</v>
      </c>
      <c r="AR15">
        <v>1.1439332771127598E-2</v>
      </c>
      <c r="AS15">
        <v>0.44079434399328438</v>
      </c>
      <c r="AU15" t="s">
        <v>783</v>
      </c>
      <c r="AV15" t="s">
        <v>102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783</v>
      </c>
      <c r="BS15">
        <v>0</v>
      </c>
      <c r="BT15">
        <v>0.28629360043183344</v>
      </c>
      <c r="BU15">
        <v>1.9286141872678356E-2</v>
      </c>
      <c r="BV15">
        <v>4.869288383873633E-4</v>
      </c>
      <c r="BW15">
        <v>0.40201607791636318</v>
      </c>
      <c r="BX15">
        <v>5.6675811037609401E-2</v>
      </c>
      <c r="BY15">
        <v>1.2855276712968459E-3</v>
      </c>
      <c r="BZ15">
        <v>0.50184665592520028</v>
      </c>
      <c r="CA15">
        <v>8.2656080335849855E-2</v>
      </c>
      <c r="CB15">
        <v>0</v>
      </c>
      <c r="CC15">
        <v>0.3670695908685494</v>
      </c>
      <c r="CD15">
        <v>2.8453244495800251E-2</v>
      </c>
      <c r="CF15" t="s">
        <v>783</v>
      </c>
      <c r="CG15" t="s">
        <v>108</v>
      </c>
      <c r="CH15" t="s">
        <v>109</v>
      </c>
      <c r="CI15">
        <v>0.46853939076700402</v>
      </c>
    </row>
    <row r="16" spans="2:87" x14ac:dyDescent="0.45">
      <c r="B16" t="s">
        <v>784</v>
      </c>
      <c r="C16" t="s">
        <v>99</v>
      </c>
      <c r="D16">
        <v>0</v>
      </c>
      <c r="E16">
        <v>0.34525490048468632</v>
      </c>
      <c r="F16">
        <v>0.80091694112242084</v>
      </c>
      <c r="G16">
        <v>0.95160902828493477</v>
      </c>
      <c r="H16">
        <v>0.24969529749722918</v>
      </c>
      <c r="I16">
        <v>0.64768743888421654</v>
      </c>
      <c r="J16">
        <v>0.9046623443316989</v>
      </c>
      <c r="K16">
        <v>0.17338744939043513</v>
      </c>
      <c r="L16">
        <v>0.59758394641251444</v>
      </c>
      <c r="M16">
        <v>0</v>
      </c>
      <c r="N16">
        <v>0.29025546920388245</v>
      </c>
      <c r="O16">
        <v>0.77121250984705958</v>
      </c>
      <c r="Q16" t="s">
        <v>784</v>
      </c>
      <c r="R16" t="s">
        <v>100</v>
      </c>
      <c r="S16">
        <v>0</v>
      </c>
      <c r="T16">
        <v>0.18366135523512522</v>
      </c>
      <c r="U16">
        <v>0.19113388484417829</v>
      </c>
      <c r="V16">
        <v>0.90969875371830788</v>
      </c>
      <c r="W16">
        <v>0.12175226578080647</v>
      </c>
      <c r="X16">
        <v>0.13369358400030629</v>
      </c>
      <c r="Y16">
        <v>0.82257452817035481</v>
      </c>
      <c r="Z16">
        <v>8.2047449030404312E-2</v>
      </c>
      <c r="AA16">
        <v>0.14046191878761319</v>
      </c>
      <c r="AB16">
        <v>0</v>
      </c>
      <c r="AC16">
        <v>0.14830683262711145</v>
      </c>
      <c r="AD16">
        <v>0.10436500547561187</v>
      </c>
      <c r="AF16" t="s">
        <v>784</v>
      </c>
      <c r="AG16" t="s">
        <v>101</v>
      </c>
      <c r="AH16">
        <v>0</v>
      </c>
      <c r="AI16">
        <v>1.6467827926071103E-2</v>
      </c>
      <c r="AJ16">
        <v>0.47084595649850636</v>
      </c>
      <c r="AK16">
        <v>0</v>
      </c>
      <c r="AL16">
        <v>1.6864538552095264E-2</v>
      </c>
      <c r="AM16">
        <v>0.34000609879103472</v>
      </c>
      <c r="AN16">
        <v>0</v>
      </c>
      <c r="AO16">
        <v>1.7502046209232432E-3</v>
      </c>
      <c r="AP16">
        <v>0.2630433909324385</v>
      </c>
      <c r="AQ16">
        <v>0</v>
      </c>
      <c r="AR16">
        <v>1.4405020128013068E-2</v>
      </c>
      <c r="AS16">
        <v>0.51052451259508869</v>
      </c>
      <c r="AU16" t="s">
        <v>784</v>
      </c>
      <c r="AV16" t="s">
        <v>102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784</v>
      </c>
      <c r="BS16">
        <v>0</v>
      </c>
      <c r="BT16">
        <v>0.26270358350812312</v>
      </c>
      <c r="BU16">
        <v>2.0739732743578859E-2</v>
      </c>
      <c r="BV16">
        <v>3.6521158580639335E-4</v>
      </c>
      <c r="BW16">
        <v>0.39051260969382984</v>
      </c>
      <c r="BX16">
        <v>6.0182544638417858E-2</v>
      </c>
      <c r="BY16">
        <v>1.048991088482148E-3</v>
      </c>
      <c r="BZ16">
        <v>0.50697517073628784</v>
      </c>
      <c r="CA16">
        <v>9.2627176839483544E-2</v>
      </c>
      <c r="CB16">
        <v>0</v>
      </c>
      <c r="CC16">
        <v>0.35501395194330038</v>
      </c>
      <c r="CD16">
        <v>3.0525759579619352E-2</v>
      </c>
      <c r="CF16" t="s">
        <v>784</v>
      </c>
      <c r="CG16" t="s">
        <v>108</v>
      </c>
      <c r="CH16" t="s">
        <v>109</v>
      </c>
      <c r="CI16">
        <v>0.46639408972849677</v>
      </c>
    </row>
    <row r="17" spans="2:87" x14ac:dyDescent="0.45">
      <c r="B17" t="s">
        <v>785</v>
      </c>
      <c r="C17" t="s">
        <v>99</v>
      </c>
      <c r="D17">
        <v>0</v>
      </c>
      <c r="E17">
        <v>0.35022377228208118</v>
      </c>
      <c r="F17">
        <v>0.80606179692235458</v>
      </c>
      <c r="G17">
        <v>0.95353003838536887</v>
      </c>
      <c r="H17">
        <v>0.25127193667133124</v>
      </c>
      <c r="I17">
        <v>0.64204994170353957</v>
      </c>
      <c r="J17">
        <v>0.90551185413185364</v>
      </c>
      <c r="K17">
        <v>0.19004449743347279</v>
      </c>
      <c r="L17">
        <v>0.58742726898052966</v>
      </c>
      <c r="M17">
        <v>0</v>
      </c>
      <c r="N17">
        <v>0.29634380703603347</v>
      </c>
      <c r="O17">
        <v>0.76828466427537012</v>
      </c>
      <c r="Q17" t="s">
        <v>785</v>
      </c>
      <c r="R17" t="s">
        <v>100</v>
      </c>
      <c r="S17">
        <v>0</v>
      </c>
      <c r="T17">
        <v>0.18924552792942934</v>
      </c>
      <c r="U17">
        <v>0.1739212848119461</v>
      </c>
      <c r="V17">
        <v>0.91163778265275763</v>
      </c>
      <c r="W17">
        <v>0.11935936865548138</v>
      </c>
      <c r="X17">
        <v>0.1594716845015352</v>
      </c>
      <c r="Y17">
        <v>0.82706424221946673</v>
      </c>
      <c r="Z17">
        <v>8.941430583319622E-2</v>
      </c>
      <c r="AA17">
        <v>0.14788834936031303</v>
      </c>
      <c r="AB17">
        <v>0</v>
      </c>
      <c r="AC17">
        <v>0.15109003599556853</v>
      </c>
      <c r="AD17">
        <v>0.18227542617851133</v>
      </c>
      <c r="AF17" t="s">
        <v>785</v>
      </c>
      <c r="AG17" t="s">
        <v>101</v>
      </c>
      <c r="AH17">
        <v>0</v>
      </c>
      <c r="AI17">
        <v>1.6060202268851728E-2</v>
      </c>
      <c r="AJ17">
        <v>0.49775939316911355</v>
      </c>
      <c r="AK17">
        <v>0</v>
      </c>
      <c r="AL17">
        <v>1.8108155776496708E-2</v>
      </c>
      <c r="AM17">
        <v>0.31058821490808713</v>
      </c>
      <c r="AN17">
        <v>0</v>
      </c>
      <c r="AO17">
        <v>7.6513305237726073E-3</v>
      </c>
      <c r="AP17">
        <v>0.25606472088472221</v>
      </c>
      <c r="AQ17">
        <v>0</v>
      </c>
      <c r="AR17">
        <v>2.0866358362334966E-2</v>
      </c>
      <c r="AS17">
        <v>0.43279014385026576</v>
      </c>
      <c r="AU17" t="s">
        <v>785</v>
      </c>
      <c r="AV17" t="s">
        <v>102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785</v>
      </c>
      <c r="BS17">
        <v>0</v>
      </c>
      <c r="BT17">
        <v>0.24284894277388674</v>
      </c>
      <c r="BU17">
        <v>1.8763849352803855E-2</v>
      </c>
      <c r="BV17">
        <v>3.594709197746304E-4</v>
      </c>
      <c r="BW17">
        <v>0.3716355131429373</v>
      </c>
      <c r="BX17">
        <v>5.7653355751415877E-2</v>
      </c>
      <c r="BY17">
        <v>1.0233059382757487E-3</v>
      </c>
      <c r="BZ17">
        <v>0.46732200143202252</v>
      </c>
      <c r="CA17">
        <v>8.4586083819769453E-2</v>
      </c>
      <c r="CB17">
        <v>0</v>
      </c>
      <c r="CC17">
        <v>0.31522191312330217</v>
      </c>
      <c r="CD17">
        <v>2.6872553886704866E-2</v>
      </c>
      <c r="CF17" t="s">
        <v>785</v>
      </c>
      <c r="CG17" t="s">
        <v>108</v>
      </c>
      <c r="CH17" t="s">
        <v>109</v>
      </c>
      <c r="CI17">
        <v>0.44192972269640268</v>
      </c>
    </row>
    <row r="18" spans="2:87" x14ac:dyDescent="0.45">
      <c r="B18" t="s">
        <v>786</v>
      </c>
      <c r="C18" t="s">
        <v>99</v>
      </c>
      <c r="D18">
        <v>0</v>
      </c>
      <c r="E18">
        <v>0.38347821764303758</v>
      </c>
      <c r="F18">
        <v>0.80348887328471674</v>
      </c>
      <c r="G18">
        <v>0.95931571674012317</v>
      </c>
      <c r="H18">
        <v>0.26670890313122192</v>
      </c>
      <c r="I18">
        <v>0.6343451153953068</v>
      </c>
      <c r="J18">
        <v>0.91466954464975803</v>
      </c>
      <c r="K18">
        <v>0.18989649581745638</v>
      </c>
      <c r="L18">
        <v>0.57549932812997584</v>
      </c>
      <c r="M18">
        <v>0</v>
      </c>
      <c r="N18">
        <v>0.30340014605520871</v>
      </c>
      <c r="O18">
        <v>0.76418950102715455</v>
      </c>
      <c r="Q18" t="s">
        <v>786</v>
      </c>
      <c r="R18" t="s">
        <v>100</v>
      </c>
      <c r="S18">
        <v>0</v>
      </c>
      <c r="T18">
        <v>0.20854514577840561</v>
      </c>
      <c r="U18">
        <v>0.17185147566636477</v>
      </c>
      <c r="V18">
        <v>0.92243573772503851</v>
      </c>
      <c r="W18">
        <v>0.13061026613133292</v>
      </c>
      <c r="X18">
        <v>0.12471013078852233</v>
      </c>
      <c r="Y18">
        <v>0.8393147236596048</v>
      </c>
      <c r="Z18">
        <v>9.0276636774316701E-2</v>
      </c>
      <c r="AA18">
        <v>0.12076224163913998</v>
      </c>
      <c r="AB18">
        <v>0</v>
      </c>
      <c r="AC18">
        <v>0.15553910557478587</v>
      </c>
      <c r="AD18">
        <v>0.12023519854180327</v>
      </c>
      <c r="AF18" t="s">
        <v>786</v>
      </c>
      <c r="AG18" t="s">
        <v>101</v>
      </c>
      <c r="AH18">
        <v>0</v>
      </c>
      <c r="AI18">
        <v>2.2261870163336618E-2</v>
      </c>
      <c r="AJ18">
        <v>0.49202823017475117</v>
      </c>
      <c r="AK18">
        <v>0</v>
      </c>
      <c r="AL18">
        <v>1.8064876412779606E-2</v>
      </c>
      <c r="AM18">
        <v>0.33854291399828235</v>
      </c>
      <c r="AN18">
        <v>0</v>
      </c>
      <c r="AO18">
        <v>2.5339889475146228E-3</v>
      </c>
      <c r="AP18">
        <v>0.26929726394329456</v>
      </c>
      <c r="AQ18">
        <v>0</v>
      </c>
      <c r="AR18">
        <v>1.7915342308430775E-2</v>
      </c>
      <c r="AS18">
        <v>0.48731818870577392</v>
      </c>
      <c r="AU18" t="s">
        <v>786</v>
      </c>
      <c r="AV18" t="s">
        <v>102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786</v>
      </c>
      <c r="BS18">
        <v>0</v>
      </c>
      <c r="BT18">
        <v>0.23938966676502124</v>
      </c>
      <c r="BU18">
        <v>2.1197464934280517E-2</v>
      </c>
      <c r="BV18">
        <v>2.3945237995074594E-4</v>
      </c>
      <c r="BW18">
        <v>0.37906549978328063</v>
      </c>
      <c r="BX18">
        <v>6.6563946922061371E-2</v>
      </c>
      <c r="BY18">
        <v>6.9878306235614132E-4</v>
      </c>
      <c r="BZ18">
        <v>0.48970068741296585</v>
      </c>
      <c r="CA18">
        <v>9.8687076828186185E-2</v>
      </c>
      <c r="CB18">
        <v>0</v>
      </c>
      <c r="CC18">
        <v>0.33738909071387141</v>
      </c>
      <c r="CD18">
        <v>3.296546446865499E-2</v>
      </c>
      <c r="CF18" t="s">
        <v>786</v>
      </c>
      <c r="CG18" t="s">
        <v>108</v>
      </c>
      <c r="CH18" t="s">
        <v>109</v>
      </c>
      <c r="CI18">
        <v>0.46789688049462508</v>
      </c>
    </row>
    <row r="19" spans="2:87" x14ac:dyDescent="0.45">
      <c r="B19" t="s">
        <v>787</v>
      </c>
      <c r="C19" t="s">
        <v>99</v>
      </c>
      <c r="D19">
        <v>0</v>
      </c>
      <c r="E19">
        <v>0.37222430507250831</v>
      </c>
      <c r="F19">
        <v>0.7992961876161393</v>
      </c>
      <c r="G19">
        <v>0.95837526395533523</v>
      </c>
      <c r="H19">
        <v>0.26515667763001538</v>
      </c>
      <c r="I19">
        <v>0.64065101008905612</v>
      </c>
      <c r="J19">
        <v>0.91194842163863932</v>
      </c>
      <c r="K19">
        <v>0.17838459126992096</v>
      </c>
      <c r="L19">
        <v>0.58375801777979419</v>
      </c>
      <c r="M19">
        <v>0</v>
      </c>
      <c r="N19">
        <v>0.28893132751650508</v>
      </c>
      <c r="O19">
        <v>0.76487516763736674</v>
      </c>
      <c r="Q19" t="s">
        <v>787</v>
      </c>
      <c r="R19" t="s">
        <v>100</v>
      </c>
      <c r="S19">
        <v>0</v>
      </c>
      <c r="T19">
        <v>0.19821694885748523</v>
      </c>
      <c r="U19">
        <v>0.14379363144129648</v>
      </c>
      <c r="V19">
        <v>0.92061319513100803</v>
      </c>
      <c r="W19">
        <v>0.12909163027659401</v>
      </c>
      <c r="X19">
        <v>0.10562504151716984</v>
      </c>
      <c r="Y19">
        <v>0.83636949424626705</v>
      </c>
      <c r="Z19">
        <v>8.4223876761069197E-2</v>
      </c>
      <c r="AA19">
        <v>0.10689284154804615</v>
      </c>
      <c r="AB19">
        <v>0</v>
      </c>
      <c r="AC19">
        <v>0.14674541450328854</v>
      </c>
      <c r="AD19">
        <v>0.1190948909818825</v>
      </c>
      <c r="AF19" t="s">
        <v>787</v>
      </c>
      <c r="AG19" t="s">
        <v>101</v>
      </c>
      <c r="AH19">
        <v>0</v>
      </c>
      <c r="AI19">
        <v>2.0908309462269587E-2</v>
      </c>
      <c r="AJ19">
        <v>0.51630326452946906</v>
      </c>
      <c r="AK19">
        <v>0</v>
      </c>
      <c r="AL19">
        <v>1.8447863693112757E-2</v>
      </c>
      <c r="AM19">
        <v>0.36158804614323292</v>
      </c>
      <c r="AN19">
        <v>0</v>
      </c>
      <c r="AO19">
        <v>5.653637817007144E-4</v>
      </c>
      <c r="AP19">
        <v>0.28631910664692545</v>
      </c>
      <c r="AQ19">
        <v>0</v>
      </c>
      <c r="AR19">
        <v>1.5521416471808908E-2</v>
      </c>
      <c r="AS19">
        <v>0.49041056765365293</v>
      </c>
      <c r="AU19" t="s">
        <v>787</v>
      </c>
      <c r="AV19" t="s">
        <v>102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787</v>
      </c>
      <c r="BS19">
        <v>0</v>
      </c>
      <c r="BT19">
        <v>0.26016281927122031</v>
      </c>
      <c r="BU19">
        <v>2.3190726976175351E-2</v>
      </c>
      <c r="BV19">
        <v>2.6227109588380779E-4</v>
      </c>
      <c r="BW19">
        <v>0.3895970729333243</v>
      </c>
      <c r="BX19">
        <v>6.6685450499800111E-2</v>
      </c>
      <c r="BY19">
        <v>7.4327133930214562E-4</v>
      </c>
      <c r="BZ19">
        <v>0.50891298213829361</v>
      </c>
      <c r="CA19">
        <v>0.10111476996771912</v>
      </c>
      <c r="CB19">
        <v>0</v>
      </c>
      <c r="CC19">
        <v>0.35816505142307808</v>
      </c>
      <c r="CD19">
        <v>3.3587452584319742E-2</v>
      </c>
      <c r="CF19" t="s">
        <v>787</v>
      </c>
      <c r="CG19" t="s">
        <v>108</v>
      </c>
      <c r="CH19" t="s">
        <v>109</v>
      </c>
      <c r="CI19">
        <v>0.48592467272107698</v>
      </c>
    </row>
    <row r="20" spans="2:87" x14ac:dyDescent="0.45">
      <c r="B20" t="s">
        <v>788</v>
      </c>
      <c r="C20" t="s">
        <v>99</v>
      </c>
      <c r="D20">
        <v>0</v>
      </c>
      <c r="E20">
        <v>0.34520145719743683</v>
      </c>
      <c r="F20">
        <v>0.78731108696967822</v>
      </c>
      <c r="G20">
        <v>0.9589965896790178</v>
      </c>
      <c r="H20">
        <v>0.24181709868204695</v>
      </c>
      <c r="I20">
        <v>0.65206042611220949</v>
      </c>
      <c r="J20">
        <v>0.91800249582814752</v>
      </c>
      <c r="K20">
        <v>0.17180686805796916</v>
      </c>
      <c r="L20">
        <v>0.60528126892628764</v>
      </c>
      <c r="M20">
        <v>0</v>
      </c>
      <c r="N20">
        <v>0.24614243811894065</v>
      </c>
      <c r="O20">
        <v>0.75377386885614284</v>
      </c>
      <c r="Q20" t="s">
        <v>788</v>
      </c>
      <c r="R20" t="s">
        <v>100</v>
      </c>
      <c r="S20">
        <v>0</v>
      </c>
      <c r="T20">
        <v>0.18112445795422741</v>
      </c>
      <c r="U20">
        <v>0.10475779474563805</v>
      </c>
      <c r="V20">
        <v>0.9210747911781042</v>
      </c>
      <c r="W20">
        <v>0.11976668109246544</v>
      </c>
      <c r="X20">
        <v>0.14912469001243239</v>
      </c>
      <c r="Y20">
        <v>0.84555540427302833</v>
      </c>
      <c r="Z20">
        <v>8.2003130948889461E-2</v>
      </c>
      <c r="AA20">
        <v>0.1076949803650952</v>
      </c>
      <c r="AB20">
        <v>0</v>
      </c>
      <c r="AC20">
        <v>0.12371177451633135</v>
      </c>
      <c r="AD20">
        <v>0.22967023695071631</v>
      </c>
      <c r="AF20" t="s">
        <v>788</v>
      </c>
      <c r="AG20" t="s">
        <v>101</v>
      </c>
      <c r="AH20">
        <v>0</v>
      </c>
      <c r="AI20">
        <v>1.5832772175156259E-2</v>
      </c>
      <c r="AJ20">
        <v>0.53468564522585438</v>
      </c>
      <c r="AK20">
        <v>0</v>
      </c>
      <c r="AL20">
        <v>1.2094118410998477E-2</v>
      </c>
      <c r="AM20">
        <v>0.32474078783683274</v>
      </c>
      <c r="AN20">
        <v>0</v>
      </c>
      <c r="AO20">
        <v>4.3446293535664271E-4</v>
      </c>
      <c r="AP20">
        <v>0.30171909869235047</v>
      </c>
      <c r="AQ20">
        <v>0</v>
      </c>
      <c r="AR20">
        <v>6.8869345644471868E-3</v>
      </c>
      <c r="AS20">
        <v>0.36488299837444499</v>
      </c>
      <c r="AU20" t="s">
        <v>788</v>
      </c>
      <c r="AV20" t="s">
        <v>102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788</v>
      </c>
      <c r="BS20">
        <v>0</v>
      </c>
      <c r="BT20">
        <v>0.32304591720548742</v>
      </c>
      <c r="BU20">
        <v>2.8872627915980269E-2</v>
      </c>
      <c r="BV20">
        <v>2.1564285303677391E-4</v>
      </c>
      <c r="BW20">
        <v>0.41407605495422639</v>
      </c>
      <c r="BX20">
        <v>6.4619981253529177E-2</v>
      </c>
      <c r="BY20">
        <v>5.920942401683232E-4</v>
      </c>
      <c r="BZ20">
        <v>0.49955170689624545</v>
      </c>
      <c r="CA20">
        <v>9.402784828260019E-2</v>
      </c>
      <c r="CB20">
        <v>0</v>
      </c>
      <c r="CC20">
        <v>0.40310637849039749</v>
      </c>
      <c r="CD20">
        <v>3.4944341184709328E-2</v>
      </c>
      <c r="CF20" t="s">
        <v>788</v>
      </c>
      <c r="CG20" t="s">
        <v>108</v>
      </c>
      <c r="CH20" t="s">
        <v>109</v>
      </c>
      <c r="CI20">
        <v>0.47837355383028973</v>
      </c>
    </row>
    <row r="21" spans="2:87" x14ac:dyDescent="0.45">
      <c r="B21" t="s">
        <v>789</v>
      </c>
      <c r="C21" t="s">
        <v>99</v>
      </c>
      <c r="D21">
        <v>0</v>
      </c>
      <c r="E21">
        <v>0.33889226341221013</v>
      </c>
      <c r="F21">
        <v>0.79616195716901539</v>
      </c>
      <c r="G21">
        <v>0.95344376834750744</v>
      </c>
      <c r="H21">
        <v>0.23503145265796424</v>
      </c>
      <c r="I21">
        <v>0.66027773159306247</v>
      </c>
      <c r="J21">
        <v>0.90853203248997572</v>
      </c>
      <c r="K21">
        <v>0.16502515953717617</v>
      </c>
      <c r="L21">
        <v>0.61432812911658619</v>
      </c>
      <c r="M21">
        <v>0</v>
      </c>
      <c r="N21">
        <v>0.23751236494431832</v>
      </c>
      <c r="O21">
        <v>0.76584669018013085</v>
      </c>
      <c r="Q21" t="s">
        <v>789</v>
      </c>
      <c r="R21" t="s">
        <v>100</v>
      </c>
      <c r="S21">
        <v>0</v>
      </c>
      <c r="T21">
        <v>0.17862171156140952</v>
      </c>
      <c r="U21">
        <v>0.18468623535293216</v>
      </c>
      <c r="V21">
        <v>0.91198969146283304</v>
      </c>
      <c r="W21">
        <v>0.1188687448228094</v>
      </c>
      <c r="X21">
        <v>0.16132788400234221</v>
      </c>
      <c r="Y21">
        <v>0.82844973788887566</v>
      </c>
      <c r="Z21">
        <v>7.8715160026036013E-2</v>
      </c>
      <c r="AA21">
        <v>0.25392351145409903</v>
      </c>
      <c r="AB21">
        <v>0</v>
      </c>
      <c r="AC21">
        <v>0.11974567882913087</v>
      </c>
      <c r="AD21">
        <v>0.34008315578238157</v>
      </c>
      <c r="AF21" t="s">
        <v>789</v>
      </c>
      <c r="AG21" t="s">
        <v>101</v>
      </c>
      <c r="AH21">
        <v>0</v>
      </c>
      <c r="AI21">
        <v>1.3740126232898156E-2</v>
      </c>
      <c r="AJ21">
        <v>0.47152836069101084</v>
      </c>
      <c r="AK21">
        <v>0</v>
      </c>
      <c r="AL21">
        <v>9.8308171220128481E-3</v>
      </c>
      <c r="AM21">
        <v>0.32024461101181356</v>
      </c>
      <c r="AN21">
        <v>0</v>
      </c>
      <c r="AO21">
        <v>7.7551488981579119E-4</v>
      </c>
      <c r="AP21">
        <v>0.16511494871702662</v>
      </c>
      <c r="AQ21">
        <v>0</v>
      </c>
      <c r="AR21">
        <v>5.3093785055043016E-3</v>
      </c>
      <c r="AS21">
        <v>0.26713349566299954</v>
      </c>
      <c r="AU21" t="s">
        <v>789</v>
      </c>
      <c r="AV21" t="s">
        <v>102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789</v>
      </c>
      <c r="BS21">
        <v>0</v>
      </c>
      <c r="BT21">
        <v>0.32349388492558345</v>
      </c>
      <c r="BU21">
        <v>2.3297770864106102E-2</v>
      </c>
      <c r="BV21">
        <v>3.3034881993114474E-4</v>
      </c>
      <c r="BW21">
        <v>0.41158696339031109</v>
      </c>
      <c r="BX21">
        <v>5.9034706389808816E-2</v>
      </c>
      <c r="BY21">
        <v>8.7135161730330431E-4</v>
      </c>
      <c r="BZ21">
        <v>0.50241658539027201</v>
      </c>
      <c r="CA21">
        <v>8.5889560311838531E-2</v>
      </c>
      <c r="CB21">
        <v>0</v>
      </c>
      <c r="CC21">
        <v>0.41057167988480009</v>
      </c>
      <c r="CD21">
        <v>3.1379831638205583E-2</v>
      </c>
      <c r="CF21" t="s">
        <v>789</v>
      </c>
      <c r="CG21" t="s">
        <v>108</v>
      </c>
      <c r="CH21" t="s">
        <v>109</v>
      </c>
      <c r="CI21">
        <v>0.47897983428310592</v>
      </c>
    </row>
    <row r="22" spans="2:87" x14ac:dyDescent="0.45">
      <c r="B22" t="s">
        <v>790</v>
      </c>
      <c r="C22" t="s">
        <v>99</v>
      </c>
      <c r="D22">
        <v>0</v>
      </c>
      <c r="E22">
        <v>0.31448226987667632</v>
      </c>
      <c r="F22">
        <v>0.77304569673291601</v>
      </c>
      <c r="G22">
        <v>0.9636269732106022</v>
      </c>
      <c r="H22">
        <v>0.23100331424495479</v>
      </c>
      <c r="I22">
        <v>0.64451618218131135</v>
      </c>
      <c r="J22">
        <v>0.92517444494941969</v>
      </c>
      <c r="K22">
        <v>0.17487741618173583</v>
      </c>
      <c r="L22">
        <v>0.60114133883602727</v>
      </c>
      <c r="M22">
        <v>0</v>
      </c>
      <c r="N22">
        <v>0.24077305492423937</v>
      </c>
      <c r="O22">
        <v>0.74807404445623182</v>
      </c>
      <c r="Q22" t="s">
        <v>790</v>
      </c>
      <c r="R22" t="s">
        <v>100</v>
      </c>
      <c r="S22">
        <v>0</v>
      </c>
      <c r="T22">
        <v>0.1589187669342399</v>
      </c>
      <c r="U22">
        <v>0.1440344433722241</v>
      </c>
      <c r="V22">
        <v>0.93105011475264576</v>
      </c>
      <c r="W22">
        <v>0.10973969976537118</v>
      </c>
      <c r="X22">
        <v>0.15023300450373966</v>
      </c>
      <c r="Y22">
        <v>0.85966867528294311</v>
      </c>
      <c r="Z22">
        <v>8.0851430924081966E-2</v>
      </c>
      <c r="AA22">
        <v>5.8165962169675983E-2</v>
      </c>
      <c r="AB22">
        <v>0</v>
      </c>
      <c r="AC22">
        <v>0.11618188748298798</v>
      </c>
      <c r="AD22">
        <v>0.2368568537719733</v>
      </c>
      <c r="AF22" t="s">
        <v>790</v>
      </c>
      <c r="AG22" t="s">
        <v>101</v>
      </c>
      <c r="AH22">
        <v>0</v>
      </c>
      <c r="AI22">
        <v>1.2263376124932036E-2</v>
      </c>
      <c r="AJ22">
        <v>0.47564010193716338</v>
      </c>
      <c r="AK22">
        <v>0</v>
      </c>
      <c r="AL22">
        <v>9.9322152530334998E-3</v>
      </c>
      <c r="AM22">
        <v>0.30611421766170821</v>
      </c>
      <c r="AN22">
        <v>0</v>
      </c>
      <c r="AO22">
        <v>1.4911904660308746E-4</v>
      </c>
      <c r="AP22">
        <v>0.345627910975011</v>
      </c>
      <c r="AQ22">
        <v>0</v>
      </c>
      <c r="AR22">
        <v>6.027687883198257E-3</v>
      </c>
      <c r="AS22">
        <v>0.35030401972896563</v>
      </c>
      <c r="AU22" t="s">
        <v>790</v>
      </c>
      <c r="AV22" t="s">
        <v>102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790</v>
      </c>
      <c r="BS22">
        <v>0</v>
      </c>
      <c r="BT22">
        <v>0.34156216200704081</v>
      </c>
      <c r="BU22">
        <v>3.3896954490457716E-2</v>
      </c>
      <c r="BV22">
        <v>1.3565150605488759E-4</v>
      </c>
      <c r="BW22">
        <v>0.44118766711093299</v>
      </c>
      <c r="BX22">
        <v>7.2976808238598187E-2</v>
      </c>
      <c r="BY22">
        <v>3.9321754025893775E-4</v>
      </c>
      <c r="BZ22">
        <v>0.5066376400389544</v>
      </c>
      <c r="CA22">
        <v>0.10034590951098318</v>
      </c>
      <c r="CB22">
        <v>0</v>
      </c>
      <c r="CC22">
        <v>0.40933443487313104</v>
      </c>
      <c r="CD22">
        <v>3.8171710532305322E-2</v>
      </c>
      <c r="CF22" t="s">
        <v>790</v>
      </c>
      <c r="CG22" t="s">
        <v>108</v>
      </c>
      <c r="CH22" t="s">
        <v>109</v>
      </c>
      <c r="CI22">
        <v>0.48841416043704355</v>
      </c>
    </row>
    <row r="23" spans="2:87" x14ac:dyDescent="0.45">
      <c r="B23" t="s">
        <v>791</v>
      </c>
      <c r="C23" t="s">
        <v>99</v>
      </c>
      <c r="D23">
        <v>0</v>
      </c>
      <c r="E23">
        <v>0.33714620888140751</v>
      </c>
      <c r="F23">
        <v>0.77749935103471268</v>
      </c>
      <c r="G23">
        <v>0.96531816961011108</v>
      </c>
      <c r="H23">
        <v>0.24702680592623028</v>
      </c>
      <c r="I23">
        <v>0.64403317249284897</v>
      </c>
      <c r="J23">
        <v>0.92587425895493647</v>
      </c>
      <c r="K23">
        <v>0.17799595294456802</v>
      </c>
      <c r="L23">
        <v>0.59211416575891906</v>
      </c>
      <c r="M23">
        <v>0</v>
      </c>
      <c r="N23">
        <v>0.25801024472493062</v>
      </c>
      <c r="O23">
        <v>0.74795435870184668</v>
      </c>
      <c r="Q23" t="s">
        <v>791</v>
      </c>
      <c r="R23" t="s">
        <v>100</v>
      </c>
      <c r="S23">
        <v>0</v>
      </c>
      <c r="T23">
        <v>0.17182092043246172</v>
      </c>
      <c r="U23">
        <v>0.13514569929477133</v>
      </c>
      <c r="V23">
        <v>0.93333331132319419</v>
      </c>
      <c r="W23">
        <v>0.11865345394257525</v>
      </c>
      <c r="X23">
        <v>0.11644989027500756</v>
      </c>
      <c r="Y23">
        <v>0.85967550194409614</v>
      </c>
      <c r="Z23">
        <v>8.2432603984191374E-2</v>
      </c>
      <c r="AA23">
        <v>4.6281461017178595E-2</v>
      </c>
      <c r="AB23">
        <v>0</v>
      </c>
      <c r="AC23">
        <v>0.12654995792862028</v>
      </c>
      <c r="AD23">
        <v>0.17706405860453645</v>
      </c>
      <c r="AF23" t="s">
        <v>791</v>
      </c>
      <c r="AG23" t="s">
        <v>101</v>
      </c>
      <c r="AH23">
        <v>0</v>
      </c>
      <c r="AI23">
        <v>1.5263337149455216E-2</v>
      </c>
      <c r="AJ23">
        <v>0.48895968252664995</v>
      </c>
      <c r="AK23">
        <v>0</v>
      </c>
      <c r="AL23">
        <v>1.4662928072739161E-2</v>
      </c>
      <c r="AM23">
        <v>0.34463539672058741</v>
      </c>
      <c r="AN23">
        <v>0</v>
      </c>
      <c r="AO23">
        <v>1.6872447920878337E-4</v>
      </c>
      <c r="AP23">
        <v>0.35284712878902963</v>
      </c>
      <c r="AQ23">
        <v>0</v>
      </c>
      <c r="AR23">
        <v>8.2110857001031299E-3</v>
      </c>
      <c r="AS23">
        <v>0.40919429365065046</v>
      </c>
      <c r="AU23" t="s">
        <v>791</v>
      </c>
      <c r="AV23" t="s">
        <v>102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791</v>
      </c>
      <c r="BS23">
        <v>0</v>
      </c>
      <c r="BT23">
        <v>0.32825441916899384</v>
      </c>
      <c r="BU23">
        <v>3.3822215191608336E-2</v>
      </c>
      <c r="BV23">
        <v>1.2769810951739598E-4</v>
      </c>
      <c r="BW23">
        <v>0.41917614821924326</v>
      </c>
      <c r="BX23">
        <v>7.1478974525446617E-2</v>
      </c>
      <c r="BY23">
        <v>3.7156083275288672E-4</v>
      </c>
      <c r="BZ23">
        <v>0.50019628382891612</v>
      </c>
      <c r="CA23">
        <v>0.10176572307132981</v>
      </c>
      <c r="CB23">
        <v>0</v>
      </c>
      <c r="CC23">
        <v>0.39525525215888402</v>
      </c>
      <c r="CD23">
        <v>3.7828994633762908E-2</v>
      </c>
      <c r="CF23" t="s">
        <v>791</v>
      </c>
      <c r="CG23" t="s">
        <v>108</v>
      </c>
      <c r="CH23" t="s">
        <v>109</v>
      </c>
      <c r="CI23">
        <v>0.48149841612998018</v>
      </c>
    </row>
    <row r="24" spans="2:87" x14ac:dyDescent="0.45">
      <c r="B24" t="s">
        <v>792</v>
      </c>
      <c r="C24" t="s">
        <v>99</v>
      </c>
      <c r="D24">
        <v>0</v>
      </c>
      <c r="E24">
        <v>0.37682282719575899</v>
      </c>
      <c r="F24">
        <v>0.79786929847608579</v>
      </c>
      <c r="G24">
        <v>0.96059782608695643</v>
      </c>
      <c r="H24">
        <v>0.27729747866634968</v>
      </c>
      <c r="I24">
        <v>0.64683442974877281</v>
      </c>
      <c r="J24">
        <v>0.9172336258420597</v>
      </c>
      <c r="K24">
        <v>0.17821483088216603</v>
      </c>
      <c r="L24">
        <v>0.58425974298237515</v>
      </c>
      <c r="M24">
        <v>0</v>
      </c>
      <c r="N24">
        <v>0.28567164852060534</v>
      </c>
      <c r="O24">
        <v>0.76266888989389425</v>
      </c>
      <c r="Q24" t="s">
        <v>792</v>
      </c>
      <c r="R24" t="s">
        <v>100</v>
      </c>
      <c r="S24">
        <v>0</v>
      </c>
      <c r="T24">
        <v>0.19720459052603179</v>
      </c>
      <c r="U24">
        <v>0.13761227354506758</v>
      </c>
      <c r="V24">
        <v>0.92274989813853481</v>
      </c>
      <c r="W24">
        <v>0.13670779378260442</v>
      </c>
      <c r="X24">
        <v>0.13549804245261288</v>
      </c>
      <c r="Y24">
        <v>0.84497559684471413</v>
      </c>
      <c r="Z24">
        <v>8.283003159428079E-2</v>
      </c>
      <c r="AA24">
        <v>8.7903354456180374E-2</v>
      </c>
      <c r="AB24">
        <v>0</v>
      </c>
      <c r="AC24">
        <v>0.14232853313506924</v>
      </c>
      <c r="AD24">
        <v>0.15994745084597706</v>
      </c>
      <c r="AF24" t="s">
        <v>792</v>
      </c>
      <c r="AG24" t="s">
        <v>101</v>
      </c>
      <c r="AH24">
        <v>0</v>
      </c>
      <c r="AI24">
        <v>2.2001309324954425E-2</v>
      </c>
      <c r="AJ24">
        <v>0.52250388338256992</v>
      </c>
      <c r="AK24">
        <v>0</v>
      </c>
      <c r="AL24">
        <v>1.7849857330779453E-2</v>
      </c>
      <c r="AM24">
        <v>0.33685937994981763</v>
      </c>
      <c r="AN24">
        <v>0</v>
      </c>
      <c r="AO24">
        <v>4.035285261859125E-4</v>
      </c>
      <c r="AP24">
        <v>0.30528486974186142</v>
      </c>
      <c r="AQ24">
        <v>0</v>
      </c>
      <c r="AR24">
        <v>1.207989653549091E-2</v>
      </c>
      <c r="AS24">
        <v>0.44500001131371947</v>
      </c>
      <c r="AU24" t="s">
        <v>792</v>
      </c>
      <c r="AV24" t="s">
        <v>102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792</v>
      </c>
      <c r="BS24">
        <v>0</v>
      </c>
      <c r="BT24">
        <v>0.29090424041357033</v>
      </c>
      <c r="BU24">
        <v>2.6385819519732193E-2</v>
      </c>
      <c r="BV24">
        <v>2.0469024860181147E-4</v>
      </c>
      <c r="BW24">
        <v>0.39476286078225398</v>
      </c>
      <c r="BX24">
        <v>6.7359171723103267E-2</v>
      </c>
      <c r="BY24">
        <v>5.6137206035219284E-4</v>
      </c>
      <c r="BZ24">
        <v>0.50643769247890358</v>
      </c>
      <c r="CA24">
        <v>0.10144743576778063</v>
      </c>
      <c r="CB24">
        <v>0</v>
      </c>
      <c r="CC24">
        <v>0.37759859692741943</v>
      </c>
      <c r="CD24">
        <v>3.5817011547379131E-2</v>
      </c>
      <c r="CF24" t="s">
        <v>792</v>
      </c>
      <c r="CG24" t="s">
        <v>108</v>
      </c>
      <c r="CH24" t="s">
        <v>109</v>
      </c>
      <c r="CI24">
        <v>0.4792924842989329</v>
      </c>
    </row>
    <row r="25" spans="2:87" x14ac:dyDescent="0.45">
      <c r="B25" t="s">
        <v>793</v>
      </c>
      <c r="C25" t="s">
        <v>99</v>
      </c>
      <c r="D25">
        <v>0</v>
      </c>
      <c r="E25">
        <v>0.3630481410150862</v>
      </c>
      <c r="F25">
        <v>0.7898071826430757</v>
      </c>
      <c r="G25">
        <v>0.96280500588021412</v>
      </c>
      <c r="H25">
        <v>0.25969254288430016</v>
      </c>
      <c r="I25">
        <v>0.64104396850444256</v>
      </c>
      <c r="J25">
        <v>0.92141399253496337</v>
      </c>
      <c r="K25">
        <v>0.18062889990964914</v>
      </c>
      <c r="L25">
        <v>0.58678182458546735</v>
      </c>
      <c r="M25">
        <v>0</v>
      </c>
      <c r="N25">
        <v>0.26972141245241427</v>
      </c>
      <c r="O25">
        <v>0.7530031163548484</v>
      </c>
      <c r="Q25" t="s">
        <v>793</v>
      </c>
      <c r="R25" t="s">
        <v>100</v>
      </c>
      <c r="S25">
        <v>0</v>
      </c>
      <c r="T25">
        <v>0.18748196544586251</v>
      </c>
      <c r="U25">
        <v>0.14117933062637264</v>
      </c>
      <c r="V25">
        <v>0.9278768975226841</v>
      </c>
      <c r="W25">
        <v>0.12616719867822176</v>
      </c>
      <c r="X25">
        <v>0.12154690543159188</v>
      </c>
      <c r="Y25">
        <v>0.85172144033785491</v>
      </c>
      <c r="Z25">
        <v>8.3513735860934704E-2</v>
      </c>
      <c r="AA25">
        <v>5.3329896703652742E-2</v>
      </c>
      <c r="AB25">
        <v>0</v>
      </c>
      <c r="AC25">
        <v>0.1326162299680094</v>
      </c>
      <c r="AD25">
        <v>0.14114521165446714</v>
      </c>
      <c r="AF25" t="s">
        <v>793</v>
      </c>
      <c r="AG25" t="s">
        <v>101</v>
      </c>
      <c r="AH25">
        <v>0</v>
      </c>
      <c r="AI25">
        <v>2.1837750987043967E-2</v>
      </c>
      <c r="AJ25">
        <v>0.50363548526399615</v>
      </c>
      <c r="AK25">
        <v>0</v>
      </c>
      <c r="AL25">
        <v>1.4454396916432688E-2</v>
      </c>
      <c r="AM25">
        <v>0.34411606038934656</v>
      </c>
      <c r="AN25">
        <v>0</v>
      </c>
      <c r="AO25">
        <v>1.7657163646998006E-4</v>
      </c>
      <c r="AP25">
        <v>0.34186134837443849</v>
      </c>
      <c r="AQ25">
        <v>0</v>
      </c>
      <c r="AR25">
        <v>1.1084923422579633E-2</v>
      </c>
      <c r="AS25">
        <v>0.45187659476607173</v>
      </c>
      <c r="AU25" t="s">
        <v>793</v>
      </c>
      <c r="AV25" t="s">
        <v>102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793</v>
      </c>
      <c r="BS25">
        <v>0</v>
      </c>
      <c r="BT25">
        <v>0.30100532839934413</v>
      </c>
      <c r="BU25">
        <v>2.9575622335516936E-2</v>
      </c>
      <c r="BV25">
        <v>1.6134630110952025E-4</v>
      </c>
      <c r="BW25">
        <v>0.41539197942992573</v>
      </c>
      <c r="BX25">
        <v>6.9356746276306572E-2</v>
      </c>
      <c r="BY25">
        <v>4.50807756727827E-4</v>
      </c>
      <c r="BZ25">
        <v>0.50112914015527632</v>
      </c>
      <c r="CA25">
        <v>0.10274556240581592</v>
      </c>
      <c r="CB25">
        <v>0</v>
      </c>
      <c r="CC25">
        <v>0.38462063538152347</v>
      </c>
      <c r="CD25">
        <v>3.7677952878223564E-2</v>
      </c>
      <c r="CF25" t="s">
        <v>793</v>
      </c>
      <c r="CG25" t="s">
        <v>108</v>
      </c>
      <c r="CH25" t="s">
        <v>109</v>
      </c>
      <c r="CI25">
        <v>0.48202417611450155</v>
      </c>
    </row>
    <row r="26" spans="2:87" x14ac:dyDescent="0.45">
      <c r="B26" t="s">
        <v>794</v>
      </c>
      <c r="C26" t="s">
        <v>99</v>
      </c>
      <c r="D26">
        <v>0</v>
      </c>
      <c r="E26">
        <v>0.32589600163918508</v>
      </c>
      <c r="F26">
        <v>0.81033928099747599</v>
      </c>
      <c r="G26">
        <v>0.94779616094503383</v>
      </c>
      <c r="H26">
        <v>0.23248786535358526</v>
      </c>
      <c r="I26">
        <v>0.65980221515655701</v>
      </c>
      <c r="J26">
        <v>0.90036032524912424</v>
      </c>
      <c r="K26">
        <v>0.16431817567329113</v>
      </c>
      <c r="L26">
        <v>0.61363681331067665</v>
      </c>
      <c r="M26">
        <v>0</v>
      </c>
      <c r="N26">
        <v>0.25575716489151978</v>
      </c>
      <c r="O26">
        <v>0.77137479565867217</v>
      </c>
      <c r="Q26" t="s">
        <v>794</v>
      </c>
      <c r="R26" t="s">
        <v>100</v>
      </c>
      <c r="S26">
        <v>0</v>
      </c>
      <c r="T26">
        <v>0.1712244253500719</v>
      </c>
      <c r="U26">
        <v>0.26748920446807534</v>
      </c>
      <c r="V26">
        <v>0.90188912837854707</v>
      </c>
      <c r="W26">
        <v>0.11409131818556249</v>
      </c>
      <c r="X26">
        <v>0.18393664513096766</v>
      </c>
      <c r="Y26">
        <v>0.81501006668826781</v>
      </c>
      <c r="Z26">
        <v>7.770276582613353E-2</v>
      </c>
      <c r="AA26">
        <v>0.2659315665144496</v>
      </c>
      <c r="AB26">
        <v>0</v>
      </c>
      <c r="AC26">
        <v>0.12984101559009392</v>
      </c>
      <c r="AD26">
        <v>0.23183311700538503</v>
      </c>
      <c r="AF26" t="s">
        <v>794</v>
      </c>
      <c r="AG26" t="s">
        <v>101</v>
      </c>
      <c r="AH26">
        <v>0</v>
      </c>
      <c r="AI26">
        <v>1.178153357780945E-2</v>
      </c>
      <c r="AJ26">
        <v>0.40435315294692276</v>
      </c>
      <c r="AK26">
        <v>0</v>
      </c>
      <c r="AL26">
        <v>1.0969024592889599E-2</v>
      </c>
      <c r="AM26">
        <v>0.29857668340117799</v>
      </c>
      <c r="AN26">
        <v>0</v>
      </c>
      <c r="AO26">
        <v>2.2112973618100872E-3</v>
      </c>
      <c r="AP26">
        <v>0.15200665587894327</v>
      </c>
      <c r="AQ26">
        <v>0</v>
      </c>
      <c r="AR26">
        <v>7.4083771573733824E-3</v>
      </c>
      <c r="AS26">
        <v>0.3856504402231587</v>
      </c>
      <c r="AU26" t="s">
        <v>794</v>
      </c>
      <c r="AV26" t="s">
        <v>102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794</v>
      </c>
      <c r="BS26">
        <v>0</v>
      </c>
      <c r="BT26">
        <v>0.3147029597787192</v>
      </c>
      <c r="BU26">
        <v>2.1301731266763504E-2</v>
      </c>
      <c r="BV26">
        <v>4.6414017654623606E-4</v>
      </c>
      <c r="BW26">
        <v>0.41716631995769743</v>
      </c>
      <c r="BX26">
        <v>5.6980368066527634E-2</v>
      </c>
      <c r="BY26">
        <v>1.2118232732151347E-3</v>
      </c>
      <c r="BZ26">
        <v>0.50164161103994143</v>
      </c>
      <c r="CA26">
        <v>8.2600610769871977E-2</v>
      </c>
      <c r="CB26">
        <v>0</v>
      </c>
      <c r="CC26">
        <v>0.39350376120967212</v>
      </c>
      <c r="CD26">
        <v>2.9297648205422241E-2</v>
      </c>
      <c r="CF26" t="s">
        <v>794</v>
      </c>
      <c r="CG26" t="s">
        <v>108</v>
      </c>
      <c r="CH26" t="s">
        <v>109</v>
      </c>
      <c r="CI26">
        <v>0.47273267732629898</v>
      </c>
    </row>
    <row r="27" spans="2:87" x14ac:dyDescent="0.45">
      <c r="B27" t="s">
        <v>795</v>
      </c>
      <c r="C27" t="s">
        <v>99</v>
      </c>
      <c r="D27">
        <v>0</v>
      </c>
      <c r="E27">
        <v>0.33888050752085475</v>
      </c>
      <c r="F27">
        <v>0.7963617225180406</v>
      </c>
      <c r="G27">
        <v>0.9564500237630309</v>
      </c>
      <c r="H27">
        <v>0.2425069900383523</v>
      </c>
      <c r="I27">
        <v>0.65413440425763658</v>
      </c>
      <c r="J27">
        <v>0.90868348348301231</v>
      </c>
      <c r="K27">
        <v>0.16907949734232677</v>
      </c>
      <c r="L27">
        <v>0.60213151713372359</v>
      </c>
      <c r="M27">
        <v>0</v>
      </c>
      <c r="N27">
        <v>0.26270063742190525</v>
      </c>
      <c r="O27">
        <v>0.76212517997764695</v>
      </c>
      <c r="Q27" t="s">
        <v>795</v>
      </c>
      <c r="R27" t="s">
        <v>100</v>
      </c>
      <c r="S27">
        <v>0</v>
      </c>
      <c r="T27">
        <v>0.17735835608337769</v>
      </c>
      <c r="U27">
        <v>0.16064714710568423</v>
      </c>
      <c r="V27">
        <v>0.91486524012116011</v>
      </c>
      <c r="W27">
        <v>0.12102831950619634</v>
      </c>
      <c r="X27">
        <v>0.16250693037824168</v>
      </c>
      <c r="Y27">
        <v>0.82954922277698384</v>
      </c>
      <c r="Z27">
        <v>7.9955543438960372E-2</v>
      </c>
      <c r="AA27">
        <v>0.17948226079468052</v>
      </c>
      <c r="AB27">
        <v>0</v>
      </c>
      <c r="AC27">
        <v>0.13137616817042141</v>
      </c>
      <c r="AD27">
        <v>0.17520486309843575</v>
      </c>
      <c r="AF27" t="s">
        <v>795</v>
      </c>
      <c r="AG27" t="s">
        <v>101</v>
      </c>
      <c r="AH27">
        <v>0</v>
      </c>
      <c r="AI27">
        <v>1.5247920879919224E-2</v>
      </c>
      <c r="AJ27">
        <v>0.49482597750739915</v>
      </c>
      <c r="AK27">
        <v>0</v>
      </c>
      <c r="AL27">
        <v>1.1275363606873416E-2</v>
      </c>
      <c r="AM27">
        <v>0.31538301878110414</v>
      </c>
      <c r="AN27">
        <v>0</v>
      </c>
      <c r="AO27">
        <v>6.2459364667801854E-4</v>
      </c>
      <c r="AP27">
        <v>0.22616064580723352</v>
      </c>
      <c r="AQ27">
        <v>0</v>
      </c>
      <c r="AR27">
        <v>8.8399656941757204E-3</v>
      </c>
      <c r="AS27">
        <v>0.42727682440063669</v>
      </c>
      <c r="AU27" t="s">
        <v>795</v>
      </c>
      <c r="AV27" t="s">
        <v>102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795</v>
      </c>
      <c r="BS27">
        <v>0</v>
      </c>
      <c r="BT27">
        <v>0.31200003356846184</v>
      </c>
      <c r="BU27">
        <v>2.4945544796816797E-2</v>
      </c>
      <c r="BV27">
        <v>3.2205949501647359E-4</v>
      </c>
      <c r="BW27">
        <v>0.41001105067767979</v>
      </c>
      <c r="BX27">
        <v>6.235125474813958E-2</v>
      </c>
      <c r="BY27">
        <v>8.4418209818813564E-4</v>
      </c>
      <c r="BZ27">
        <v>0.50344261200090701</v>
      </c>
      <c r="CA27">
        <v>9.1931486675027013E-2</v>
      </c>
      <c r="CB27">
        <v>0</v>
      </c>
      <c r="CC27">
        <v>0.39044948345523695</v>
      </c>
      <c r="CD27">
        <v>3.3459611738852722E-2</v>
      </c>
      <c r="CF27" t="s">
        <v>795</v>
      </c>
      <c r="CG27" t="s">
        <v>108</v>
      </c>
      <c r="CH27" t="s">
        <v>109</v>
      </c>
      <c r="CI27">
        <v>0.47245399106517261</v>
      </c>
    </row>
    <row r="28" spans="2:87" x14ac:dyDescent="0.45">
      <c r="B28" t="s">
        <v>796</v>
      </c>
      <c r="C28" t="s">
        <v>99</v>
      </c>
      <c r="D28">
        <v>0</v>
      </c>
      <c r="E28">
        <v>0.30316009428064855</v>
      </c>
      <c r="F28">
        <v>0.80476088882904506</v>
      </c>
      <c r="G28">
        <v>0.94665684887170254</v>
      </c>
      <c r="H28">
        <v>0.22134813362274103</v>
      </c>
      <c r="I28">
        <v>0.66195738113367297</v>
      </c>
      <c r="J28">
        <v>0.89916505343700504</v>
      </c>
      <c r="K28">
        <v>0.16417858670532284</v>
      </c>
      <c r="L28">
        <v>0.61997829406708671</v>
      </c>
      <c r="M28">
        <v>0</v>
      </c>
      <c r="N28">
        <v>0.23115891135998359</v>
      </c>
      <c r="O28">
        <v>0.77152260420231666</v>
      </c>
      <c r="Q28" t="s">
        <v>796</v>
      </c>
      <c r="R28" t="s">
        <v>100</v>
      </c>
      <c r="S28">
        <v>0</v>
      </c>
      <c r="T28">
        <v>0.15751778108604089</v>
      </c>
      <c r="U28">
        <v>0.34511219441490615</v>
      </c>
      <c r="V28">
        <v>0.8986755152456658</v>
      </c>
      <c r="W28">
        <v>0.11121095461520132</v>
      </c>
      <c r="X28">
        <v>0.25648778976838121</v>
      </c>
      <c r="Y28">
        <v>0.81217228042529699</v>
      </c>
      <c r="Z28">
        <v>7.6783393018591453E-2</v>
      </c>
      <c r="AA28">
        <v>0.31759180061161091</v>
      </c>
      <c r="AB28">
        <v>0</v>
      </c>
      <c r="AC28">
        <v>0.11879919989826854</v>
      </c>
      <c r="AD28">
        <v>0.4637853190622015</v>
      </c>
      <c r="AF28" t="s">
        <v>796</v>
      </c>
      <c r="AG28" t="s">
        <v>101</v>
      </c>
      <c r="AH28">
        <v>0</v>
      </c>
      <c r="AI28">
        <v>1.0152616329088022E-2</v>
      </c>
      <c r="AJ28">
        <v>0.31829511823523016</v>
      </c>
      <c r="AK28">
        <v>0</v>
      </c>
      <c r="AL28">
        <v>6.7485707930370767E-3</v>
      </c>
      <c r="AM28">
        <v>0.22760696245176318</v>
      </c>
      <c r="AN28">
        <v>0</v>
      </c>
      <c r="AO28">
        <v>2.3424354627694173E-3</v>
      </c>
      <c r="AP28">
        <v>0.10888026977544656</v>
      </c>
      <c r="AQ28">
        <v>0</v>
      </c>
      <c r="AR28">
        <v>3.8034985507233495E-3</v>
      </c>
      <c r="AS28">
        <v>0.1538988519082278</v>
      </c>
      <c r="AU28" t="s">
        <v>796</v>
      </c>
      <c r="AV28" t="s">
        <v>102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796</v>
      </c>
      <c r="BS28">
        <v>0</v>
      </c>
      <c r="BT28">
        <v>0.33989423298684551</v>
      </c>
      <c r="BU28">
        <v>2.2322795444334714E-2</v>
      </c>
      <c r="BV28">
        <v>5.2294994165162699E-4</v>
      </c>
      <c r="BW28">
        <v>0.43246477869638672</v>
      </c>
      <c r="BX28">
        <v>5.493214507250694E-2</v>
      </c>
      <c r="BY28">
        <v>1.2873708101495314E-3</v>
      </c>
      <c r="BZ28">
        <v>0.50155463438182135</v>
      </c>
      <c r="CA28">
        <v>7.5159262064373428E-2</v>
      </c>
      <c r="CB28">
        <v>0</v>
      </c>
      <c r="CC28">
        <v>0.40929821526303301</v>
      </c>
      <c r="CD28">
        <v>2.6851470249893979E-2</v>
      </c>
      <c r="CF28" t="s">
        <v>796</v>
      </c>
      <c r="CG28" t="s">
        <v>108</v>
      </c>
      <c r="CH28" t="s">
        <v>109</v>
      </c>
      <c r="CI28">
        <v>0.47598288101196889</v>
      </c>
    </row>
    <row r="29" spans="2:87" x14ac:dyDescent="0.45">
      <c r="B29" t="s">
        <v>797</v>
      </c>
      <c r="C29" t="s">
        <v>99</v>
      </c>
      <c r="D29">
        <v>0</v>
      </c>
      <c r="E29">
        <v>0.28608366203647639</v>
      </c>
      <c r="F29">
        <v>0.78877414972016902</v>
      </c>
      <c r="G29">
        <v>0.95017536619095155</v>
      </c>
      <c r="H29">
        <v>0.21214744849509731</v>
      </c>
      <c r="I29">
        <v>0.65863610854887866</v>
      </c>
      <c r="J29">
        <v>0.90413613255780678</v>
      </c>
      <c r="K29">
        <v>0.16230724621819506</v>
      </c>
      <c r="L29">
        <v>0.62271340197607516</v>
      </c>
      <c r="M29">
        <v>0</v>
      </c>
      <c r="N29">
        <v>0.2206489101249505</v>
      </c>
      <c r="O29">
        <v>0.76165766582643846</v>
      </c>
      <c r="Q29" t="s">
        <v>797</v>
      </c>
      <c r="R29" t="s">
        <v>100</v>
      </c>
      <c r="S29">
        <v>0</v>
      </c>
      <c r="T29">
        <v>0.14257526909982546</v>
      </c>
      <c r="U29">
        <v>0.24930865082071527</v>
      </c>
      <c r="V29">
        <v>0.90540560785433033</v>
      </c>
      <c r="W29">
        <v>0.10244605625483948</v>
      </c>
      <c r="X29">
        <v>0.26279326741944675</v>
      </c>
      <c r="Y29">
        <v>0.82036696927534469</v>
      </c>
      <c r="Z29">
        <v>7.6460822508905804E-2</v>
      </c>
      <c r="AA29">
        <v>0.36359217028847196</v>
      </c>
      <c r="AB29">
        <v>0</v>
      </c>
      <c r="AC29">
        <v>0.1129875993734733</v>
      </c>
      <c r="AD29">
        <v>0.45950105703129313</v>
      </c>
      <c r="AF29" t="s">
        <v>797</v>
      </c>
      <c r="AG29" t="s">
        <v>101</v>
      </c>
      <c r="AH29">
        <v>0</v>
      </c>
      <c r="AI29">
        <v>9.8581871805173728E-3</v>
      </c>
      <c r="AJ29">
        <v>0.39150136581935224</v>
      </c>
      <c r="AK29">
        <v>0</v>
      </c>
      <c r="AL29">
        <v>6.5680664442970983E-3</v>
      </c>
      <c r="AM29">
        <v>0.20921413266175484</v>
      </c>
      <c r="AN29">
        <v>0</v>
      </c>
      <c r="AO29">
        <v>4.65451202504845E-4</v>
      </c>
      <c r="AP29">
        <v>6.136694184783071E-2</v>
      </c>
      <c r="AQ29">
        <v>0</v>
      </c>
      <c r="AR29">
        <v>3.2118600502038801E-3</v>
      </c>
      <c r="AS29">
        <v>0.14349314745931541</v>
      </c>
      <c r="AU29" t="s">
        <v>797</v>
      </c>
      <c r="AV29" t="s">
        <v>102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797</v>
      </c>
      <c r="BS29">
        <v>0</v>
      </c>
      <c r="BT29">
        <v>0.36177262565731444</v>
      </c>
      <c r="BU29">
        <v>2.6304820698335014E-2</v>
      </c>
      <c r="BV29">
        <v>4.0538572817048557E-4</v>
      </c>
      <c r="BW29">
        <v>0.45825043463435405</v>
      </c>
      <c r="BX29">
        <v>6.2193812069289346E-2</v>
      </c>
      <c r="BY29">
        <v>1.0152252699364144E-3</v>
      </c>
      <c r="BZ29">
        <v>0.51400128914422594</v>
      </c>
      <c r="CA29">
        <v>8.0654164262677949E-2</v>
      </c>
      <c r="CB29">
        <v>0</v>
      </c>
      <c r="CC29">
        <v>0.41839999186425603</v>
      </c>
      <c r="CD29">
        <v>2.7995299280595281E-2</v>
      </c>
      <c r="CF29" t="s">
        <v>797</v>
      </c>
      <c r="CG29" t="s">
        <v>108</v>
      </c>
      <c r="CH29" t="s">
        <v>109</v>
      </c>
      <c r="CI29">
        <v>0.47425676468047107</v>
      </c>
    </row>
    <row r="30" spans="2:87" x14ac:dyDescent="0.45">
      <c r="B30" t="s">
        <v>798</v>
      </c>
      <c r="C30" t="s">
        <v>99</v>
      </c>
      <c r="D30">
        <v>0</v>
      </c>
      <c r="E30">
        <v>0.28217695590798386</v>
      </c>
      <c r="F30">
        <v>0.80602184969672508</v>
      </c>
      <c r="G30">
        <v>0.9425761407021398</v>
      </c>
      <c r="H30">
        <v>0.20266078400521595</v>
      </c>
      <c r="I30">
        <v>0.66554892825877432</v>
      </c>
      <c r="J30">
        <v>0.89326792898461549</v>
      </c>
      <c r="K30">
        <v>0.16449321157805125</v>
      </c>
      <c r="L30">
        <v>0.62317127799545791</v>
      </c>
      <c r="M30">
        <v>0</v>
      </c>
      <c r="N30">
        <v>0.21604332300015999</v>
      </c>
      <c r="O30">
        <v>0.77347013114402297</v>
      </c>
      <c r="Q30" t="s">
        <v>798</v>
      </c>
      <c r="R30" t="s">
        <v>100</v>
      </c>
      <c r="S30">
        <v>0</v>
      </c>
      <c r="T30">
        <v>0.14473164015486736</v>
      </c>
      <c r="U30">
        <v>0.36703642542892595</v>
      </c>
      <c r="V30">
        <v>0.89220026626771654</v>
      </c>
      <c r="W30">
        <v>0.10038129135580211</v>
      </c>
      <c r="X30">
        <v>0.29338054832690663</v>
      </c>
      <c r="Y30">
        <v>0.80326934604141009</v>
      </c>
      <c r="Z30">
        <v>7.7553149298744656E-2</v>
      </c>
      <c r="AA30">
        <v>0.3822294844287511</v>
      </c>
      <c r="AB30">
        <v>0</v>
      </c>
      <c r="AC30">
        <v>0.11054953395681145</v>
      </c>
      <c r="AD30">
        <v>0.51164966668411682</v>
      </c>
      <c r="AF30" t="s">
        <v>798</v>
      </c>
      <c r="AG30" t="s">
        <v>101</v>
      </c>
      <c r="AH30">
        <v>0</v>
      </c>
      <c r="AI30">
        <v>6.0715465538962923E-3</v>
      </c>
      <c r="AJ30">
        <v>0.29818101384801166</v>
      </c>
      <c r="AK30">
        <v>0</v>
      </c>
      <c r="AL30">
        <v>4.5621562549766487E-3</v>
      </c>
      <c r="AM30">
        <v>0.18790425259662194</v>
      </c>
      <c r="AN30">
        <v>0</v>
      </c>
      <c r="AO30">
        <v>1.6018485836506058E-3</v>
      </c>
      <c r="AP30">
        <v>4.8345316565977382E-2</v>
      </c>
      <c r="AQ30">
        <v>0</v>
      </c>
      <c r="AR30">
        <v>1.9825141497617827E-3</v>
      </c>
      <c r="AS30">
        <v>0.1047617175555219</v>
      </c>
      <c r="AU30" t="s">
        <v>798</v>
      </c>
      <c r="AV30" t="s">
        <v>102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798</v>
      </c>
      <c r="BS30">
        <v>0</v>
      </c>
      <c r="BT30">
        <v>0.36111683795891319</v>
      </c>
      <c r="BU30">
        <v>2.1669765463791488E-2</v>
      </c>
      <c r="BV30">
        <v>6.3595969711370559E-4</v>
      </c>
      <c r="BW30">
        <v>0.45485606561073755</v>
      </c>
      <c r="BX30">
        <v>5.3877717822643188E-2</v>
      </c>
      <c r="BY30">
        <v>1.4840213678889858E-3</v>
      </c>
      <c r="BZ30">
        <v>0.49751272674772573</v>
      </c>
      <c r="CA30">
        <v>7.0875896826581464E-2</v>
      </c>
      <c r="CB30">
        <v>0</v>
      </c>
      <c r="CC30">
        <v>0.40708270333710406</v>
      </c>
      <c r="CD30">
        <v>2.4164223422648679E-2</v>
      </c>
      <c r="CF30" t="s">
        <v>798</v>
      </c>
      <c r="CG30" t="s">
        <v>108</v>
      </c>
      <c r="CH30" t="s">
        <v>109</v>
      </c>
      <c r="CI30">
        <v>0.47268293082968693</v>
      </c>
    </row>
    <row r="31" spans="2:87" x14ac:dyDescent="0.45">
      <c r="B31" t="s">
        <v>799</v>
      </c>
      <c r="C31" t="s">
        <v>99</v>
      </c>
      <c r="D31">
        <v>0</v>
      </c>
      <c r="E31">
        <v>0.29744454594332759</v>
      </c>
      <c r="F31">
        <v>0.82599406055321867</v>
      </c>
      <c r="G31">
        <v>0.94207160749138241</v>
      </c>
      <c r="H31">
        <v>0.21669908986122907</v>
      </c>
      <c r="I31">
        <v>0.66402506126118332</v>
      </c>
      <c r="J31">
        <v>0.88998034284661065</v>
      </c>
      <c r="K31">
        <v>0.16595670300624654</v>
      </c>
      <c r="L31">
        <v>0.61832765690186675</v>
      </c>
      <c r="M31">
        <v>0</v>
      </c>
      <c r="N31">
        <v>0.24325580683534082</v>
      </c>
      <c r="O31">
        <v>0.77941071291292463</v>
      </c>
      <c r="Q31" t="s">
        <v>799</v>
      </c>
      <c r="R31" t="s">
        <v>100</v>
      </c>
      <c r="S31">
        <v>0</v>
      </c>
      <c r="T31">
        <v>0.15270412719733334</v>
      </c>
      <c r="U31">
        <v>0.32341219801038651</v>
      </c>
      <c r="V31">
        <v>0.89086911566513105</v>
      </c>
      <c r="W31">
        <v>0.10806696852801767</v>
      </c>
      <c r="X31">
        <v>0.27026137377429521</v>
      </c>
      <c r="Y31">
        <v>0.79714578808803438</v>
      </c>
      <c r="Z31">
        <v>8.1746948336729117E-2</v>
      </c>
      <c r="AA31">
        <v>0.31514006280808182</v>
      </c>
      <c r="AB31">
        <v>0</v>
      </c>
      <c r="AC31">
        <v>0.1284291601793304</v>
      </c>
      <c r="AD31">
        <v>0.45005508633744667</v>
      </c>
      <c r="AF31" t="s">
        <v>799</v>
      </c>
      <c r="AG31" t="s">
        <v>101</v>
      </c>
      <c r="AH31">
        <v>0</v>
      </c>
      <c r="AI31">
        <v>9.384122027329779E-3</v>
      </c>
      <c r="AJ31">
        <v>0.38384484568585808</v>
      </c>
      <c r="AK31">
        <v>0</v>
      </c>
      <c r="AL31">
        <v>7.7703955625081055E-3</v>
      </c>
      <c r="AM31">
        <v>0.21784324916885395</v>
      </c>
      <c r="AN31">
        <v>0</v>
      </c>
      <c r="AO31">
        <v>3.0309502589208233E-3</v>
      </c>
      <c r="AP31">
        <v>0.11162251843489193</v>
      </c>
      <c r="AQ31">
        <v>0</v>
      </c>
      <c r="AR31">
        <v>3.6457685098414874E-3</v>
      </c>
      <c r="AS31">
        <v>0.18061043467649104</v>
      </c>
      <c r="AU31" t="s">
        <v>799</v>
      </c>
      <c r="AV31" t="s">
        <v>102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799</v>
      </c>
      <c r="BS31">
        <v>0</v>
      </c>
      <c r="BT31">
        <v>0.33994981095639459</v>
      </c>
      <c r="BU31">
        <v>1.7392980079205957E-2</v>
      </c>
      <c r="BV31">
        <v>7.4885082393114978E-4</v>
      </c>
      <c r="BW31">
        <v>0.44180454432289862</v>
      </c>
      <c r="BX31">
        <v>5.133805688886145E-2</v>
      </c>
      <c r="BY31">
        <v>1.6975298244222448E-3</v>
      </c>
      <c r="BZ31">
        <v>0.48077108612775804</v>
      </c>
      <c r="CA31">
        <v>6.761972264074026E-2</v>
      </c>
      <c r="CB31">
        <v>0</v>
      </c>
      <c r="CC31">
        <v>0.39522719059300188</v>
      </c>
      <c r="CD31">
        <v>2.2688487679412617E-2</v>
      </c>
      <c r="CF31" t="s">
        <v>799</v>
      </c>
      <c r="CG31" t="s">
        <v>108</v>
      </c>
      <c r="CH31" t="s">
        <v>109</v>
      </c>
      <c r="CI31">
        <v>0.45683283432376415</v>
      </c>
    </row>
    <row r="32" spans="2:87" x14ac:dyDescent="0.45">
      <c r="B32" t="s">
        <v>800</v>
      </c>
      <c r="C32" t="s">
        <v>99</v>
      </c>
      <c r="D32">
        <v>0</v>
      </c>
      <c r="E32">
        <v>0.30700765326787849</v>
      </c>
      <c r="F32">
        <v>0.83313327650699331</v>
      </c>
      <c r="G32">
        <v>0.94125106966340166</v>
      </c>
      <c r="H32">
        <v>0.21939691724687246</v>
      </c>
      <c r="I32">
        <v>0.66314091408182074</v>
      </c>
      <c r="J32">
        <v>0.88914746409009393</v>
      </c>
      <c r="K32">
        <v>0.16294103859869324</v>
      </c>
      <c r="L32">
        <v>0.61419853667226543</v>
      </c>
      <c r="M32">
        <v>0</v>
      </c>
      <c r="N32">
        <v>0.25257853122985574</v>
      </c>
      <c r="O32">
        <v>0.78268218480175955</v>
      </c>
      <c r="Q32" t="s">
        <v>800</v>
      </c>
      <c r="R32" t="s">
        <v>100</v>
      </c>
      <c r="S32">
        <v>0</v>
      </c>
      <c r="T32">
        <v>0.16301560908668761</v>
      </c>
      <c r="U32">
        <v>0.32898137488898449</v>
      </c>
      <c r="V32">
        <v>0.88876922351846654</v>
      </c>
      <c r="W32">
        <v>0.1092489255968911</v>
      </c>
      <c r="X32">
        <v>0.24458224172858159</v>
      </c>
      <c r="Y32">
        <v>0.7976169241879939</v>
      </c>
      <c r="Z32">
        <v>7.8799828750562087E-2</v>
      </c>
      <c r="AA32">
        <v>0.29704952165669107</v>
      </c>
      <c r="AB32">
        <v>0</v>
      </c>
      <c r="AC32">
        <v>0.1312022999665092</v>
      </c>
      <c r="AD32">
        <v>0.30746904216096665</v>
      </c>
      <c r="AF32" t="s">
        <v>800</v>
      </c>
      <c r="AG32" t="s">
        <v>101</v>
      </c>
      <c r="AH32">
        <v>0</v>
      </c>
      <c r="AI32">
        <v>8.266131986108231E-3</v>
      </c>
      <c r="AJ32">
        <v>0.39396322823017976</v>
      </c>
      <c r="AK32">
        <v>0</v>
      </c>
      <c r="AL32">
        <v>1.0214374345927764E-2</v>
      </c>
      <c r="AM32">
        <v>0.2440940853094041</v>
      </c>
      <c r="AN32">
        <v>0</v>
      </c>
      <c r="AO32">
        <v>3.1610198529826118E-3</v>
      </c>
      <c r="AP32">
        <v>0.12271377620757129</v>
      </c>
      <c r="AQ32">
        <v>0</v>
      </c>
      <c r="AR32">
        <v>6.577212596731415E-3</v>
      </c>
      <c r="AS32">
        <v>0.33414687405817817</v>
      </c>
      <c r="AU32" t="s">
        <v>800</v>
      </c>
      <c r="AV32" t="s">
        <v>102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800</v>
      </c>
      <c r="BS32">
        <v>0</v>
      </c>
      <c r="BT32">
        <v>0.3167660525504512</v>
      </c>
      <c r="BU32">
        <v>1.427990090087836E-2</v>
      </c>
      <c r="BV32">
        <v>7.4882658423763317E-4</v>
      </c>
      <c r="BW32">
        <v>0.42653979679117943</v>
      </c>
      <c r="BX32">
        <v>5.225076987220386E-2</v>
      </c>
      <c r="BY32">
        <v>1.7102404523954855E-3</v>
      </c>
      <c r="BZ32">
        <v>0.48891150683548706</v>
      </c>
      <c r="CA32">
        <v>7.1265367014507863E-2</v>
      </c>
      <c r="CB32">
        <v>0</v>
      </c>
      <c r="CC32">
        <v>0.38520563132822777</v>
      </c>
      <c r="CD32">
        <v>2.3602155498551266E-2</v>
      </c>
      <c r="CF32" t="s">
        <v>800</v>
      </c>
      <c r="CG32" t="s">
        <v>108</v>
      </c>
      <c r="CH32" t="s">
        <v>109</v>
      </c>
      <c r="CI32">
        <v>0.44473833389077877</v>
      </c>
    </row>
    <row r="33" spans="2:87" x14ac:dyDescent="0.45">
      <c r="B33" t="s">
        <v>801</v>
      </c>
      <c r="C33" t="s">
        <v>99</v>
      </c>
      <c r="D33">
        <v>0</v>
      </c>
      <c r="E33">
        <v>0.28916239589662823</v>
      </c>
      <c r="F33">
        <v>0.89993238342311588</v>
      </c>
      <c r="G33">
        <v>0.92402043657125832</v>
      </c>
      <c r="H33">
        <v>0.21790370994763664</v>
      </c>
      <c r="I33">
        <v>0.6826830884226146</v>
      </c>
      <c r="J33">
        <v>0.84954098781174403</v>
      </c>
      <c r="K33">
        <v>0.15660684277963369</v>
      </c>
      <c r="L33">
        <v>0.62476733280545371</v>
      </c>
      <c r="M33">
        <v>0.99038461538461509</v>
      </c>
      <c r="N33">
        <v>0.24513771008040147</v>
      </c>
      <c r="O33">
        <v>0.83205610807098729</v>
      </c>
      <c r="Q33" t="s">
        <v>801</v>
      </c>
      <c r="R33" t="s">
        <v>100</v>
      </c>
      <c r="S33">
        <v>0</v>
      </c>
      <c r="T33">
        <v>0.15811587253037157</v>
      </c>
      <c r="U33">
        <v>0.46230600487642232</v>
      </c>
      <c r="V33">
        <v>0.86142698793805128</v>
      </c>
      <c r="W33">
        <v>0.10732367063750471</v>
      </c>
      <c r="X33">
        <v>0.37403391298497179</v>
      </c>
      <c r="Y33">
        <v>0.75183193733818943</v>
      </c>
      <c r="Z33">
        <v>7.9490112017873593E-2</v>
      </c>
      <c r="AA33">
        <v>0.43757335343340203</v>
      </c>
      <c r="AB33">
        <v>0.98086168639053239</v>
      </c>
      <c r="AC33">
        <v>0.12608959794808028</v>
      </c>
      <c r="AD33">
        <v>0.50912460288733841</v>
      </c>
      <c r="AF33" t="s">
        <v>801</v>
      </c>
      <c r="AG33" t="s">
        <v>101</v>
      </c>
      <c r="AH33">
        <v>0</v>
      </c>
      <c r="AI33">
        <v>6.078300812610125E-3</v>
      </c>
      <c r="AJ33">
        <v>0.35437098885704227</v>
      </c>
      <c r="AK33">
        <v>0</v>
      </c>
      <c r="AL33">
        <v>1.0488765405238468E-2</v>
      </c>
      <c r="AM33">
        <v>0.14301103433692344</v>
      </c>
      <c r="AN33">
        <v>0</v>
      </c>
      <c r="AO33">
        <v>1.221978509746177E-3</v>
      </c>
      <c r="AP33">
        <v>0</v>
      </c>
      <c r="AQ33">
        <v>0</v>
      </c>
      <c r="AR33">
        <v>7.1630151351188363E-3</v>
      </c>
      <c r="AS33">
        <v>0.20559065467921819</v>
      </c>
      <c r="AU33" t="s">
        <v>801</v>
      </c>
      <c r="AV33" t="s">
        <v>102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801</v>
      </c>
      <c r="BS33">
        <v>0</v>
      </c>
      <c r="BT33">
        <v>0.31744470890366566</v>
      </c>
      <c r="BU33">
        <v>8.4413781981836598E-3</v>
      </c>
      <c r="BV33">
        <v>1.200640936177458E-3</v>
      </c>
      <c r="BW33">
        <v>0.41372521536603946</v>
      </c>
      <c r="BX33">
        <v>3.8529114898698855E-2</v>
      </c>
      <c r="BY33">
        <v>2.8190847675913684E-3</v>
      </c>
      <c r="BZ33">
        <v>0.46615135406223912</v>
      </c>
      <c r="CA33">
        <v>5.6452399585092052E-2</v>
      </c>
      <c r="CB33">
        <v>1.6122999653705909E-5</v>
      </c>
      <c r="CC33">
        <v>0.35582512000609134</v>
      </c>
      <c r="CD33">
        <v>1.3203269319350477E-2</v>
      </c>
      <c r="CF33" t="s">
        <v>801</v>
      </c>
      <c r="CG33" t="s">
        <v>108</v>
      </c>
      <c r="CH33" t="s">
        <v>109</v>
      </c>
      <c r="CI33">
        <v>0.42823571977252617</v>
      </c>
    </row>
    <row r="34" spans="2:87" x14ac:dyDescent="0.45">
      <c r="B34" t="s">
        <v>802</v>
      </c>
      <c r="C34" t="s">
        <v>99</v>
      </c>
      <c r="D34">
        <v>0</v>
      </c>
      <c r="E34">
        <v>0.31196662604635933</v>
      </c>
      <c r="F34">
        <v>0.86688001434838358</v>
      </c>
      <c r="G34">
        <v>0.93837010804619725</v>
      </c>
      <c r="H34">
        <v>0.23179900519883451</v>
      </c>
      <c r="I34">
        <v>0.66418286811313443</v>
      </c>
      <c r="J34">
        <v>0.88634613256254757</v>
      </c>
      <c r="K34">
        <v>0.16824405808898354</v>
      </c>
      <c r="L34">
        <v>0.61713381340451146</v>
      </c>
      <c r="M34">
        <v>0</v>
      </c>
      <c r="N34">
        <v>0.26230617587015748</v>
      </c>
      <c r="O34">
        <v>0.80679415902861074</v>
      </c>
      <c r="Q34" t="s">
        <v>802</v>
      </c>
      <c r="R34" t="s">
        <v>100</v>
      </c>
      <c r="S34">
        <v>0</v>
      </c>
      <c r="T34">
        <v>0.16560969105452625</v>
      </c>
      <c r="U34">
        <v>0.39315148036511316</v>
      </c>
      <c r="V34">
        <v>0.88494937801457774</v>
      </c>
      <c r="W34">
        <v>0.1159571458007834</v>
      </c>
      <c r="X34">
        <v>0.21787596600457196</v>
      </c>
      <c r="Y34">
        <v>0.79334744064364915</v>
      </c>
      <c r="Z34">
        <v>8.0261267168682343E-2</v>
      </c>
      <c r="AA34">
        <v>0.2874418449422807</v>
      </c>
      <c r="AB34">
        <v>0</v>
      </c>
      <c r="AC34">
        <v>0.13504655652543693</v>
      </c>
      <c r="AD34">
        <v>0.30015082575771923</v>
      </c>
      <c r="AF34" t="s">
        <v>802</v>
      </c>
      <c r="AG34" t="s">
        <v>101</v>
      </c>
      <c r="AH34">
        <v>0</v>
      </c>
      <c r="AI34">
        <v>7.495097250313317E-3</v>
      </c>
      <c r="AJ34">
        <v>0.37339379857460508</v>
      </c>
      <c r="AK34">
        <v>0</v>
      </c>
      <c r="AL34">
        <v>1.0266672162287552E-2</v>
      </c>
      <c r="AM34">
        <v>0.27566877195633088</v>
      </c>
      <c r="AN34">
        <v>0</v>
      </c>
      <c r="AO34">
        <v>2.8521721800396299E-3</v>
      </c>
      <c r="AP34">
        <v>0.13864555189572303</v>
      </c>
      <c r="AQ34">
        <v>0</v>
      </c>
      <c r="AR34">
        <v>8.0925704275832001E-3</v>
      </c>
      <c r="AS34">
        <v>0.37040038357326172</v>
      </c>
      <c r="AU34" t="s">
        <v>802</v>
      </c>
      <c r="AV34" t="s">
        <v>102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802</v>
      </c>
      <c r="BS34">
        <v>0</v>
      </c>
      <c r="BT34">
        <v>0.30753984752006619</v>
      </c>
      <c r="BU34">
        <v>1.2018428263082272E-2</v>
      </c>
      <c r="BV34">
        <v>7.623159501558371E-4</v>
      </c>
      <c r="BW34">
        <v>0.41336172470904181</v>
      </c>
      <c r="BX34">
        <v>5.0816846008017752E-2</v>
      </c>
      <c r="BY34">
        <v>1.7771985081863103E-3</v>
      </c>
      <c r="BZ34">
        <v>0.48530179731952489</v>
      </c>
      <c r="CA34">
        <v>7.2141958995723329E-2</v>
      </c>
      <c r="CB34">
        <v>0</v>
      </c>
      <c r="CC34">
        <v>0.36431444922490075</v>
      </c>
      <c r="CD34">
        <v>2.0603938506348798E-2</v>
      </c>
      <c r="CF34" t="s">
        <v>802</v>
      </c>
      <c r="CG34" t="s">
        <v>108</v>
      </c>
      <c r="CH34" t="s">
        <v>109</v>
      </c>
      <c r="CI34">
        <v>0.45327832833491838</v>
      </c>
    </row>
    <row r="35" spans="2:87" x14ac:dyDescent="0.45">
      <c r="B35" t="s">
        <v>803</v>
      </c>
      <c r="C35" t="s">
        <v>99</v>
      </c>
      <c r="D35">
        <v>0</v>
      </c>
      <c r="E35">
        <v>0.28909530476311318</v>
      </c>
      <c r="F35">
        <v>0.89475113742441448</v>
      </c>
      <c r="G35">
        <v>0.93066987192483908</v>
      </c>
      <c r="H35">
        <v>0.22155275627172791</v>
      </c>
      <c r="I35">
        <v>0.67313879286246303</v>
      </c>
      <c r="J35">
        <v>0.86552830864881214</v>
      </c>
      <c r="K35">
        <v>0.16439366826837506</v>
      </c>
      <c r="L35">
        <v>0.62014886046871764</v>
      </c>
      <c r="M35">
        <v>0.99587912087912089</v>
      </c>
      <c r="N35">
        <v>0.25311972306824115</v>
      </c>
      <c r="O35">
        <v>0.8259262162706712</v>
      </c>
      <c r="Q35" t="s">
        <v>803</v>
      </c>
      <c r="R35" t="s">
        <v>100</v>
      </c>
      <c r="S35">
        <v>0</v>
      </c>
      <c r="T35">
        <v>0.15347911343989271</v>
      </c>
      <c r="U35">
        <v>0.55072411795441345</v>
      </c>
      <c r="V35">
        <v>0.87035201764541181</v>
      </c>
      <c r="W35">
        <v>0.11255399516117295</v>
      </c>
      <c r="X35">
        <v>0.32260963363378947</v>
      </c>
      <c r="Y35">
        <v>0.76658101962730973</v>
      </c>
      <c r="Z35">
        <v>8.4430967706548857E-2</v>
      </c>
      <c r="AA35">
        <v>0.33137703689791653</v>
      </c>
      <c r="AB35">
        <v>0.99177522340297053</v>
      </c>
      <c r="AC35">
        <v>0.13380891114879459</v>
      </c>
      <c r="AD35">
        <v>0.41445659288775744</v>
      </c>
      <c r="AF35" t="s">
        <v>803</v>
      </c>
      <c r="AG35" t="s">
        <v>101</v>
      </c>
      <c r="AH35">
        <v>0</v>
      </c>
      <c r="AI35">
        <v>4.7022173393381512E-3</v>
      </c>
      <c r="AJ35">
        <v>0.25710861295617576</v>
      </c>
      <c r="AK35">
        <v>0</v>
      </c>
      <c r="AL35">
        <v>8.5264596114361432E-3</v>
      </c>
      <c r="AM35">
        <v>0.1817605330549332</v>
      </c>
      <c r="AN35">
        <v>0</v>
      </c>
      <c r="AO35">
        <v>2.8969595940118421E-3</v>
      </c>
      <c r="AP35">
        <v>0.10363272719631493</v>
      </c>
      <c r="AQ35">
        <v>0</v>
      </c>
      <c r="AR35">
        <v>6.9334375562733188E-3</v>
      </c>
      <c r="AS35">
        <v>0.28529754617440878</v>
      </c>
      <c r="AU35" t="s">
        <v>803</v>
      </c>
      <c r="AV35" t="s">
        <v>102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803</v>
      </c>
      <c r="BS35">
        <v>0</v>
      </c>
      <c r="BT35">
        <v>0.34913748332559791</v>
      </c>
      <c r="BU35">
        <v>1.0233464293066838E-2</v>
      </c>
      <c r="BV35">
        <v>1.2752191356744439E-3</v>
      </c>
      <c r="BW35">
        <v>0.44720067501669725</v>
      </c>
      <c r="BX35">
        <v>4.496823705993748E-2</v>
      </c>
      <c r="BY35">
        <v>2.6710674655281165E-3</v>
      </c>
      <c r="BZ35">
        <v>0.47368680465424134</v>
      </c>
      <c r="CA35">
        <v>5.8151511057450353E-2</v>
      </c>
      <c r="CB35">
        <v>4.2275951588334012E-6</v>
      </c>
      <c r="CC35">
        <v>0.37777738115233356</v>
      </c>
      <c r="CD35">
        <v>1.6300029899610279E-2</v>
      </c>
      <c r="CF35" t="s">
        <v>803</v>
      </c>
      <c r="CG35" t="s">
        <v>108</v>
      </c>
      <c r="CH35" t="s">
        <v>109</v>
      </c>
      <c r="CI35">
        <v>0.44733785963540357</v>
      </c>
    </row>
    <row r="36" spans="2:87" x14ac:dyDescent="0.45">
      <c r="B36" t="s">
        <v>804</v>
      </c>
      <c r="C36" t="s">
        <v>99</v>
      </c>
      <c r="D36">
        <v>0</v>
      </c>
      <c r="E36">
        <v>0.29085416785850016</v>
      </c>
      <c r="F36">
        <v>0.87551949568993237</v>
      </c>
      <c r="G36">
        <v>0.93560379152876738</v>
      </c>
      <c r="H36">
        <v>0.21040181870773744</v>
      </c>
      <c r="I36">
        <v>0.67127892074760565</v>
      </c>
      <c r="J36">
        <v>0.88130123224003898</v>
      </c>
      <c r="K36">
        <v>0.16179582316387253</v>
      </c>
      <c r="L36">
        <v>0.61921603369410427</v>
      </c>
      <c r="M36">
        <v>0.99862637362637341</v>
      </c>
      <c r="N36">
        <v>0.23919322071064475</v>
      </c>
      <c r="O36">
        <v>0.81032212294559813</v>
      </c>
      <c r="Q36" t="s">
        <v>804</v>
      </c>
      <c r="R36" t="s">
        <v>100</v>
      </c>
      <c r="S36">
        <v>0</v>
      </c>
      <c r="T36">
        <v>0.14965231751674776</v>
      </c>
      <c r="U36">
        <v>0.49060423615405219</v>
      </c>
      <c r="V36">
        <v>0.87904151264321906</v>
      </c>
      <c r="W36">
        <v>0.1080573993497905</v>
      </c>
      <c r="X36">
        <v>0.27964385555748916</v>
      </c>
      <c r="Y36">
        <v>0.78402668863805547</v>
      </c>
      <c r="Z36">
        <v>7.8514517266943126E-2</v>
      </c>
      <c r="AA36">
        <v>0.40563232618215295</v>
      </c>
      <c r="AB36">
        <v>0.99725463410216153</v>
      </c>
      <c r="AC36">
        <v>0.12373297049110554</v>
      </c>
      <c r="AD36">
        <v>0.43456811876905888</v>
      </c>
      <c r="AF36" t="s">
        <v>804</v>
      </c>
      <c r="AG36" t="s">
        <v>101</v>
      </c>
      <c r="AH36">
        <v>0</v>
      </c>
      <c r="AI36">
        <v>5.2927189538235228E-3</v>
      </c>
      <c r="AJ36">
        <v>0.28701882975386567</v>
      </c>
      <c r="AK36">
        <v>0</v>
      </c>
      <c r="AL36">
        <v>5.3956626822030083E-3</v>
      </c>
      <c r="AM36">
        <v>0.22179059334682533</v>
      </c>
      <c r="AN36">
        <v>0</v>
      </c>
      <c r="AO36">
        <v>1.6472196315305699E-3</v>
      </c>
      <c r="AP36">
        <v>2.3291978886568452E-2</v>
      </c>
      <c r="AQ36">
        <v>0</v>
      </c>
      <c r="AR36">
        <v>3.367280575250826E-3</v>
      </c>
      <c r="AS36">
        <v>0.23909471896001888</v>
      </c>
      <c r="AU36" t="s">
        <v>804</v>
      </c>
      <c r="AV36" t="s">
        <v>102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804</v>
      </c>
      <c r="BS36">
        <v>0</v>
      </c>
      <c r="BT36">
        <v>0.34760630843255158</v>
      </c>
      <c r="BU36">
        <v>1.2938446302606392E-2</v>
      </c>
      <c r="BV36">
        <v>9.8741072714070939E-4</v>
      </c>
      <c r="BW36">
        <v>0.45262743680786566</v>
      </c>
      <c r="BX36">
        <v>4.9344251194335408E-2</v>
      </c>
      <c r="BY36">
        <v>2.1298541936944828E-3</v>
      </c>
      <c r="BZ36">
        <v>0.48626675086635168</v>
      </c>
      <c r="CA36">
        <v>6.4507615999214757E-2</v>
      </c>
      <c r="CB36">
        <v>8.9605954584433259E-8</v>
      </c>
      <c r="CC36">
        <v>0.39847502748304581</v>
      </c>
      <c r="CD36">
        <v>1.9953325100055125E-2</v>
      </c>
      <c r="CF36" t="s">
        <v>804</v>
      </c>
      <c r="CG36" t="s">
        <v>108</v>
      </c>
      <c r="CH36" t="s">
        <v>109</v>
      </c>
      <c r="CI36">
        <v>0.45262743680786566</v>
      </c>
    </row>
    <row r="37" spans="2:87" x14ac:dyDescent="0.45">
      <c r="B37" t="s">
        <v>805</v>
      </c>
      <c r="C37" t="s">
        <v>99</v>
      </c>
      <c r="D37">
        <v>0.34999090048285569</v>
      </c>
      <c r="E37">
        <v>0.374511708769937</v>
      </c>
      <c r="F37">
        <v>0.36220890606312445</v>
      </c>
      <c r="G37">
        <v>0.34743226532428184</v>
      </c>
      <c r="H37">
        <v>0.37754032742062688</v>
      </c>
      <c r="I37">
        <v>0.33925611479260243</v>
      </c>
      <c r="J37">
        <v>0.38111544424104488</v>
      </c>
      <c r="K37">
        <v>0.33882028077539877</v>
      </c>
      <c r="L37">
        <v>0.32684375515268693</v>
      </c>
      <c r="M37">
        <v>0.43694432000838307</v>
      </c>
      <c r="N37">
        <v>0.44052891141720418</v>
      </c>
      <c r="O37">
        <v>0.41382407469953109</v>
      </c>
      <c r="Q37" t="s">
        <v>805</v>
      </c>
      <c r="R37" t="s">
        <v>100</v>
      </c>
      <c r="S37">
        <v>1.059678061137579E-2</v>
      </c>
      <c r="T37">
        <v>2.2667332482766894E-2</v>
      </c>
      <c r="U37">
        <v>2.2784881941133376E-2</v>
      </c>
      <c r="V37">
        <v>3.0142355154897913E-2</v>
      </c>
      <c r="W37">
        <v>4.6095724675025977E-2</v>
      </c>
      <c r="X37">
        <v>3.0976364509990577E-2</v>
      </c>
      <c r="Y37">
        <v>7.9049875562694841E-2</v>
      </c>
      <c r="Z37">
        <v>5.0788220948674738E-2</v>
      </c>
      <c r="AA37">
        <v>4.2614989706242348E-2</v>
      </c>
      <c r="AB37">
        <v>5.5618842695329684E-2</v>
      </c>
      <c r="AC37">
        <v>2.9644005324953947E-2</v>
      </c>
      <c r="AD37">
        <v>4.0295935999458944E-2</v>
      </c>
      <c r="AF37" t="s">
        <v>805</v>
      </c>
      <c r="AG37" t="s">
        <v>101</v>
      </c>
      <c r="AH37">
        <v>1.7054278398205908E-2</v>
      </c>
      <c r="AI37">
        <v>2.6170684841603249E-2</v>
      </c>
      <c r="AJ37">
        <v>2.5084088198724395E-2</v>
      </c>
      <c r="AK37">
        <v>2.2823100033870208E-2</v>
      </c>
      <c r="AL37">
        <v>2.5250785231348868E-2</v>
      </c>
      <c r="AM37">
        <v>3.6885250315435707E-2</v>
      </c>
      <c r="AN37">
        <v>5.1900787235343859E-2</v>
      </c>
      <c r="AO37">
        <v>5.8199806495769758E-2</v>
      </c>
      <c r="AP37">
        <v>8.702869442613255E-2</v>
      </c>
      <c r="AQ37">
        <v>6.1079584950178852E-2</v>
      </c>
      <c r="AR37">
        <v>5.7820298758254285E-2</v>
      </c>
      <c r="AS37">
        <v>4.8923859883622696E-2</v>
      </c>
      <c r="AU37" t="s">
        <v>805</v>
      </c>
      <c r="AV37" t="s">
        <v>102</v>
      </c>
      <c r="AW37">
        <v>0.17131820123699198</v>
      </c>
      <c r="AX37">
        <v>0.1685811422648984</v>
      </c>
      <c r="AY37">
        <v>0.15659389547291797</v>
      </c>
      <c r="AZ37">
        <v>0.17220026877290984</v>
      </c>
      <c r="BA37">
        <v>0.16529768240146228</v>
      </c>
      <c r="BB37">
        <v>0.13315553683249143</v>
      </c>
      <c r="BC37">
        <v>0.14720675146879406</v>
      </c>
      <c r="BD37">
        <v>0.13544198591531639</v>
      </c>
      <c r="BE37">
        <v>9.8427606335094439E-2</v>
      </c>
      <c r="BF37">
        <v>0.19900866317368096</v>
      </c>
      <c r="BG37">
        <v>0.22404881237635663</v>
      </c>
      <c r="BH37">
        <v>0.19492029797878224</v>
      </c>
      <c r="BR37" t="s">
        <v>805</v>
      </c>
      <c r="BS37">
        <v>0.45693483708699589</v>
      </c>
      <c r="BT37">
        <v>0.43538721348240239</v>
      </c>
      <c r="BU37">
        <v>0.44430820240962765</v>
      </c>
      <c r="BV37">
        <v>0.36189944517942985</v>
      </c>
      <c r="BW37">
        <v>0.37488215959988797</v>
      </c>
      <c r="BX37">
        <v>0.42242322751218597</v>
      </c>
      <c r="BY37">
        <v>0.13035499265611256</v>
      </c>
      <c r="BZ37">
        <v>0.14888868955991821</v>
      </c>
      <c r="CA37">
        <v>0.16860804009552438</v>
      </c>
      <c r="CB37">
        <v>0.22457589366035727</v>
      </c>
      <c r="CC37">
        <v>0.22262184490178175</v>
      </c>
      <c r="CD37">
        <v>0.23824490612122901</v>
      </c>
      <c r="CF37" t="s">
        <v>806</v>
      </c>
      <c r="CG37" t="s">
        <v>108</v>
      </c>
      <c r="CH37" t="s">
        <v>109</v>
      </c>
      <c r="CI37">
        <v>0.23514547638881328</v>
      </c>
    </row>
    <row r="38" spans="2:87" x14ac:dyDescent="0.45">
      <c r="B38" t="s">
        <v>807</v>
      </c>
      <c r="C38" t="s">
        <v>99</v>
      </c>
      <c r="D38">
        <v>0.33027038674396908</v>
      </c>
      <c r="E38">
        <v>0.34774736951207147</v>
      </c>
      <c r="F38">
        <v>0.30647712052712711</v>
      </c>
      <c r="G38">
        <v>0.37142592492532484</v>
      </c>
      <c r="H38">
        <v>0.33963656945188925</v>
      </c>
      <c r="I38">
        <v>0.33242587199200857</v>
      </c>
      <c r="J38">
        <v>0.35051178431838631</v>
      </c>
      <c r="K38">
        <v>0.34388533749309036</v>
      </c>
      <c r="L38">
        <v>0.38045962629970626</v>
      </c>
      <c r="M38">
        <v>0.41759914037189788</v>
      </c>
      <c r="N38">
        <v>0.40160718030040471</v>
      </c>
      <c r="O38">
        <v>0.41465651873235387</v>
      </c>
      <c r="Q38" t="s">
        <v>807</v>
      </c>
      <c r="R38" t="s">
        <v>100</v>
      </c>
      <c r="S38">
        <v>1.2688960892107323E-2</v>
      </c>
      <c r="T38">
        <v>3.5557257010286704E-2</v>
      </c>
      <c r="U38">
        <v>1.6555845741009999E-2</v>
      </c>
      <c r="V38">
        <v>3.0155803420101039E-2</v>
      </c>
      <c r="W38">
        <v>4.8963236115687155E-2</v>
      </c>
      <c r="X38">
        <v>1.9433371001196138E-2</v>
      </c>
      <c r="Y38">
        <v>4.0700003254221316E-2</v>
      </c>
      <c r="Z38">
        <v>6.5262437353954761E-2</v>
      </c>
      <c r="AA38">
        <v>2.125529584317698E-2</v>
      </c>
      <c r="AB38">
        <v>2.4165465639766959E-2</v>
      </c>
      <c r="AC38">
        <v>6.1926054978045084E-2</v>
      </c>
      <c r="AD38">
        <v>3.4286820921170726E-2</v>
      </c>
      <c r="AF38" t="s">
        <v>807</v>
      </c>
      <c r="AG38" t="s">
        <v>101</v>
      </c>
      <c r="AH38">
        <v>1.5555182719930649E-2</v>
      </c>
      <c r="AI38">
        <v>2.681356904845078E-2</v>
      </c>
      <c r="AJ38">
        <v>3.3010339852826157E-2</v>
      </c>
      <c r="AK38">
        <v>3.3596522134838859E-2</v>
      </c>
      <c r="AL38">
        <v>2.9727116154793034E-2</v>
      </c>
      <c r="AM38">
        <v>4.1739130349289048E-2</v>
      </c>
      <c r="AN38">
        <v>3.0328928959800251E-2</v>
      </c>
      <c r="AO38">
        <v>2.2994266918748493E-2</v>
      </c>
      <c r="AP38">
        <v>0.1281157342811147</v>
      </c>
      <c r="AQ38">
        <v>4.5160862821656642E-2</v>
      </c>
      <c r="AR38">
        <v>4.1735734601699798E-2</v>
      </c>
      <c r="AS38">
        <v>6.5731940272976463E-2</v>
      </c>
      <c r="AU38" t="s">
        <v>807</v>
      </c>
      <c r="AV38" t="s">
        <v>102</v>
      </c>
      <c r="AW38">
        <v>0.18084572570268301</v>
      </c>
      <c r="AX38">
        <v>0.15916859823966367</v>
      </c>
      <c r="AY38">
        <v>0.1370423665831958</v>
      </c>
      <c r="AZ38">
        <v>0.16648345196380382</v>
      </c>
      <c r="BA38">
        <v>0.13296066152702168</v>
      </c>
      <c r="BB38">
        <v>0.13673161163367259</v>
      </c>
      <c r="BC38">
        <v>0.17118092609506599</v>
      </c>
      <c r="BD38">
        <v>0.15000813334371074</v>
      </c>
      <c r="BE38">
        <v>0.11061685058884634</v>
      </c>
      <c r="BF38">
        <v>0.23059118273321794</v>
      </c>
      <c r="BG38">
        <v>0.18516622861169513</v>
      </c>
      <c r="BH38">
        <v>0.1829832919596798</v>
      </c>
      <c r="BR38" t="s">
        <v>807</v>
      </c>
      <c r="BS38">
        <v>0.40643277546489864</v>
      </c>
      <c r="BT38">
        <v>0.38666894691456882</v>
      </c>
      <c r="BU38">
        <v>0.41687527315569572</v>
      </c>
      <c r="BV38">
        <v>0.31527402117795111</v>
      </c>
      <c r="BW38">
        <v>0.38046524404844045</v>
      </c>
      <c r="BX38">
        <v>0.38814294574910319</v>
      </c>
      <c r="BY38">
        <v>0.15213174535015658</v>
      </c>
      <c r="BZ38">
        <v>0.21573119393517151</v>
      </c>
      <c r="CA38">
        <v>0.18753633300198957</v>
      </c>
      <c r="CB38">
        <v>0.19144916860469904</v>
      </c>
      <c r="CC38">
        <v>0.20566602608234094</v>
      </c>
      <c r="CD38">
        <v>0.23038980640531254</v>
      </c>
      <c r="CF38" t="s">
        <v>808</v>
      </c>
      <c r="CG38" t="s">
        <v>108</v>
      </c>
      <c r="CH38" t="s">
        <v>109</v>
      </c>
      <c r="CI38">
        <v>0.26537471003898194</v>
      </c>
    </row>
    <row r="39" spans="2:87" x14ac:dyDescent="0.45">
      <c r="B39" t="s">
        <v>809</v>
      </c>
      <c r="C39" t="s">
        <v>99</v>
      </c>
      <c r="D39">
        <v>0.39013222587266172</v>
      </c>
      <c r="E39">
        <v>0.40391927620718254</v>
      </c>
      <c r="F39">
        <v>0.3797189020088535</v>
      </c>
      <c r="G39">
        <v>0.36354989069345789</v>
      </c>
      <c r="H39">
        <v>0.36858049161323975</v>
      </c>
      <c r="I39">
        <v>0.33399916075694902</v>
      </c>
      <c r="J39">
        <v>0.44030141557614416</v>
      </c>
      <c r="K39">
        <v>0.34259167786370281</v>
      </c>
      <c r="L39">
        <v>0.33241494007634326</v>
      </c>
      <c r="M39">
        <v>0.46480126981254954</v>
      </c>
      <c r="N39">
        <v>0.41645120049189488</v>
      </c>
      <c r="O39">
        <v>0.41166615666357259</v>
      </c>
      <c r="Q39" t="s">
        <v>809</v>
      </c>
      <c r="R39" t="s">
        <v>100</v>
      </c>
      <c r="S39">
        <v>1.9111910535872221E-2</v>
      </c>
      <c r="T39">
        <v>8.0144535951882073E-3</v>
      </c>
      <c r="U39">
        <v>1.660403195273201E-2</v>
      </c>
      <c r="V39">
        <v>2.2800031255655596E-2</v>
      </c>
      <c r="W39">
        <v>3.2914044080112489E-2</v>
      </c>
      <c r="X39">
        <v>2.3338144167559589E-2</v>
      </c>
      <c r="Y39">
        <v>0.11001986021080613</v>
      </c>
      <c r="Z39">
        <v>9.4033502924448953E-2</v>
      </c>
      <c r="AA39">
        <v>4.0406729729949908E-2</v>
      </c>
      <c r="AB39">
        <v>4.1345049721878628E-2</v>
      </c>
      <c r="AC39">
        <v>2.2006476304428185E-2</v>
      </c>
      <c r="AD39">
        <v>6.0313664941004902E-2</v>
      </c>
      <c r="AF39" t="s">
        <v>809</v>
      </c>
      <c r="AG39" t="s">
        <v>101</v>
      </c>
      <c r="AH39">
        <v>2.2101196306986329E-2</v>
      </c>
      <c r="AI39">
        <v>2.1622437773314858E-2</v>
      </c>
      <c r="AJ39">
        <v>1.33423540592343E-2</v>
      </c>
      <c r="AK39">
        <v>2.0824546969889515E-2</v>
      </c>
      <c r="AL39">
        <v>2.766926893708168E-2</v>
      </c>
      <c r="AM39">
        <v>2.1896339298558689E-2</v>
      </c>
      <c r="AN39">
        <v>7.0887787915431544E-2</v>
      </c>
      <c r="AO39">
        <v>4.4622922176263971E-2</v>
      </c>
      <c r="AP39">
        <v>0.11575412657040272</v>
      </c>
      <c r="AQ39">
        <v>6.9053541833310306E-2</v>
      </c>
      <c r="AR39">
        <v>2.4678942282917189E-2</v>
      </c>
      <c r="AS39">
        <v>3.5504414373416393E-2</v>
      </c>
      <c r="AU39" t="s">
        <v>809</v>
      </c>
      <c r="AV39" t="s">
        <v>102</v>
      </c>
      <c r="AW39">
        <v>0.17833215232172292</v>
      </c>
      <c r="AX39">
        <v>0.21101012375849229</v>
      </c>
      <c r="AY39">
        <v>0.20593370463762861</v>
      </c>
      <c r="AZ39">
        <v>0.19079181214793711</v>
      </c>
      <c r="BA39">
        <v>0.16834800049251672</v>
      </c>
      <c r="BB39">
        <v>0.14936157330843727</v>
      </c>
      <c r="BC39">
        <v>0.15990598339529258</v>
      </c>
      <c r="BD39">
        <v>0.1090220529609527</v>
      </c>
      <c r="BE39">
        <v>8.3843062296930851E-2</v>
      </c>
      <c r="BF39">
        <v>0.21611369156853266</v>
      </c>
      <c r="BG39">
        <v>0.25083860109246386</v>
      </c>
      <c r="BH39">
        <v>0.18649326887632148</v>
      </c>
      <c r="BR39" t="s">
        <v>809</v>
      </c>
      <c r="BS39">
        <v>0.42562713310288292</v>
      </c>
      <c r="BT39">
        <v>0.39253125505734832</v>
      </c>
      <c r="BU39">
        <v>0.39255464065721357</v>
      </c>
      <c r="BV39">
        <v>0.35317284623797834</v>
      </c>
      <c r="BW39">
        <v>0.34779591691783085</v>
      </c>
      <c r="BX39">
        <v>0.39489443556954007</v>
      </c>
      <c r="BY39">
        <v>9.2028415646210934E-2</v>
      </c>
      <c r="BZ39">
        <v>0.11609967668573247</v>
      </c>
      <c r="CA39">
        <v>0.1265440664894113</v>
      </c>
      <c r="CB39">
        <v>0.22664280524934849</v>
      </c>
      <c r="CC39">
        <v>0.21024595039598146</v>
      </c>
      <c r="CD39">
        <v>0.24074818686536822</v>
      </c>
      <c r="CF39" t="s">
        <v>810</v>
      </c>
      <c r="CG39" t="s">
        <v>108</v>
      </c>
      <c r="CH39" t="s">
        <v>109</v>
      </c>
      <c r="CI39">
        <v>0.23121049245484759</v>
      </c>
    </row>
    <row r="40" spans="2:87" x14ac:dyDescent="0.45">
      <c r="B40" t="s">
        <v>811</v>
      </c>
      <c r="C40" t="s">
        <v>99</v>
      </c>
      <c r="D40">
        <v>0.3740682140044187</v>
      </c>
      <c r="E40">
        <v>0.37679327971940707</v>
      </c>
      <c r="F40">
        <v>0.37031220411022309</v>
      </c>
      <c r="G40">
        <v>0.34153131610780435</v>
      </c>
      <c r="H40">
        <v>0.36157342553135602</v>
      </c>
      <c r="I40">
        <v>0.35176297456410799</v>
      </c>
      <c r="J40">
        <v>0.42971398742301276</v>
      </c>
      <c r="K40">
        <v>0.38250341766540108</v>
      </c>
      <c r="L40">
        <v>0.36502352874540089</v>
      </c>
      <c r="M40">
        <v>0.40821066024280295</v>
      </c>
      <c r="N40">
        <v>0.40995075073861525</v>
      </c>
      <c r="O40">
        <v>0.41855253241177598</v>
      </c>
      <c r="Q40" t="s">
        <v>811</v>
      </c>
      <c r="R40" t="s">
        <v>100</v>
      </c>
      <c r="S40">
        <v>2.1080804263649281E-2</v>
      </c>
      <c r="T40">
        <v>1.1938520793195557E-2</v>
      </c>
      <c r="U40">
        <v>3.0709692518314239E-2</v>
      </c>
      <c r="V40">
        <v>1.7422201151888101E-2</v>
      </c>
      <c r="W40">
        <v>2.5810675560909251E-2</v>
      </c>
      <c r="X40">
        <v>3.0870716455494579E-2</v>
      </c>
      <c r="Y40">
        <v>0.10940675885567872</v>
      </c>
      <c r="Z40">
        <v>2.9847624148785858E-2</v>
      </c>
      <c r="AA40">
        <v>5.8797909056069769E-2</v>
      </c>
      <c r="AB40">
        <v>4.7269801541318261E-2</v>
      </c>
      <c r="AC40">
        <v>1.7425350646859614E-2</v>
      </c>
      <c r="AD40">
        <v>2.318452248638574E-2</v>
      </c>
      <c r="AF40" t="s">
        <v>811</v>
      </c>
      <c r="AG40" t="s">
        <v>101</v>
      </c>
      <c r="AH40">
        <v>3.7460915019246276E-2</v>
      </c>
      <c r="AI40">
        <v>1.8583282547433026E-2</v>
      </c>
      <c r="AJ40">
        <v>2.181281611378005E-2</v>
      </c>
      <c r="AK40">
        <v>2.8115404861770575E-2</v>
      </c>
      <c r="AL40">
        <v>2.9161859597756384E-2</v>
      </c>
      <c r="AM40">
        <v>2.1366800946072812E-2</v>
      </c>
      <c r="AN40">
        <v>8.1273650055105659E-2</v>
      </c>
      <c r="AO40">
        <v>6.769988346725031E-2</v>
      </c>
      <c r="AP40">
        <v>2.1515981618793239E-2</v>
      </c>
      <c r="AQ40">
        <v>2.9082937116904035E-2</v>
      </c>
      <c r="AR40">
        <v>4.4722287877628178E-2</v>
      </c>
      <c r="AS40">
        <v>2.2263025043670868E-2</v>
      </c>
      <c r="AU40" t="s">
        <v>811</v>
      </c>
      <c r="AV40" t="s">
        <v>102</v>
      </c>
      <c r="AW40">
        <v>0.15782528855145578</v>
      </c>
      <c r="AX40">
        <v>0.19652245369200774</v>
      </c>
      <c r="AY40">
        <v>0.16729726626812355</v>
      </c>
      <c r="AZ40">
        <v>0.17346111956207325</v>
      </c>
      <c r="BA40">
        <v>0.17312583176609814</v>
      </c>
      <c r="BB40">
        <v>0.17231102906855347</v>
      </c>
      <c r="BC40">
        <v>0.12666355646587976</v>
      </c>
      <c r="BD40">
        <v>0.18404540845869644</v>
      </c>
      <c r="BE40">
        <v>0.18335343321257994</v>
      </c>
      <c r="BF40">
        <v>0.20383233378646928</v>
      </c>
      <c r="BG40">
        <v>0.22660177708710147</v>
      </c>
      <c r="BH40">
        <v>0.25614192842626182</v>
      </c>
      <c r="BR40" t="s">
        <v>811</v>
      </c>
      <c r="BS40">
        <v>0.45191380030125317</v>
      </c>
      <c r="BT40">
        <v>0.44208780718136365</v>
      </c>
      <c r="BU40">
        <v>0.42926519877586117</v>
      </c>
      <c r="BV40">
        <v>0.40040918319454016</v>
      </c>
      <c r="BW40">
        <v>0.38063772061003615</v>
      </c>
      <c r="BX40">
        <v>0.41056845286560334</v>
      </c>
      <c r="BY40">
        <v>0.12556876733181446</v>
      </c>
      <c r="BZ40">
        <v>0.12412236472924718</v>
      </c>
      <c r="CA40">
        <v>0.12705692797843424</v>
      </c>
      <c r="CB40">
        <v>0.27191933967249776</v>
      </c>
      <c r="CC40">
        <v>0.24798250124890053</v>
      </c>
      <c r="CD40">
        <v>0.25597489374982435</v>
      </c>
      <c r="CF40" t="s">
        <v>812</v>
      </c>
      <c r="CG40" t="s">
        <v>108</v>
      </c>
      <c r="CH40" t="s">
        <v>109</v>
      </c>
      <c r="CI40">
        <v>0.1736184070468261</v>
      </c>
    </row>
    <row r="41" spans="2:87" x14ac:dyDescent="0.45">
      <c r="B41" t="s">
        <v>813</v>
      </c>
      <c r="C41" t="s">
        <v>99</v>
      </c>
      <c r="D41">
        <v>0.27608254075772792</v>
      </c>
      <c r="E41">
        <v>0.30556538255932825</v>
      </c>
      <c r="F41">
        <v>0.27914672363100823</v>
      </c>
      <c r="G41">
        <v>0.29893751464773782</v>
      </c>
      <c r="H41">
        <v>0.30832672120005533</v>
      </c>
      <c r="I41">
        <v>0.26777756046103174</v>
      </c>
      <c r="J41">
        <v>0.38389346777023048</v>
      </c>
      <c r="K41">
        <v>0.3795329252913559</v>
      </c>
      <c r="L41">
        <v>0.32791446074106212</v>
      </c>
      <c r="M41">
        <v>0.26537334025080012</v>
      </c>
      <c r="N41">
        <v>0.29510110317337956</v>
      </c>
      <c r="O41">
        <v>0.25071384122542723</v>
      </c>
      <c r="Q41" t="s">
        <v>813</v>
      </c>
      <c r="R41" t="s">
        <v>100</v>
      </c>
      <c r="S41">
        <v>2.2435202614178446E-2</v>
      </c>
      <c r="T41">
        <v>2.0971567756496945E-2</v>
      </c>
      <c r="U41">
        <v>1.021834932646374E-2</v>
      </c>
      <c r="V41">
        <v>1.195940699307239E-2</v>
      </c>
      <c r="W41">
        <v>2.0550762796421554E-2</v>
      </c>
      <c r="X41">
        <v>1.9994854859585937E-2</v>
      </c>
      <c r="Y41">
        <v>1.9400945075388771E-2</v>
      </c>
      <c r="Z41">
        <v>1.9967825737234091E-2</v>
      </c>
      <c r="AA41">
        <v>1.8500401897237756E-2</v>
      </c>
      <c r="AB41">
        <v>1.4148328316976702E-2</v>
      </c>
      <c r="AC41">
        <v>9.6361861651702053E-3</v>
      </c>
      <c r="AD41">
        <v>1.3186800892486651E-2</v>
      </c>
      <c r="AF41" t="s">
        <v>813</v>
      </c>
      <c r="AG41" t="s">
        <v>101</v>
      </c>
      <c r="AH41">
        <v>2.044599400458216E-2</v>
      </c>
      <c r="AI41">
        <v>2.6941113363123124E-2</v>
      </c>
      <c r="AJ41">
        <v>1.9363919788801125E-2</v>
      </c>
      <c r="AK41">
        <v>2.4402539520513376E-2</v>
      </c>
      <c r="AL41">
        <v>1.6110646880292592E-2</v>
      </c>
      <c r="AM41">
        <v>2.2637309531753216E-2</v>
      </c>
      <c r="AN41">
        <v>2.4261246392221984E-2</v>
      </c>
      <c r="AO41">
        <v>2.2478898084589943E-2</v>
      </c>
      <c r="AP41">
        <v>2.1647204511864727E-2</v>
      </c>
      <c r="AQ41">
        <v>1.6102245535099719E-2</v>
      </c>
      <c r="AR41">
        <v>1.4215063404845999E-2</v>
      </c>
      <c r="AS41">
        <v>1.4657223471105011E-2</v>
      </c>
      <c r="AU41" t="s">
        <v>813</v>
      </c>
      <c r="AV41" t="s">
        <v>102</v>
      </c>
      <c r="AW41">
        <v>0.10430771191034133</v>
      </c>
      <c r="AX41">
        <v>0.11235590234400351</v>
      </c>
      <c r="AY41">
        <v>0.11525328041927339</v>
      </c>
      <c r="AZ41">
        <v>0.12952013540021601</v>
      </c>
      <c r="BA41">
        <v>0.13844693540788869</v>
      </c>
      <c r="BB41">
        <v>0.10541050929830226</v>
      </c>
      <c r="BC41">
        <v>0.19503478702711152</v>
      </c>
      <c r="BD41">
        <v>0.19262628729203546</v>
      </c>
      <c r="BE41">
        <v>0.15883443465792771</v>
      </c>
      <c r="BF41">
        <v>0.10205883045993774</v>
      </c>
      <c r="BG41">
        <v>0.13443213783290636</v>
      </c>
      <c r="BH41">
        <v>0.10597130078845741</v>
      </c>
      <c r="BR41" t="s">
        <v>813</v>
      </c>
      <c r="BS41">
        <v>0.54691135873020058</v>
      </c>
      <c r="BT41">
        <v>0.5247954423381973</v>
      </c>
      <c r="BU41">
        <v>0.56513283720976859</v>
      </c>
      <c r="BV41">
        <v>0.50034706347705094</v>
      </c>
      <c r="BW41">
        <v>0.48062915792294653</v>
      </c>
      <c r="BX41">
        <v>0.51198908369131912</v>
      </c>
      <c r="BY41">
        <v>0.38719159319896762</v>
      </c>
      <c r="BZ41">
        <v>0.36350845742979837</v>
      </c>
      <c r="CA41">
        <v>0.41048359558421454</v>
      </c>
      <c r="CB41">
        <v>0.57195658626518842</v>
      </c>
      <c r="CC41">
        <v>0.51996284587078645</v>
      </c>
      <c r="CD41">
        <v>0.56756870187963893</v>
      </c>
      <c r="CF41" t="s">
        <v>814</v>
      </c>
      <c r="CG41" t="s">
        <v>108</v>
      </c>
      <c r="CH41" t="s">
        <v>109</v>
      </c>
      <c r="CI41">
        <v>0.26794022858407052</v>
      </c>
    </row>
    <row r="42" spans="2:87" x14ac:dyDescent="0.45">
      <c r="B42" t="s">
        <v>815</v>
      </c>
      <c r="C42" t="s">
        <v>99</v>
      </c>
      <c r="D42">
        <v>0.44846944640015812</v>
      </c>
      <c r="E42">
        <v>0.47537799998228192</v>
      </c>
      <c r="F42">
        <v>0.45114119143424275</v>
      </c>
      <c r="G42">
        <v>0.47380712043896972</v>
      </c>
      <c r="H42">
        <v>0.41009635766308722</v>
      </c>
      <c r="I42">
        <v>0.43137200220438027</v>
      </c>
      <c r="J42">
        <v>0.5491111348284522</v>
      </c>
      <c r="K42">
        <v>0.38535549372602712</v>
      </c>
      <c r="L42">
        <v>0.48647164389017983</v>
      </c>
      <c r="M42">
        <v>0.50469431095126971</v>
      </c>
      <c r="N42">
        <v>0.46557210189115766</v>
      </c>
      <c r="O42">
        <v>0.49333980800855215</v>
      </c>
      <c r="Q42" t="s">
        <v>815</v>
      </c>
      <c r="R42" t="s">
        <v>100</v>
      </c>
      <c r="S42">
        <v>4.8823801526364674E-2</v>
      </c>
      <c r="T42">
        <v>3.9792234321444936E-2</v>
      </c>
      <c r="U42">
        <v>3.5046377922862575E-2</v>
      </c>
      <c r="V42">
        <v>3.7385255727737911E-2</v>
      </c>
      <c r="W42">
        <v>7.7550178973394307E-2</v>
      </c>
      <c r="X42">
        <v>4.9685892567376225E-2</v>
      </c>
      <c r="Y42">
        <v>0.12291946056455103</v>
      </c>
      <c r="Z42">
        <v>0.14319363099689444</v>
      </c>
      <c r="AA42">
        <v>8.8582868724118816E-2</v>
      </c>
      <c r="AB42">
        <v>1.6233010466464349E-2</v>
      </c>
      <c r="AC42">
        <v>6.9476028200811099E-2</v>
      </c>
      <c r="AD42">
        <v>5.3668443615700188E-2</v>
      </c>
      <c r="AF42" t="s">
        <v>815</v>
      </c>
      <c r="AG42" t="s">
        <v>101</v>
      </c>
      <c r="AH42">
        <v>6.3028539973856004E-2</v>
      </c>
      <c r="AI42">
        <v>6.1456440635792642E-2</v>
      </c>
      <c r="AJ42">
        <v>5.3059874632210409E-2</v>
      </c>
      <c r="AK42">
        <v>3.5361672692574411E-2</v>
      </c>
      <c r="AL42">
        <v>4.8961835032648018E-2</v>
      </c>
      <c r="AM42">
        <v>7.8791471395306067E-2</v>
      </c>
      <c r="AN42">
        <v>0.12117894676862753</v>
      </c>
      <c r="AO42">
        <v>3.0828715136492425E-2</v>
      </c>
      <c r="AP42">
        <v>0.16212444414661639</v>
      </c>
      <c r="AQ42">
        <v>7.0329354137117342E-2</v>
      </c>
      <c r="AR42">
        <v>2.3351843798180467E-2</v>
      </c>
      <c r="AS42">
        <v>5.8792447792579305E-2</v>
      </c>
      <c r="AU42" t="s">
        <v>815</v>
      </c>
      <c r="AV42" t="s">
        <v>102</v>
      </c>
      <c r="AW42">
        <v>0.20509810656482977</v>
      </c>
      <c r="AX42">
        <v>0.23847676516730901</v>
      </c>
      <c r="AY42">
        <v>0.22209362882873127</v>
      </c>
      <c r="AZ42">
        <v>0.2688581539279758</v>
      </c>
      <c r="BA42">
        <v>0.1409589362721092</v>
      </c>
      <c r="BB42">
        <v>0.16945581159148468</v>
      </c>
      <c r="BC42">
        <v>0.20778765219416703</v>
      </c>
      <c r="BD42">
        <v>0.11609442939926892</v>
      </c>
      <c r="BE42">
        <v>0.11798696452721825</v>
      </c>
      <c r="BF42">
        <v>0.28856850982163129</v>
      </c>
      <c r="BG42">
        <v>0.25835604247113492</v>
      </c>
      <c r="BH42">
        <v>0.23630489208934902</v>
      </c>
      <c r="BR42" t="s">
        <v>815</v>
      </c>
      <c r="BS42">
        <v>0.28274489609112885</v>
      </c>
      <c r="BT42">
        <v>0.28430360592999088</v>
      </c>
      <c r="BU42">
        <v>0.3030827053500198</v>
      </c>
      <c r="BV42">
        <v>0.23611130889927523</v>
      </c>
      <c r="BW42">
        <v>0.30513028189918295</v>
      </c>
      <c r="BX42">
        <v>0.26869704718004578</v>
      </c>
      <c r="BY42">
        <v>5.8970506030963675E-2</v>
      </c>
      <c r="BZ42">
        <v>0.10706381403372559</v>
      </c>
      <c r="CA42">
        <v>8.157539909854275E-2</v>
      </c>
      <c r="CB42">
        <v>0.19403964077644859</v>
      </c>
      <c r="CC42">
        <v>0.18822717243217377</v>
      </c>
      <c r="CD42">
        <v>0.21879953888524964</v>
      </c>
      <c r="CF42" t="s">
        <v>816</v>
      </c>
      <c r="CG42" t="s">
        <v>108</v>
      </c>
      <c r="CH42" t="s">
        <v>109</v>
      </c>
      <c r="CI42">
        <v>0.15447663714168794</v>
      </c>
    </row>
    <row r="43" spans="2:87" x14ac:dyDescent="0.45">
      <c r="B43" t="s">
        <v>817</v>
      </c>
      <c r="C43" t="s">
        <v>99</v>
      </c>
      <c r="D43">
        <v>0.41227254727569795</v>
      </c>
      <c r="E43">
        <v>0.44105632581636578</v>
      </c>
      <c r="F43">
        <v>0.3969742539202365</v>
      </c>
      <c r="G43">
        <v>0.40680048337791447</v>
      </c>
      <c r="H43">
        <v>0.36906339198130222</v>
      </c>
      <c r="I43">
        <v>0.36570688080091601</v>
      </c>
      <c r="J43">
        <v>0.53799983473472524</v>
      </c>
      <c r="K43">
        <v>0.36058459267907073</v>
      </c>
      <c r="L43">
        <v>0.40386715323155792</v>
      </c>
      <c r="M43">
        <v>0.48005852888307204</v>
      </c>
      <c r="N43">
        <v>0.43485035041219683</v>
      </c>
      <c r="O43">
        <v>0.47693836032850645</v>
      </c>
      <c r="Q43" t="s">
        <v>817</v>
      </c>
      <c r="R43" t="s">
        <v>100</v>
      </c>
      <c r="S43">
        <v>5.0981408744479519E-2</v>
      </c>
      <c r="T43">
        <v>2.4821114686288677E-2</v>
      </c>
      <c r="U43">
        <v>1.7454547403065512E-2</v>
      </c>
      <c r="V43">
        <v>3.0537679108838242E-2</v>
      </c>
      <c r="W43">
        <v>3.9892468155774227E-2</v>
      </c>
      <c r="X43">
        <v>1.8686826815351415E-2</v>
      </c>
      <c r="Y43">
        <v>0.10069364396348933</v>
      </c>
      <c r="Z43">
        <v>0.12816558029785396</v>
      </c>
      <c r="AA43">
        <v>7.2978825693999327E-2</v>
      </c>
      <c r="AB43">
        <v>4.4643509995542688E-2</v>
      </c>
      <c r="AC43">
        <v>4.5517072018256423E-2</v>
      </c>
      <c r="AD43">
        <v>3.339535407613612E-2</v>
      </c>
      <c r="AF43" t="s">
        <v>817</v>
      </c>
      <c r="AG43" t="s">
        <v>101</v>
      </c>
      <c r="AH43">
        <v>4.1024419744467383E-2</v>
      </c>
      <c r="AI43">
        <v>4.9059268161770364E-2</v>
      </c>
      <c r="AJ43">
        <v>2.2645348945424058E-2</v>
      </c>
      <c r="AK43">
        <v>2.0842916352090842E-2</v>
      </c>
      <c r="AL43">
        <v>4.1353339446558661E-2</v>
      </c>
      <c r="AM43">
        <v>3.3998410378197091E-2</v>
      </c>
      <c r="AN43">
        <v>6.0560737923158581E-2</v>
      </c>
      <c r="AO43">
        <v>2.513690835853747E-2</v>
      </c>
      <c r="AP43">
        <v>0.13569969601760939</v>
      </c>
      <c r="AQ43">
        <v>3.7736888126480995E-2</v>
      </c>
      <c r="AR43">
        <v>4.7021849420030438E-2</v>
      </c>
      <c r="AS43">
        <v>5.8784892268872617E-2</v>
      </c>
      <c r="AU43" t="s">
        <v>817</v>
      </c>
      <c r="AV43" t="s">
        <v>102</v>
      </c>
      <c r="AW43">
        <v>0.16197303505200614</v>
      </c>
      <c r="AX43">
        <v>0.20996349476656975</v>
      </c>
      <c r="AY43">
        <v>0.21630333480567807</v>
      </c>
      <c r="AZ43">
        <v>0.2034461026646314</v>
      </c>
      <c r="BA43">
        <v>0.15224525638390188</v>
      </c>
      <c r="BB43">
        <v>0.17570262095019334</v>
      </c>
      <c r="BC43">
        <v>0.27881459410107773</v>
      </c>
      <c r="BD43">
        <v>0.11077464234005401</v>
      </c>
      <c r="BE43">
        <v>0.10132633387145475</v>
      </c>
      <c r="BF43">
        <v>0.25865662240559156</v>
      </c>
      <c r="BG43">
        <v>0.22475787983236198</v>
      </c>
      <c r="BH43">
        <v>0.25471717360837137</v>
      </c>
      <c r="BR43" t="s">
        <v>817</v>
      </c>
      <c r="BS43">
        <v>0.37963074826304505</v>
      </c>
      <c r="BT43">
        <v>0.37269222713257355</v>
      </c>
      <c r="BU43">
        <v>0.36856899186126596</v>
      </c>
      <c r="BV43">
        <v>0.33169445396442682</v>
      </c>
      <c r="BW43">
        <v>0.32895110576683906</v>
      </c>
      <c r="BX43">
        <v>0.35035820665123957</v>
      </c>
      <c r="BY43">
        <v>0.10367949775205526</v>
      </c>
      <c r="BZ43">
        <v>0.10331821439613328</v>
      </c>
      <c r="CA43">
        <v>0.11170533787908053</v>
      </c>
      <c r="CB43">
        <v>0.265888556992807</v>
      </c>
      <c r="CC43">
        <v>0.24316679273963393</v>
      </c>
      <c r="CD43">
        <v>0.2583338730821888</v>
      </c>
      <c r="CF43" t="s">
        <v>818</v>
      </c>
      <c r="CG43" t="s">
        <v>108</v>
      </c>
      <c r="CH43" t="s">
        <v>109</v>
      </c>
      <c r="CI43">
        <v>0.22296217803076188</v>
      </c>
    </row>
    <row r="44" spans="2:87" x14ac:dyDescent="0.45">
      <c r="B44" t="s">
        <v>819</v>
      </c>
      <c r="C44" t="s">
        <v>99</v>
      </c>
      <c r="D44">
        <v>0.46809476217452717</v>
      </c>
      <c r="E44">
        <v>0.46603571998681553</v>
      </c>
      <c r="F44">
        <v>0.42553774397708705</v>
      </c>
      <c r="G44">
        <v>0.45028856818777363</v>
      </c>
      <c r="H44">
        <v>0.42211637629734394</v>
      </c>
      <c r="I44">
        <v>0.42651646102736462</v>
      </c>
      <c r="J44">
        <v>0.45186593625080212</v>
      </c>
      <c r="K44">
        <v>0.37324027989952741</v>
      </c>
      <c r="L44">
        <v>0.40589179887689503</v>
      </c>
      <c r="M44">
        <v>0.46096316861324077</v>
      </c>
      <c r="N44">
        <v>0.42436504259465108</v>
      </c>
      <c r="O44">
        <v>0.44935177443498969</v>
      </c>
      <c r="Q44" t="s">
        <v>819</v>
      </c>
      <c r="R44" t="s">
        <v>100</v>
      </c>
      <c r="S44">
        <v>6.8713994673423123E-2</v>
      </c>
      <c r="T44">
        <v>4.460165307564385E-2</v>
      </c>
      <c r="U44">
        <v>7.4624098846807832E-2</v>
      </c>
      <c r="V44">
        <v>2.8279432337100101E-2</v>
      </c>
      <c r="W44">
        <v>8.7623090839580711E-2</v>
      </c>
      <c r="X44">
        <v>5.3967406367563468E-2</v>
      </c>
      <c r="Y44">
        <v>7.9545177890828697E-2</v>
      </c>
      <c r="Z44">
        <v>0.11063461930204939</v>
      </c>
      <c r="AA44">
        <v>7.9745607179504213E-2</v>
      </c>
      <c r="AB44">
        <v>6.798305553814693E-2</v>
      </c>
      <c r="AC44">
        <v>7.3276821539723064E-2</v>
      </c>
      <c r="AD44">
        <v>0.12725092086124604</v>
      </c>
      <c r="AF44" t="s">
        <v>819</v>
      </c>
      <c r="AG44" t="s">
        <v>101</v>
      </c>
      <c r="AH44">
        <v>0.10027566555051143</v>
      </c>
      <c r="AI44">
        <v>5.6512960400145716E-2</v>
      </c>
      <c r="AJ44">
        <v>4.9987579225569172E-2</v>
      </c>
      <c r="AK44">
        <v>3.1050793346290458E-2</v>
      </c>
      <c r="AL44">
        <v>4.2294275907020284E-2</v>
      </c>
      <c r="AM44">
        <v>9.9644184331139654E-2</v>
      </c>
      <c r="AN44">
        <v>0.12221268432049744</v>
      </c>
      <c r="AO44">
        <v>6.8894440042880187E-2</v>
      </c>
      <c r="AP44">
        <v>0.12113617746234989</v>
      </c>
      <c r="AQ44">
        <v>0.1091483672742766</v>
      </c>
      <c r="AR44">
        <v>6.9608374753987026E-2</v>
      </c>
      <c r="AS44">
        <v>7.1434308092376081E-2</v>
      </c>
      <c r="AU44" t="s">
        <v>819</v>
      </c>
      <c r="AV44" t="s">
        <v>102</v>
      </c>
      <c r="AW44">
        <v>0.16127364826699886</v>
      </c>
      <c r="AX44">
        <v>0.23772449145525801</v>
      </c>
      <c r="AY44">
        <v>0.17329717367766656</v>
      </c>
      <c r="AZ44">
        <v>0.27776028104937422</v>
      </c>
      <c r="BA44">
        <v>0.16688018235189991</v>
      </c>
      <c r="BB44">
        <v>0.14084633427152418</v>
      </c>
      <c r="BC44">
        <v>0.16283349313791468</v>
      </c>
      <c r="BD44">
        <v>8.2542439289208527E-2</v>
      </c>
      <c r="BE44">
        <v>0.10665691069075053</v>
      </c>
      <c r="BF44">
        <v>0.14203616480392434</v>
      </c>
      <c r="BG44">
        <v>0.15897799755684086</v>
      </c>
      <c r="BH44">
        <v>0.113944438777423</v>
      </c>
      <c r="BR44" t="s">
        <v>819</v>
      </c>
      <c r="BS44">
        <v>0.25447768981665136</v>
      </c>
      <c r="BT44">
        <v>0.23308556456123453</v>
      </c>
      <c r="BU44">
        <v>0.25131849656687966</v>
      </c>
      <c r="BV44">
        <v>0.2298906039504286</v>
      </c>
      <c r="BW44">
        <v>0.2876994288366187</v>
      </c>
      <c r="BX44">
        <v>0.31498885062930804</v>
      </c>
      <c r="BY44">
        <v>8.2384047457556744E-2</v>
      </c>
      <c r="BZ44">
        <v>0.10497645898210417</v>
      </c>
      <c r="CA44">
        <v>9.8403767372974793E-2</v>
      </c>
      <c r="CB44">
        <v>0.22760749293949673</v>
      </c>
      <c r="CC44">
        <v>0.22162073579736583</v>
      </c>
      <c r="CD44">
        <v>0.26104756929863282</v>
      </c>
      <c r="CF44" t="s">
        <v>820</v>
      </c>
      <c r="CG44" t="s">
        <v>108</v>
      </c>
      <c r="CH44" t="s">
        <v>109</v>
      </c>
      <c r="CI44">
        <v>0.40327416508946823</v>
      </c>
    </row>
    <row r="45" spans="2:87" x14ac:dyDescent="0.45">
      <c r="B45" t="s">
        <v>821</v>
      </c>
      <c r="C45" t="s">
        <v>99</v>
      </c>
      <c r="D45">
        <v>0.33587392057652155</v>
      </c>
      <c r="E45">
        <v>0.36028473912812797</v>
      </c>
      <c r="F45">
        <v>0.34091790922236292</v>
      </c>
      <c r="G45">
        <v>0.34717635914453338</v>
      </c>
      <c r="H45">
        <v>0.35846424850121089</v>
      </c>
      <c r="I45">
        <v>0.3585069665581076</v>
      </c>
      <c r="J45">
        <v>0.45795959237288736</v>
      </c>
      <c r="K45">
        <v>0.46863993441390317</v>
      </c>
      <c r="L45">
        <v>0.44827129959201567</v>
      </c>
      <c r="M45">
        <v>0.38688494799022999</v>
      </c>
      <c r="N45">
        <v>0.39750803899490261</v>
      </c>
      <c r="O45">
        <v>0.38504141806745001</v>
      </c>
      <c r="Q45" t="s">
        <v>821</v>
      </c>
      <c r="R45" t="s">
        <v>100</v>
      </c>
      <c r="S45">
        <v>3.3356383711760661E-2</v>
      </c>
      <c r="T45">
        <v>3.8224799378796595E-2</v>
      </c>
      <c r="U45">
        <v>1.9173075797246249E-2</v>
      </c>
      <c r="V45">
        <v>2.6921629221592504E-2</v>
      </c>
      <c r="W45">
        <v>3.3566207048200951E-2</v>
      </c>
      <c r="X45">
        <v>2.4348056753394767E-2</v>
      </c>
      <c r="Y45">
        <v>8.1712602053387484E-2</v>
      </c>
      <c r="Z45">
        <v>5.1343907327731517E-2</v>
      </c>
      <c r="AA45">
        <v>3.8502604575290783E-2</v>
      </c>
      <c r="AB45">
        <v>2.1087844995160591E-2</v>
      </c>
      <c r="AC45">
        <v>1.8837997846461289E-2</v>
      </c>
      <c r="AD45">
        <v>2.1616476414989077E-2</v>
      </c>
      <c r="AF45" t="s">
        <v>821</v>
      </c>
      <c r="AG45" t="s">
        <v>101</v>
      </c>
      <c r="AH45">
        <v>4.1546086521238625E-2</v>
      </c>
      <c r="AI45">
        <v>4.3097997342032388E-2</v>
      </c>
      <c r="AJ45">
        <v>2.9338559573950557E-2</v>
      </c>
      <c r="AK45">
        <v>2.6899373371701934E-2</v>
      </c>
      <c r="AL45">
        <v>4.2727438000983581E-2</v>
      </c>
      <c r="AM45">
        <v>4.5357781498474414E-2</v>
      </c>
      <c r="AN45">
        <v>7.6020067535641458E-2</v>
      </c>
      <c r="AO45">
        <v>6.586517987723968E-2</v>
      </c>
      <c r="AP45">
        <v>2.8155366532974527E-2</v>
      </c>
      <c r="AQ45">
        <v>1.6563716819531241E-2</v>
      </c>
      <c r="AR45">
        <v>2.6628753736296727E-2</v>
      </c>
      <c r="AS45">
        <v>1.4087276437896557E-2</v>
      </c>
      <c r="AU45" t="s">
        <v>821</v>
      </c>
      <c r="AV45" t="s">
        <v>102</v>
      </c>
      <c r="AW45">
        <v>0.12930080993311319</v>
      </c>
      <c r="AX45">
        <v>0.13544934770149961</v>
      </c>
      <c r="AY45">
        <v>0.15139642119352312</v>
      </c>
      <c r="AZ45">
        <v>0.16137000832399548</v>
      </c>
      <c r="BA45">
        <v>0.1485744759105832</v>
      </c>
      <c r="BB45">
        <v>0.15209981756289687</v>
      </c>
      <c r="BC45">
        <v>0.17636289597817945</v>
      </c>
      <c r="BD45">
        <v>0.2131890159526004</v>
      </c>
      <c r="BE45">
        <v>0.27113333168776033</v>
      </c>
      <c r="BF45">
        <v>0.2086935792118404</v>
      </c>
      <c r="BG45">
        <v>0.2074467686285984</v>
      </c>
      <c r="BH45">
        <v>0.21759960914248463</v>
      </c>
      <c r="BR45" t="s">
        <v>821</v>
      </c>
      <c r="BS45">
        <v>0.46943603126272582</v>
      </c>
      <c r="BT45">
        <v>0.45834649683184542</v>
      </c>
      <c r="BU45">
        <v>0.47024530776478024</v>
      </c>
      <c r="BV45">
        <v>0.42436956830415107</v>
      </c>
      <c r="BW45">
        <v>0.39967553819064977</v>
      </c>
      <c r="BX45">
        <v>0.39371247632449102</v>
      </c>
      <c r="BY45">
        <v>0.19836171812392198</v>
      </c>
      <c r="BZ45">
        <v>0.19217736911896027</v>
      </c>
      <c r="CA45">
        <v>0.15142809267275195</v>
      </c>
      <c r="CB45">
        <v>0.39567830675758092</v>
      </c>
      <c r="CC45">
        <v>0.39443483693673442</v>
      </c>
      <c r="CD45">
        <v>0.3765216825226908</v>
      </c>
      <c r="CF45" t="s">
        <v>822</v>
      </c>
      <c r="CG45" t="s">
        <v>108</v>
      </c>
      <c r="CH45" t="s">
        <v>109</v>
      </c>
      <c r="CI45">
        <v>0.16206220968578636</v>
      </c>
    </row>
    <row r="46" spans="2:87" x14ac:dyDescent="0.45">
      <c r="B46" t="s">
        <v>823</v>
      </c>
      <c r="C46" t="s">
        <v>99</v>
      </c>
      <c r="D46">
        <v>0.41608687801803784</v>
      </c>
      <c r="E46">
        <v>0.41483098135909374</v>
      </c>
      <c r="F46">
        <v>0.40555335239458168</v>
      </c>
      <c r="G46">
        <v>0.39921288515677089</v>
      </c>
      <c r="H46">
        <v>0.38476929019723571</v>
      </c>
      <c r="I46">
        <v>0.3826253171037301</v>
      </c>
      <c r="J46">
        <v>0.47614532012070565</v>
      </c>
      <c r="K46">
        <v>0.41963648517010826</v>
      </c>
      <c r="L46">
        <v>0.41084378185126846</v>
      </c>
      <c r="M46">
        <v>0.43501232298956932</v>
      </c>
      <c r="N46">
        <v>0.42968302203940556</v>
      </c>
      <c r="O46">
        <v>0.41422401241137069</v>
      </c>
      <c r="Q46" t="s">
        <v>823</v>
      </c>
      <c r="R46" t="s">
        <v>100</v>
      </c>
      <c r="S46">
        <v>3.5803426291074227E-2</v>
      </c>
      <c r="T46">
        <v>3.2953091408401365E-2</v>
      </c>
      <c r="U46">
        <v>4.4879795200829617E-2</v>
      </c>
      <c r="V46">
        <v>2.2254009676153874E-2</v>
      </c>
      <c r="W46">
        <v>4.8556560082205068E-2</v>
      </c>
      <c r="X46">
        <v>3.1863810655118216E-2</v>
      </c>
      <c r="Y46">
        <v>0.15514269273215819</v>
      </c>
      <c r="Z46">
        <v>3.0670127205939569E-2</v>
      </c>
      <c r="AA46">
        <v>5.8871232331484412E-2</v>
      </c>
      <c r="AB46">
        <v>4.3628417829077476E-2</v>
      </c>
      <c r="AC46">
        <v>2.2541819257214008E-2</v>
      </c>
      <c r="AD46">
        <v>2.334698329803031E-2</v>
      </c>
      <c r="AF46" t="s">
        <v>823</v>
      </c>
      <c r="AG46" t="s">
        <v>101</v>
      </c>
      <c r="AH46">
        <v>6.398437062851417E-2</v>
      </c>
      <c r="AI46">
        <v>3.1469510744568531E-2</v>
      </c>
      <c r="AJ46">
        <v>3.4860679625340167E-2</v>
      </c>
      <c r="AK46">
        <v>3.1384918551068515E-2</v>
      </c>
      <c r="AL46">
        <v>3.8384603763307455E-2</v>
      </c>
      <c r="AM46">
        <v>5.9833279722986785E-2</v>
      </c>
      <c r="AN46">
        <v>0.11849337885936892</v>
      </c>
      <c r="AO46">
        <v>7.4244347931343033E-2</v>
      </c>
      <c r="AP46">
        <v>2.9095775389179436E-2</v>
      </c>
      <c r="AQ46">
        <v>2.1181366251026904E-2</v>
      </c>
      <c r="AR46">
        <v>4.4205129837816055E-2</v>
      </c>
      <c r="AS46">
        <v>1.0767950513130684E-2</v>
      </c>
      <c r="AU46" t="s">
        <v>823</v>
      </c>
      <c r="AV46" t="s">
        <v>102</v>
      </c>
      <c r="AW46">
        <v>0.16189985624448869</v>
      </c>
      <c r="AX46">
        <v>0.19951825436589998</v>
      </c>
      <c r="AY46">
        <v>0.18330265040027896</v>
      </c>
      <c r="AZ46">
        <v>0.21029736270923904</v>
      </c>
      <c r="BA46">
        <v>0.1659261120664863</v>
      </c>
      <c r="BB46">
        <v>0.16067917291577702</v>
      </c>
      <c r="BC46">
        <v>8.9720986929566066E-2</v>
      </c>
      <c r="BD46">
        <v>0.21074599319741505</v>
      </c>
      <c r="BE46">
        <v>0.21158524110201657</v>
      </c>
      <c r="BF46">
        <v>0.23900101755221503</v>
      </c>
      <c r="BG46">
        <v>0.22381289723231643</v>
      </c>
      <c r="BH46">
        <v>0.26419014499845117</v>
      </c>
      <c r="BR46" t="s">
        <v>823</v>
      </c>
      <c r="BS46">
        <v>0.37980454854502149</v>
      </c>
      <c r="BT46">
        <v>0.38400043492609659</v>
      </c>
      <c r="BU46">
        <v>0.37432164368043741</v>
      </c>
      <c r="BV46">
        <v>0.34517877642639283</v>
      </c>
      <c r="BW46">
        <v>0.33210661960856769</v>
      </c>
      <c r="BX46">
        <v>0.34914098514365122</v>
      </c>
      <c r="BY46">
        <v>0.11994002298619376</v>
      </c>
      <c r="BZ46">
        <v>0.14240414492262954</v>
      </c>
      <c r="CA46">
        <v>0.11312104391232053</v>
      </c>
      <c r="CB46">
        <v>0.30808122743710781</v>
      </c>
      <c r="CC46">
        <v>0.31828477563478391</v>
      </c>
      <c r="CD46">
        <v>0.31100241564235354</v>
      </c>
      <c r="CF46" t="s">
        <v>824</v>
      </c>
      <c r="CG46" t="s">
        <v>108</v>
      </c>
      <c r="CH46" t="s">
        <v>109</v>
      </c>
      <c r="CI46">
        <v>0.2422749101788923</v>
      </c>
    </row>
    <row r="47" spans="2:87" x14ac:dyDescent="0.45">
      <c r="B47" t="s">
        <v>825</v>
      </c>
      <c r="C47" t="s">
        <v>99</v>
      </c>
      <c r="D47">
        <v>0.32355556915380573</v>
      </c>
      <c r="E47">
        <v>0.33215067079584193</v>
      </c>
      <c r="F47">
        <v>0.30968485589081174</v>
      </c>
      <c r="G47">
        <v>0.36104580903176936</v>
      </c>
      <c r="H47">
        <v>0.33783515022548766</v>
      </c>
      <c r="I47">
        <v>0.34054095300827641</v>
      </c>
      <c r="J47">
        <v>0.41201600449496595</v>
      </c>
      <c r="K47">
        <v>0.40089860421138762</v>
      </c>
      <c r="L47">
        <v>0.41764916175135747</v>
      </c>
      <c r="M47">
        <v>0.42484474227369079</v>
      </c>
      <c r="N47">
        <v>0.40124125887475665</v>
      </c>
      <c r="O47">
        <v>0.40561095722836432</v>
      </c>
      <c r="Q47" t="s">
        <v>825</v>
      </c>
      <c r="R47" t="s">
        <v>100</v>
      </c>
      <c r="S47">
        <v>1.8576149372375228E-2</v>
      </c>
      <c r="T47">
        <v>1.5987655040254557E-2</v>
      </c>
      <c r="U47">
        <v>1.1365927278958108E-2</v>
      </c>
      <c r="V47">
        <v>1.5007175771180518E-2</v>
      </c>
      <c r="W47">
        <v>1.8892714606351536E-2</v>
      </c>
      <c r="X47">
        <v>1.1142094895774442E-2</v>
      </c>
      <c r="Y47">
        <v>2.1128408649097132E-2</v>
      </c>
      <c r="Z47">
        <v>1.0625012527076356E-2</v>
      </c>
      <c r="AA47">
        <v>3.7460575035836688E-3</v>
      </c>
      <c r="AB47">
        <v>2.0948044905357108E-2</v>
      </c>
      <c r="AC47">
        <v>2.0386700112138011E-2</v>
      </c>
      <c r="AD47">
        <v>1.6784026286653299E-2</v>
      </c>
      <c r="AF47" t="s">
        <v>825</v>
      </c>
      <c r="AG47" t="s">
        <v>101</v>
      </c>
      <c r="AH47">
        <v>2.1212990098699338E-2</v>
      </c>
      <c r="AI47">
        <v>1.802574339991803E-2</v>
      </c>
      <c r="AJ47">
        <v>2.8469335516085617E-2</v>
      </c>
      <c r="AK47">
        <v>1.4859919271079892E-2</v>
      </c>
      <c r="AL47">
        <v>2.1388825866307883E-2</v>
      </c>
      <c r="AM47">
        <v>2.7412027647767234E-2</v>
      </c>
      <c r="AN47">
        <v>2.23031773011544E-2</v>
      </c>
      <c r="AO47">
        <v>2.1915890881408731E-2</v>
      </c>
      <c r="AP47">
        <v>1.3751076121693486E-2</v>
      </c>
      <c r="AQ47">
        <v>3.18391061421621E-2</v>
      </c>
      <c r="AR47">
        <v>2.2698589414295461E-2</v>
      </c>
      <c r="AS47">
        <v>2.9881560472204242E-2</v>
      </c>
      <c r="AU47" t="s">
        <v>825</v>
      </c>
      <c r="AV47" t="s">
        <v>102</v>
      </c>
      <c r="AW47">
        <v>0.15273447924709227</v>
      </c>
      <c r="AX47">
        <v>0.16514478243767902</v>
      </c>
      <c r="AY47">
        <v>0.1403699803297645</v>
      </c>
      <c r="AZ47">
        <v>0.17185054554206816</v>
      </c>
      <c r="BA47">
        <v>0.15280654512197175</v>
      </c>
      <c r="BB47">
        <v>0.14731125626490879</v>
      </c>
      <c r="BC47">
        <v>0.22672037397580316</v>
      </c>
      <c r="BD47">
        <v>0.23140317805594043</v>
      </c>
      <c r="BE47">
        <v>0.25993932544218373</v>
      </c>
      <c r="BF47">
        <v>0.22165046539717181</v>
      </c>
      <c r="BG47">
        <v>0.22404063956623471</v>
      </c>
      <c r="BH47">
        <v>0.21375816992130878</v>
      </c>
      <c r="BR47" t="s">
        <v>825</v>
      </c>
      <c r="BS47">
        <v>0.43639893132910301</v>
      </c>
      <c r="BT47">
        <v>0.44331554520664468</v>
      </c>
      <c r="BU47">
        <v>0.45870340802828186</v>
      </c>
      <c r="BV47">
        <v>0.43475185350323187</v>
      </c>
      <c r="BW47">
        <v>0.45024682348650058</v>
      </c>
      <c r="BX47">
        <v>0.47629661340321655</v>
      </c>
      <c r="BY47">
        <v>0.27601345714887865</v>
      </c>
      <c r="BZ47">
        <v>0.32644918189134647</v>
      </c>
      <c r="CA47">
        <v>0.31193936654216897</v>
      </c>
      <c r="CB47">
        <v>0.26582291098352751</v>
      </c>
      <c r="CC47">
        <v>0.28344661830465917</v>
      </c>
      <c r="CD47">
        <v>0.29514949425991993</v>
      </c>
      <c r="CF47" t="s">
        <v>826</v>
      </c>
      <c r="CG47" t="s">
        <v>108</v>
      </c>
      <c r="CH47" t="s">
        <v>109</v>
      </c>
      <c r="CI47">
        <v>0.27348556214446534</v>
      </c>
    </row>
    <row r="48" spans="2:87" x14ac:dyDescent="0.45">
      <c r="B48" t="s">
        <v>827</v>
      </c>
      <c r="C48" t="s">
        <v>99</v>
      </c>
      <c r="D48">
        <v>0.31032460224166875</v>
      </c>
      <c r="E48">
        <v>0.31833238146341314</v>
      </c>
      <c r="F48">
        <v>0.29544714069406491</v>
      </c>
      <c r="G48">
        <v>0.34424855690001988</v>
      </c>
      <c r="H48">
        <v>0.32663743138187273</v>
      </c>
      <c r="I48">
        <v>0.32342083448211739</v>
      </c>
      <c r="J48">
        <v>0.38835516923871533</v>
      </c>
      <c r="K48">
        <v>0.40262479254611533</v>
      </c>
      <c r="L48">
        <v>0.42323702543528074</v>
      </c>
      <c r="M48">
        <v>0.40224281680392809</v>
      </c>
      <c r="N48">
        <v>0.40638438721572567</v>
      </c>
      <c r="O48">
        <v>0.39204728957753349</v>
      </c>
      <c r="Q48" t="s">
        <v>827</v>
      </c>
      <c r="R48" t="s">
        <v>100</v>
      </c>
      <c r="S48">
        <v>5.0014731026240258E-3</v>
      </c>
      <c r="T48">
        <v>8.7490019265220875E-3</v>
      </c>
      <c r="U48">
        <v>1.0424372289524609E-2</v>
      </c>
      <c r="V48">
        <v>1.9692374531941968E-2</v>
      </c>
      <c r="W48">
        <v>2.275136790146836E-2</v>
      </c>
      <c r="X48">
        <v>9.2214939624588391E-3</v>
      </c>
      <c r="Y48">
        <v>1.3556806876250554E-2</v>
      </c>
      <c r="Z48">
        <v>7.4045913145743252E-3</v>
      </c>
      <c r="AA48">
        <v>3.3357931074622406E-3</v>
      </c>
      <c r="AB48">
        <v>1.1087924662897441E-2</v>
      </c>
      <c r="AC48">
        <v>1.4570378631938042E-2</v>
      </c>
      <c r="AD48">
        <v>2.8505914124114125E-2</v>
      </c>
      <c r="AF48" t="s">
        <v>827</v>
      </c>
      <c r="AG48" t="s">
        <v>101</v>
      </c>
      <c r="AH48">
        <v>2.1196453374798654E-2</v>
      </c>
      <c r="AI48">
        <v>9.3354369390217899E-3</v>
      </c>
      <c r="AJ48">
        <v>1.0501941063513568E-2</v>
      </c>
      <c r="AK48">
        <v>2.0803153596214246E-2</v>
      </c>
      <c r="AL48">
        <v>2.5293089391476533E-2</v>
      </c>
      <c r="AM48">
        <v>2.8511268960855381E-2</v>
      </c>
      <c r="AN48">
        <v>2.9148120927999153E-2</v>
      </c>
      <c r="AO48">
        <v>1.1022669185282651E-2</v>
      </c>
      <c r="AP48">
        <v>1.0883855778118335E-2</v>
      </c>
      <c r="AQ48">
        <v>3.8018862464436212E-2</v>
      </c>
      <c r="AR48">
        <v>1.4245562211271422E-2</v>
      </c>
      <c r="AS48">
        <v>2.6186332939111545E-2</v>
      </c>
      <c r="AU48" t="s">
        <v>827</v>
      </c>
      <c r="AV48" t="s">
        <v>102</v>
      </c>
      <c r="AW48">
        <v>0.14574483457212603</v>
      </c>
      <c r="AX48">
        <v>0.16201312162806675</v>
      </c>
      <c r="AY48">
        <v>0.13079503868094119</v>
      </c>
      <c r="AZ48">
        <v>0.14924360324753649</v>
      </c>
      <c r="BA48">
        <v>0.13610275535083541</v>
      </c>
      <c r="BB48">
        <v>0.13946239862711454</v>
      </c>
      <c r="BC48">
        <v>0.21540698568641969</v>
      </c>
      <c r="BD48">
        <v>0.25135409729318076</v>
      </c>
      <c r="BE48">
        <v>0.27174105062362691</v>
      </c>
      <c r="BF48">
        <v>0.2040557390647624</v>
      </c>
      <c r="BG48">
        <v>0.23410954936666878</v>
      </c>
      <c r="BH48">
        <v>0.19105112513190944</v>
      </c>
      <c r="BR48" t="s">
        <v>827</v>
      </c>
      <c r="BS48">
        <v>0.45769654071186738</v>
      </c>
      <c r="BT48">
        <v>0.45798107114995446</v>
      </c>
      <c r="BU48">
        <v>0.48562596679054532</v>
      </c>
      <c r="BV48">
        <v>0.40196636155840609</v>
      </c>
      <c r="BW48">
        <v>0.42679375810869519</v>
      </c>
      <c r="BX48">
        <v>0.45583420518747175</v>
      </c>
      <c r="BY48">
        <v>0.25524183249052756</v>
      </c>
      <c r="BZ48">
        <v>0.27764128920187331</v>
      </c>
      <c r="CA48">
        <v>0.26114162699726851</v>
      </c>
      <c r="CB48">
        <v>0.26703283679241357</v>
      </c>
      <c r="CC48">
        <v>0.28074615310979689</v>
      </c>
      <c r="CD48">
        <v>0.29731062782197915</v>
      </c>
      <c r="CF48" t="s">
        <v>828</v>
      </c>
      <c r="CG48" t="s">
        <v>108</v>
      </c>
      <c r="CH48" t="s">
        <v>109</v>
      </c>
      <c r="CI48">
        <v>0.17468616429963008</v>
      </c>
    </row>
    <row r="49" spans="2:87" x14ac:dyDescent="0.45">
      <c r="B49" t="s">
        <v>829</v>
      </c>
      <c r="C49" t="s">
        <v>99</v>
      </c>
      <c r="D49">
        <v>0.36389846281877991</v>
      </c>
      <c r="E49">
        <v>0.44224943799094873</v>
      </c>
      <c r="F49">
        <v>0.40178307541110519</v>
      </c>
      <c r="G49">
        <v>0.34185671512918542</v>
      </c>
      <c r="H49">
        <v>0.41808919969600222</v>
      </c>
      <c r="I49">
        <v>0.3180612494658544</v>
      </c>
      <c r="J49">
        <v>0.43585235658358118</v>
      </c>
      <c r="K49">
        <v>0.4161236651684907</v>
      </c>
      <c r="L49">
        <v>0.30139063779992803</v>
      </c>
      <c r="M49">
        <v>0.41456203453297619</v>
      </c>
      <c r="N49">
        <v>0.42779338532693134</v>
      </c>
      <c r="O49">
        <v>0.33456324346658783</v>
      </c>
      <c r="Q49" t="s">
        <v>829</v>
      </c>
      <c r="R49" t="s">
        <v>100</v>
      </c>
      <c r="S49">
        <v>3.027427158006989E-2</v>
      </c>
      <c r="T49">
        <v>5.6902868008073267E-2</v>
      </c>
      <c r="U49">
        <v>2.4900298268161439E-2</v>
      </c>
      <c r="V49">
        <v>3.9619677546710447E-2</v>
      </c>
      <c r="W49">
        <v>8.0426900493011849E-2</v>
      </c>
      <c r="X49">
        <v>3.0335365738928772E-2</v>
      </c>
      <c r="Y49">
        <v>5.4996246899479746E-2</v>
      </c>
      <c r="Z49">
        <v>0.17660162386888439</v>
      </c>
      <c r="AA49">
        <v>5.1232413563055086E-2</v>
      </c>
      <c r="AB49">
        <v>3.9914756748526251E-2</v>
      </c>
      <c r="AC49">
        <v>3.0004381526061094E-2</v>
      </c>
      <c r="AD49">
        <v>8.078278195643146E-2</v>
      </c>
      <c r="AF49" t="s">
        <v>829</v>
      </c>
      <c r="AG49" t="s">
        <v>101</v>
      </c>
      <c r="AH49">
        <v>2.4419526120805109E-2</v>
      </c>
      <c r="AI49">
        <v>7.9278209597784463E-2</v>
      </c>
      <c r="AJ49">
        <v>5.9287182965073987E-2</v>
      </c>
      <c r="AK49">
        <v>4.5225119855822254E-2</v>
      </c>
      <c r="AL49">
        <v>3.8617791579001866E-2</v>
      </c>
      <c r="AM49">
        <v>4.6325473009132798E-2</v>
      </c>
      <c r="AN49">
        <v>9.2038531672172061E-2</v>
      </c>
      <c r="AO49">
        <v>2.6819441700622778E-2</v>
      </c>
      <c r="AP49">
        <v>8.4904567822282451E-2</v>
      </c>
      <c r="AQ49">
        <v>7.1902119994550609E-2</v>
      </c>
      <c r="AR49">
        <v>3.4985305105683505E-2</v>
      </c>
      <c r="AS49">
        <v>1.3054294338853538E-2</v>
      </c>
      <c r="AU49" t="s">
        <v>829</v>
      </c>
      <c r="AV49" t="s">
        <v>102</v>
      </c>
      <c r="AW49">
        <v>0.1827240989217036</v>
      </c>
      <c r="AX49">
        <v>0.16107223125815875</v>
      </c>
      <c r="AY49">
        <v>0.18537837981622637</v>
      </c>
      <c r="AZ49">
        <v>0.13108163183227953</v>
      </c>
      <c r="BA49">
        <v>0.15900764275863893</v>
      </c>
      <c r="BB49">
        <v>0.1201613375644552</v>
      </c>
      <c r="BC49">
        <v>0.14844913815070646</v>
      </c>
      <c r="BD49">
        <v>9.3118969283255984E-2</v>
      </c>
      <c r="BE49">
        <v>5.3397758535740254E-2</v>
      </c>
      <c r="BF49">
        <v>0.16372681444354648</v>
      </c>
      <c r="BG49">
        <v>0.25183849003189107</v>
      </c>
      <c r="BH49">
        <v>0.1226320765741839</v>
      </c>
      <c r="BR49" t="s">
        <v>829</v>
      </c>
      <c r="BS49">
        <v>0.33038148016771401</v>
      </c>
      <c r="BT49">
        <v>0.27101737484449212</v>
      </c>
      <c r="BU49">
        <v>0.31505636274823745</v>
      </c>
      <c r="BV49">
        <v>0.34768534859715927</v>
      </c>
      <c r="BW49">
        <v>0.32085036641121178</v>
      </c>
      <c r="BX49">
        <v>0.40347386222932408</v>
      </c>
      <c r="BY49">
        <v>0.20615236492186415</v>
      </c>
      <c r="BZ49">
        <v>0.14212024578221211</v>
      </c>
      <c r="CA49">
        <v>0.28280777066213753</v>
      </c>
      <c r="CB49">
        <v>0.21712212874119605</v>
      </c>
      <c r="CC49">
        <v>0.18431693374558283</v>
      </c>
      <c r="CD49">
        <v>0.23467115169171154</v>
      </c>
      <c r="CF49" t="s">
        <v>830</v>
      </c>
      <c r="CG49" t="s">
        <v>108</v>
      </c>
      <c r="CH49" t="s">
        <v>109</v>
      </c>
      <c r="CI49">
        <v>0.23052257447752178</v>
      </c>
    </row>
    <row r="50" spans="2:87" x14ac:dyDescent="0.45">
      <c r="B50" t="s">
        <v>831</v>
      </c>
      <c r="C50" t="s">
        <v>99</v>
      </c>
      <c r="D50">
        <v>0.32713476687740223</v>
      </c>
      <c r="E50">
        <v>0.37416348716248116</v>
      </c>
      <c r="F50">
        <v>0.34082915804281122</v>
      </c>
      <c r="G50">
        <v>0.29612629477399099</v>
      </c>
      <c r="H50">
        <v>0.3446560821472659</v>
      </c>
      <c r="I50">
        <v>0.2853456691991933</v>
      </c>
      <c r="J50">
        <v>0.34468656549612353</v>
      </c>
      <c r="K50">
        <v>0.38501707598192397</v>
      </c>
      <c r="L50">
        <v>0.27187196646432066</v>
      </c>
      <c r="M50">
        <v>0.35257842139103079</v>
      </c>
      <c r="N50">
        <v>0.35887036145528617</v>
      </c>
      <c r="O50">
        <v>0.32263318917866962</v>
      </c>
      <c r="Q50" t="s">
        <v>831</v>
      </c>
      <c r="R50" t="s">
        <v>100</v>
      </c>
      <c r="S50">
        <v>1.6284328657841834E-2</v>
      </c>
      <c r="T50">
        <v>2.9958029509351263E-2</v>
      </c>
      <c r="U50">
        <v>1.2052044303999658E-2</v>
      </c>
      <c r="V50">
        <v>1.8964388067950245E-2</v>
      </c>
      <c r="W50">
        <v>2.4699017610019598E-2</v>
      </c>
      <c r="X50">
        <v>8.8400122451843741E-3</v>
      </c>
      <c r="Y50">
        <v>1.4809862756097742E-2</v>
      </c>
      <c r="Z50">
        <v>5.7787246515778766E-3</v>
      </c>
      <c r="AA50">
        <v>3.3170813819009188E-3</v>
      </c>
      <c r="AB50">
        <v>1.4813572931159322E-2</v>
      </c>
      <c r="AC50">
        <v>1.1222815488687756E-2</v>
      </c>
      <c r="AD50">
        <v>1.333555131945369E-2</v>
      </c>
      <c r="AF50" t="s">
        <v>831</v>
      </c>
      <c r="AG50" t="s">
        <v>101</v>
      </c>
      <c r="AH50">
        <v>1.8600478223308108E-2</v>
      </c>
      <c r="AI50">
        <v>4.1346109374799857E-2</v>
      </c>
      <c r="AJ50">
        <v>2.4390777392440097E-2</v>
      </c>
      <c r="AK50">
        <v>1.2945189444316413E-2</v>
      </c>
      <c r="AL50">
        <v>3.7179587430115811E-2</v>
      </c>
      <c r="AM50">
        <v>1.5273195530095571E-2</v>
      </c>
      <c r="AN50">
        <v>6.2446924051651467E-3</v>
      </c>
      <c r="AO50">
        <v>1.5352958551419627E-2</v>
      </c>
      <c r="AP50">
        <v>6.8650433808792842E-3</v>
      </c>
      <c r="AQ50">
        <v>2.0840085103344903E-2</v>
      </c>
      <c r="AR50">
        <v>2.6640984337755778E-2</v>
      </c>
      <c r="AS50">
        <v>3.2814465652308781E-3</v>
      </c>
      <c r="AU50" t="s">
        <v>831</v>
      </c>
      <c r="AV50" t="s">
        <v>102</v>
      </c>
      <c r="AW50">
        <v>0.15976601363873832</v>
      </c>
      <c r="AX50">
        <v>0.14643762216297113</v>
      </c>
      <c r="AY50">
        <v>0.15570081404810665</v>
      </c>
      <c r="AZ50">
        <v>0.15230903450040986</v>
      </c>
      <c r="BA50">
        <v>0.15427094141457895</v>
      </c>
      <c r="BB50">
        <v>0.14911399847802906</v>
      </c>
      <c r="BC50">
        <v>0.19925601760077791</v>
      </c>
      <c r="BD50">
        <v>0.2368476371775233</v>
      </c>
      <c r="BE50">
        <v>0.17112109047010335</v>
      </c>
      <c r="BF50">
        <v>0.17291523270810402</v>
      </c>
      <c r="BG50">
        <v>0.19395527964912651</v>
      </c>
      <c r="BH50">
        <v>0.18974421203194985</v>
      </c>
      <c r="BR50" t="s">
        <v>831</v>
      </c>
      <c r="BS50">
        <v>0.43682604936066272</v>
      </c>
      <c r="BT50">
        <v>0.39843759062199735</v>
      </c>
      <c r="BU50">
        <v>0.44582952984441659</v>
      </c>
      <c r="BV50">
        <v>0.42456233968330925</v>
      </c>
      <c r="BW50">
        <v>0.40005541823482543</v>
      </c>
      <c r="BX50">
        <v>0.45580913682927116</v>
      </c>
      <c r="BY50">
        <v>0.39291253383358227</v>
      </c>
      <c r="BZ50">
        <v>0.33822424349560165</v>
      </c>
      <c r="CA50">
        <v>0.4314038482150776</v>
      </c>
      <c r="CB50">
        <v>0.34318430203301187</v>
      </c>
      <c r="CC50">
        <v>0.31199357481402473</v>
      </c>
      <c r="CD50">
        <v>0.35708255105524983</v>
      </c>
      <c r="CF50" t="s">
        <v>832</v>
      </c>
      <c r="CG50" t="s">
        <v>108</v>
      </c>
      <c r="CH50" t="s">
        <v>109</v>
      </c>
      <c r="CI50">
        <v>0.28913669432012562</v>
      </c>
    </row>
    <row r="51" spans="2:87" x14ac:dyDescent="0.45">
      <c r="B51" t="s">
        <v>833</v>
      </c>
      <c r="C51" t="s">
        <v>99</v>
      </c>
      <c r="D51">
        <v>0.31323794670046362</v>
      </c>
      <c r="E51">
        <v>0.34092003844121588</v>
      </c>
      <c r="F51">
        <v>0.2819124746587448</v>
      </c>
      <c r="G51">
        <v>0.27292188451829863</v>
      </c>
      <c r="H51">
        <v>0.26629036333897871</v>
      </c>
      <c r="I51">
        <v>0.25106559451256621</v>
      </c>
      <c r="J51">
        <v>0.39601567184697517</v>
      </c>
      <c r="K51">
        <v>0.37719053739109454</v>
      </c>
      <c r="L51">
        <v>0.36807530635771396</v>
      </c>
      <c r="M51">
        <v>0.28868119908706824</v>
      </c>
      <c r="N51">
        <v>0.29653641449639084</v>
      </c>
      <c r="O51">
        <v>0.24673787466095376</v>
      </c>
      <c r="Q51" t="s">
        <v>833</v>
      </c>
      <c r="R51" t="s">
        <v>100</v>
      </c>
      <c r="S51">
        <v>2.45643273578415E-2</v>
      </c>
      <c r="T51">
        <v>2.9379466463382929E-2</v>
      </c>
      <c r="U51">
        <v>1.8476588595413929E-2</v>
      </c>
      <c r="V51">
        <v>1.6470650489789275E-2</v>
      </c>
      <c r="W51">
        <v>2.7895554611040062E-2</v>
      </c>
      <c r="X51">
        <v>1.1171862133631682E-2</v>
      </c>
      <c r="Y51">
        <v>1.9264530060817649E-3</v>
      </c>
      <c r="Z51">
        <v>3.7598720552201238E-2</v>
      </c>
      <c r="AA51">
        <v>1.1685121407165395E-2</v>
      </c>
      <c r="AB51">
        <v>1.7398335054844328E-2</v>
      </c>
      <c r="AC51">
        <v>1.7717470973021683E-2</v>
      </c>
      <c r="AD51">
        <v>7.430016807269223E-3</v>
      </c>
      <c r="AF51" t="s">
        <v>833</v>
      </c>
      <c r="AG51" t="s">
        <v>101</v>
      </c>
      <c r="AH51">
        <v>3.202074398184214E-2</v>
      </c>
      <c r="AI51">
        <v>3.1465228536849847E-2</v>
      </c>
      <c r="AJ51">
        <v>2.8110437593116606E-2</v>
      </c>
      <c r="AK51">
        <v>1.6097476619908391E-2</v>
      </c>
      <c r="AL51">
        <v>1.1558242704828491E-2</v>
      </c>
      <c r="AM51">
        <v>3.3717482237119109E-2</v>
      </c>
      <c r="AN51">
        <v>1.5335656859226108E-2</v>
      </c>
      <c r="AO51">
        <v>1.567912245136718E-2</v>
      </c>
      <c r="AP51">
        <v>3.6355104520039386E-2</v>
      </c>
      <c r="AQ51">
        <v>2.2919338525833135E-2</v>
      </c>
      <c r="AR51">
        <v>2.3400308556869816E-2</v>
      </c>
      <c r="AS51">
        <v>1.6224146295340466E-2</v>
      </c>
      <c r="AU51" t="s">
        <v>833</v>
      </c>
      <c r="AV51" t="s">
        <v>102</v>
      </c>
      <c r="AW51">
        <v>0.12436509619978874</v>
      </c>
      <c r="AX51">
        <v>0.12816931674507867</v>
      </c>
      <c r="AY51">
        <v>0.10796331760927277</v>
      </c>
      <c r="AZ51">
        <v>0.10472084823140754</v>
      </c>
      <c r="BA51">
        <v>9.6557016294944981E-2</v>
      </c>
      <c r="BB51">
        <v>7.2702133556836121E-2</v>
      </c>
      <c r="BC51">
        <v>0.23078726307054748</v>
      </c>
      <c r="BD51">
        <v>0.17399304634049653</v>
      </c>
      <c r="BE51">
        <v>0.16044990124481848</v>
      </c>
      <c r="BF51">
        <v>0.11720531801569173</v>
      </c>
      <c r="BG51">
        <v>0.12096977739130704</v>
      </c>
      <c r="BH51">
        <v>9.9401932956923775E-2</v>
      </c>
      <c r="BR51" t="s">
        <v>833</v>
      </c>
      <c r="BS51">
        <v>0.48691811720479167</v>
      </c>
      <c r="BT51">
        <v>0.48764151124252864</v>
      </c>
      <c r="BU51">
        <v>0.52209104417040408</v>
      </c>
      <c r="BV51">
        <v>0.53037829933870262</v>
      </c>
      <c r="BW51">
        <v>0.54226955713221181</v>
      </c>
      <c r="BX51">
        <v>0.59071453041197697</v>
      </c>
      <c r="BY51">
        <v>0.35693357351860439</v>
      </c>
      <c r="BZ51">
        <v>0.35317508531521408</v>
      </c>
      <c r="CA51">
        <v>0.44657994508905541</v>
      </c>
      <c r="CB51">
        <v>0.489944933928534</v>
      </c>
      <c r="CC51">
        <v>0.49351731233969365</v>
      </c>
      <c r="CD51">
        <v>0.55866857885439702</v>
      </c>
      <c r="CF51" t="s">
        <v>834</v>
      </c>
      <c r="CG51" t="s">
        <v>108</v>
      </c>
      <c r="CH51" t="s">
        <v>109</v>
      </c>
      <c r="CI51">
        <v>0.23857400550066338</v>
      </c>
    </row>
    <row r="52" spans="2:87" x14ac:dyDescent="0.45">
      <c r="B52" t="s">
        <v>835</v>
      </c>
      <c r="C52" t="s">
        <v>99</v>
      </c>
      <c r="D52">
        <v>0.30130940907186426</v>
      </c>
      <c r="E52">
        <v>0.33054974338668602</v>
      </c>
      <c r="F52">
        <v>0.31547301122546945</v>
      </c>
      <c r="G52">
        <v>0.32661092459485364</v>
      </c>
      <c r="H52">
        <v>0.31245353946694088</v>
      </c>
      <c r="I52">
        <v>0.32630846167174637</v>
      </c>
      <c r="J52">
        <v>0.33589041828467908</v>
      </c>
      <c r="K52">
        <v>0.32837762913647578</v>
      </c>
      <c r="L52">
        <v>0.33036633291606826</v>
      </c>
      <c r="M52">
        <v>0.34408779010745622</v>
      </c>
      <c r="N52">
        <v>0.3253728025430872</v>
      </c>
      <c r="O52">
        <v>0.34625795308110024</v>
      </c>
      <c r="Q52" t="s">
        <v>835</v>
      </c>
      <c r="R52" t="s">
        <v>100</v>
      </c>
      <c r="S52">
        <v>8.8869148337848824E-3</v>
      </c>
      <c r="T52">
        <v>1.5567101861055095E-2</v>
      </c>
      <c r="U52">
        <v>1.3622573591061768E-2</v>
      </c>
      <c r="V52">
        <v>2.4899389624445413E-2</v>
      </c>
      <c r="W52">
        <v>2.3977107691413254E-2</v>
      </c>
      <c r="X52">
        <v>3.2941430697310842E-2</v>
      </c>
      <c r="Y52">
        <v>1.6018757024512924E-2</v>
      </c>
      <c r="Z52">
        <v>3.2409799098680345E-2</v>
      </c>
      <c r="AA52">
        <v>1.5000202860464022E-2</v>
      </c>
      <c r="AB52">
        <v>2.3892925661989743E-2</v>
      </c>
      <c r="AC52">
        <v>1.2371937017849062E-2</v>
      </c>
      <c r="AD52">
        <v>1.3433748972445729E-2</v>
      </c>
      <c r="AF52" t="s">
        <v>835</v>
      </c>
      <c r="AG52" t="s">
        <v>101</v>
      </c>
      <c r="AH52">
        <v>1.9623449438527316E-2</v>
      </c>
      <c r="AI52">
        <v>1.7833996070055338E-2</v>
      </c>
      <c r="AJ52">
        <v>2.1409858270734702E-2</v>
      </c>
      <c r="AK52">
        <v>4.1070059946105755E-2</v>
      </c>
      <c r="AL52">
        <v>2.1503352535875167E-2</v>
      </c>
      <c r="AM52">
        <v>4.0839694118036077E-2</v>
      </c>
      <c r="AN52">
        <v>2.5970863600350721E-2</v>
      </c>
      <c r="AO52">
        <v>1.9806736297363726E-2</v>
      </c>
      <c r="AP52">
        <v>3.3906963911296745E-2</v>
      </c>
      <c r="AQ52">
        <v>1.6581203579454449E-2</v>
      </c>
      <c r="AR52">
        <v>2.4402925451812111E-2</v>
      </c>
      <c r="AS52">
        <v>2.3854839544873122E-2</v>
      </c>
      <c r="AU52" t="s">
        <v>835</v>
      </c>
      <c r="AV52" t="s">
        <v>102</v>
      </c>
      <c r="AW52">
        <v>0.13573908156813141</v>
      </c>
      <c r="AX52">
        <v>0.15601979273701205</v>
      </c>
      <c r="AY52">
        <v>0.13621521746734491</v>
      </c>
      <c r="AZ52">
        <v>0.13414658144385713</v>
      </c>
      <c r="BA52">
        <v>0.14057327896668578</v>
      </c>
      <c r="BB52">
        <v>0.12312510224885942</v>
      </c>
      <c r="BC52">
        <v>0.17162685569634073</v>
      </c>
      <c r="BD52">
        <v>0.14992204364784584</v>
      </c>
      <c r="BE52">
        <v>0.14258863737060304</v>
      </c>
      <c r="BF52">
        <v>0.16563397214741948</v>
      </c>
      <c r="BG52">
        <v>0.15646516646033728</v>
      </c>
      <c r="BH52">
        <v>0.17221743105319409</v>
      </c>
      <c r="BR52" t="s">
        <v>835</v>
      </c>
      <c r="BS52">
        <v>0.47988471050443954</v>
      </c>
      <c r="BT52">
        <v>0.46128385507600056</v>
      </c>
      <c r="BU52">
        <v>0.47294754725852162</v>
      </c>
      <c r="BV52">
        <v>0.37598066900878535</v>
      </c>
      <c r="BW52">
        <v>0.37539780948676399</v>
      </c>
      <c r="BX52">
        <v>0.36079526955257701</v>
      </c>
      <c r="BY52">
        <v>0.26266711216270694</v>
      </c>
      <c r="BZ52">
        <v>0.29817701585077722</v>
      </c>
      <c r="CA52">
        <v>0.31082820013192497</v>
      </c>
      <c r="CB52">
        <v>0.3724431488119096</v>
      </c>
      <c r="CC52">
        <v>0.39355174237957941</v>
      </c>
      <c r="CD52">
        <v>0.3773648693647606</v>
      </c>
      <c r="CF52" t="s">
        <v>836</v>
      </c>
      <c r="CG52" t="s">
        <v>108</v>
      </c>
      <c r="CH52" t="s">
        <v>109</v>
      </c>
      <c r="CI52">
        <v>0.13323082077840809</v>
      </c>
    </row>
    <row r="53" spans="2:87" x14ac:dyDescent="0.45">
      <c r="B53" t="s">
        <v>837</v>
      </c>
      <c r="C53" t="s">
        <v>99</v>
      </c>
      <c r="D53">
        <v>0.25275228211372641</v>
      </c>
      <c r="E53">
        <v>0.26658398579375792</v>
      </c>
      <c r="F53">
        <v>0.22710532208096329</v>
      </c>
      <c r="G53">
        <v>0.24090453173880813</v>
      </c>
      <c r="H53">
        <v>0.22937867693880157</v>
      </c>
      <c r="I53">
        <v>0.22249532162434843</v>
      </c>
      <c r="J53">
        <v>0.30023773448337043</v>
      </c>
      <c r="K53">
        <v>0.26587891687236131</v>
      </c>
      <c r="L53">
        <v>0.28272694250198704</v>
      </c>
      <c r="M53">
        <v>0.25000387653597317</v>
      </c>
      <c r="N53">
        <v>0.24589467564822998</v>
      </c>
      <c r="O53">
        <v>0.25102458872073574</v>
      </c>
      <c r="Q53" t="s">
        <v>837</v>
      </c>
      <c r="R53" t="s">
        <v>100</v>
      </c>
      <c r="S53">
        <v>1.1356172318340572E-2</v>
      </c>
      <c r="T53">
        <v>1.9072976733669405E-2</v>
      </c>
      <c r="U53">
        <v>7.1340797939154436E-3</v>
      </c>
      <c r="V53">
        <v>8.4189772820553593E-3</v>
      </c>
      <c r="W53">
        <v>1.4366734111434638E-2</v>
      </c>
      <c r="X53">
        <v>1.6311540516799689E-2</v>
      </c>
      <c r="Y53">
        <v>3.7808459368894481E-3</v>
      </c>
      <c r="Z53">
        <v>1.4454289135426807E-2</v>
      </c>
      <c r="AA53">
        <v>3.5945630820872544E-3</v>
      </c>
      <c r="AB53">
        <v>1.0286148776645746E-2</v>
      </c>
      <c r="AC53">
        <v>6.4548646738805159E-3</v>
      </c>
      <c r="AD53">
        <v>7.4294386442001741E-3</v>
      </c>
      <c r="AF53" t="s">
        <v>837</v>
      </c>
      <c r="AG53" t="s">
        <v>101</v>
      </c>
      <c r="AH53">
        <v>1.8593871949133513E-2</v>
      </c>
      <c r="AI53">
        <v>1.4273738356099901E-2</v>
      </c>
      <c r="AJ53">
        <v>2.1921398895453418E-2</v>
      </c>
      <c r="AK53">
        <v>1.6706379253839082E-2</v>
      </c>
      <c r="AL53">
        <v>1.1303519850154984E-2</v>
      </c>
      <c r="AM53">
        <v>2.5214344323173946E-2</v>
      </c>
      <c r="AN53">
        <v>5.806249242666572E-3</v>
      </c>
      <c r="AO53">
        <v>1.0604249256500761E-2</v>
      </c>
      <c r="AP53">
        <v>1.7161770139826674E-2</v>
      </c>
      <c r="AQ53">
        <v>1.5092871859204394E-2</v>
      </c>
      <c r="AR53">
        <v>1.1700611977445893E-2</v>
      </c>
      <c r="AS53">
        <v>1.3974758338082887E-2</v>
      </c>
      <c r="AU53" t="s">
        <v>837</v>
      </c>
      <c r="AV53" t="s">
        <v>102</v>
      </c>
      <c r="AW53">
        <v>9.9532956551387122E-2</v>
      </c>
      <c r="AX53">
        <v>0.10463318726309496</v>
      </c>
      <c r="AY53">
        <v>8.58809224320327E-2</v>
      </c>
      <c r="AZ53">
        <v>0.10942970687094866</v>
      </c>
      <c r="BA53">
        <v>0.10278142121268047</v>
      </c>
      <c r="BB53">
        <v>7.6291301501135014E-2</v>
      </c>
      <c r="BC53">
        <v>0.14819567845280679</v>
      </c>
      <c r="BD53">
        <v>0.10461587556381209</v>
      </c>
      <c r="BE53">
        <v>0.11819362384785381</v>
      </c>
      <c r="BF53">
        <v>0.10615591466381759</v>
      </c>
      <c r="BG53">
        <v>0.10891457982401385</v>
      </c>
      <c r="BH53">
        <v>0.11181786842373358</v>
      </c>
      <c r="BR53" t="s">
        <v>837</v>
      </c>
      <c r="BS53">
        <v>0.57732263701573505</v>
      </c>
      <c r="BT53">
        <v>0.569906478624708</v>
      </c>
      <c r="BU53">
        <v>0.60819751597169647</v>
      </c>
      <c r="BV53">
        <v>0.54464657036757724</v>
      </c>
      <c r="BW53">
        <v>0.54142900471264477</v>
      </c>
      <c r="BX53">
        <v>0.57535553496932634</v>
      </c>
      <c r="BY53">
        <v>0.48742920268187329</v>
      </c>
      <c r="BZ53">
        <v>0.52875651483012931</v>
      </c>
      <c r="CA53">
        <v>0.53811823382698254</v>
      </c>
      <c r="CB53">
        <v>0.56768944315086489</v>
      </c>
      <c r="CC53">
        <v>0.57120733296903381</v>
      </c>
      <c r="CD53">
        <v>0.56813337801008967</v>
      </c>
      <c r="CF53" t="s">
        <v>838</v>
      </c>
      <c r="CG53" t="s">
        <v>108</v>
      </c>
      <c r="CH53" t="s">
        <v>109</v>
      </c>
      <c r="CI53">
        <v>0.17739911988055035</v>
      </c>
    </row>
    <row r="54" spans="2:87" x14ac:dyDescent="0.45">
      <c r="B54" t="s">
        <v>839</v>
      </c>
      <c r="C54" t="s">
        <v>99</v>
      </c>
      <c r="D54">
        <v>0.3407388327286856</v>
      </c>
      <c r="E54">
        <v>0.3500000392613245</v>
      </c>
      <c r="F54">
        <v>0.34435190261350351</v>
      </c>
      <c r="G54">
        <v>0.31907448882875095</v>
      </c>
      <c r="H54">
        <v>0.30696150402901573</v>
      </c>
      <c r="I54">
        <v>0.34028683269647075</v>
      </c>
      <c r="J54">
        <v>0.39944614773349268</v>
      </c>
      <c r="K54">
        <v>0.3912945334540277</v>
      </c>
      <c r="L54">
        <v>0.3757113399907141</v>
      </c>
      <c r="M54">
        <v>0.37326133079261042</v>
      </c>
      <c r="N54">
        <v>0.35184156047875037</v>
      </c>
      <c r="O54">
        <v>0.37504038673333046</v>
      </c>
      <c r="Q54" t="s">
        <v>839</v>
      </c>
      <c r="R54" t="s">
        <v>100</v>
      </c>
      <c r="S54">
        <v>1.4158057201023668E-2</v>
      </c>
      <c r="T54">
        <v>2.0862077391534346E-2</v>
      </c>
      <c r="U54">
        <v>2.7140751089098039E-2</v>
      </c>
      <c r="V54">
        <v>2.6734303612781795E-2</v>
      </c>
      <c r="W54">
        <v>3.3826068355503343E-2</v>
      </c>
      <c r="X54">
        <v>3.3492269708580109E-2</v>
      </c>
      <c r="Y54">
        <v>3.7189028253392202E-2</v>
      </c>
      <c r="Z54">
        <v>4.1253468507364638E-2</v>
      </c>
      <c r="AA54">
        <v>2.6255850944329018E-2</v>
      </c>
      <c r="AB54">
        <v>3.4993978965087158E-2</v>
      </c>
      <c r="AC54">
        <v>2.5514282218805549E-2</v>
      </c>
      <c r="AD54">
        <v>1.861635919407616E-2</v>
      </c>
      <c r="AF54" t="s">
        <v>839</v>
      </c>
      <c r="AG54" t="s">
        <v>101</v>
      </c>
      <c r="AH54">
        <v>3.2403926117875001E-2</v>
      </c>
      <c r="AI54">
        <v>1.6002407569238448E-2</v>
      </c>
      <c r="AJ54">
        <v>2.4472539417973976E-2</v>
      </c>
      <c r="AK54">
        <v>4.3617310245184372E-2</v>
      </c>
      <c r="AL54">
        <v>1.9467255437599112E-2</v>
      </c>
      <c r="AM54">
        <v>5.9466497837472175E-2</v>
      </c>
      <c r="AN54">
        <v>3.7022610897000645E-2</v>
      </c>
      <c r="AO54">
        <v>3.8454923653810015E-2</v>
      </c>
      <c r="AP54">
        <v>5.8088751174865193E-2</v>
      </c>
      <c r="AQ54">
        <v>2.2085102866001027E-2</v>
      </c>
      <c r="AR54">
        <v>3.073482473544617E-2</v>
      </c>
      <c r="AS54">
        <v>4.2049394650192425E-2</v>
      </c>
      <c r="AU54" t="s">
        <v>839</v>
      </c>
      <c r="AV54" t="s">
        <v>102</v>
      </c>
      <c r="AW54">
        <v>0.15331279199083561</v>
      </c>
      <c r="AX54">
        <v>0.16846887133348432</v>
      </c>
      <c r="AY54">
        <v>0.15318345725771496</v>
      </c>
      <c r="AZ54">
        <v>0.13702047329796294</v>
      </c>
      <c r="BA54">
        <v>0.14658826145945375</v>
      </c>
      <c r="BB54">
        <v>0.12137104554601134</v>
      </c>
      <c r="BC54">
        <v>0.1977642848590199</v>
      </c>
      <c r="BD54">
        <v>0.18172459956984893</v>
      </c>
      <c r="BE54">
        <v>0.17461202956454869</v>
      </c>
      <c r="BF54">
        <v>0.18700484520181751</v>
      </c>
      <c r="BG54">
        <v>0.17578679698679459</v>
      </c>
      <c r="BH54">
        <v>0.18305621360954674</v>
      </c>
      <c r="BR54" t="s">
        <v>839</v>
      </c>
      <c r="BS54">
        <v>0.42132500567794595</v>
      </c>
      <c r="BT54">
        <v>0.39131008590551686</v>
      </c>
      <c r="BU54">
        <v>0.41301756720747923</v>
      </c>
      <c r="BV54">
        <v>0.3097328333904546</v>
      </c>
      <c r="BW54">
        <v>0.31700213306208508</v>
      </c>
      <c r="BX54">
        <v>0.30765317589861396</v>
      </c>
      <c r="BY54">
        <v>0.17610583726586942</v>
      </c>
      <c r="BZ54">
        <v>0.20986133267799295</v>
      </c>
      <c r="CA54">
        <v>0.20182939986900983</v>
      </c>
      <c r="CB54">
        <v>0.27990114498258839</v>
      </c>
      <c r="CC54">
        <v>0.30173880787593438</v>
      </c>
      <c r="CD54">
        <v>0.29222073554905437</v>
      </c>
      <c r="CF54" t="s">
        <v>840</v>
      </c>
      <c r="CG54" t="s">
        <v>108</v>
      </c>
      <c r="CH54" t="s">
        <v>109</v>
      </c>
      <c r="CI54">
        <v>0.29293243094779758</v>
      </c>
    </row>
    <row r="55" spans="2:87" x14ac:dyDescent="0.45">
      <c r="B55" t="s">
        <v>841</v>
      </c>
      <c r="C55" t="s">
        <v>99</v>
      </c>
      <c r="D55">
        <v>0.32089069470255832</v>
      </c>
      <c r="E55">
        <v>0.34761254563985872</v>
      </c>
      <c r="F55">
        <v>0.30380738617906344</v>
      </c>
      <c r="G55">
        <v>0.3241822393347516</v>
      </c>
      <c r="H55">
        <v>0.33414555172253435</v>
      </c>
      <c r="I55">
        <v>0.32696996289576202</v>
      </c>
      <c r="J55">
        <v>0.3442581948157763</v>
      </c>
      <c r="K55">
        <v>0.35707416911132994</v>
      </c>
      <c r="L55">
        <v>0.28385480953191516</v>
      </c>
      <c r="M55">
        <v>0.33569611908172953</v>
      </c>
      <c r="N55">
        <v>0.35456196629112796</v>
      </c>
      <c r="O55">
        <v>0.34857156336340167</v>
      </c>
      <c r="Q55" t="s">
        <v>841</v>
      </c>
      <c r="R55" t="s">
        <v>100</v>
      </c>
      <c r="S55">
        <v>2.1026381106749759E-2</v>
      </c>
      <c r="T55">
        <v>2.6358357101510677E-2</v>
      </c>
      <c r="U55">
        <v>4.0617723900617402E-2</v>
      </c>
      <c r="V55">
        <v>4.7892509108340711E-2</v>
      </c>
      <c r="W55">
        <v>2.467728441961892E-2</v>
      </c>
      <c r="X55">
        <v>2.7678635224918792E-2</v>
      </c>
      <c r="Y55">
        <v>3.0777260620212656E-2</v>
      </c>
      <c r="Z55">
        <v>7.2900126015961894E-2</v>
      </c>
      <c r="AA55">
        <v>4.8591730959255605E-2</v>
      </c>
      <c r="AB55">
        <v>2.9970915758073279E-2</v>
      </c>
      <c r="AC55">
        <v>2.3478738325288139E-2</v>
      </c>
      <c r="AD55">
        <v>2.3234746959073221E-2</v>
      </c>
      <c r="AF55" t="s">
        <v>841</v>
      </c>
      <c r="AG55" t="s">
        <v>101</v>
      </c>
      <c r="AH55">
        <v>4.6161141608808895E-2</v>
      </c>
      <c r="AI55">
        <v>2.4600644944354228E-2</v>
      </c>
      <c r="AJ55">
        <v>2.4113105024519105E-2</v>
      </c>
      <c r="AK55">
        <v>3.6138510807785025E-2</v>
      </c>
      <c r="AL55">
        <v>4.0314152873099238E-2</v>
      </c>
      <c r="AM55">
        <v>1.7356645602897982E-2</v>
      </c>
      <c r="AN55">
        <v>5.0232785295575282E-2</v>
      </c>
      <c r="AO55">
        <v>3.4842430795534243E-2</v>
      </c>
      <c r="AP55">
        <v>5.3005727012676841E-2</v>
      </c>
      <c r="AQ55">
        <v>3.5390428893806822E-2</v>
      </c>
      <c r="AR55">
        <v>2.8447260515464617E-2</v>
      </c>
      <c r="AS55">
        <v>3.7318952393964586E-2</v>
      </c>
      <c r="AU55" t="s">
        <v>841</v>
      </c>
      <c r="AV55" t="s">
        <v>102</v>
      </c>
      <c r="AW55">
        <v>0.12202672788961098</v>
      </c>
      <c r="AX55">
        <v>0.16090026223621756</v>
      </c>
      <c r="AY55">
        <v>0.12031943424925333</v>
      </c>
      <c r="AZ55">
        <v>0.11720431277027553</v>
      </c>
      <c r="BA55">
        <v>0.14369111955447089</v>
      </c>
      <c r="BB55">
        <v>0.16522111466581782</v>
      </c>
      <c r="BC55">
        <v>0.17001510060872896</v>
      </c>
      <c r="BD55">
        <v>0.14266745167420658</v>
      </c>
      <c r="BE55">
        <v>8.1879042656099549E-2</v>
      </c>
      <c r="BF55">
        <v>0.14772722194772572</v>
      </c>
      <c r="BG55">
        <v>0.17524789020997689</v>
      </c>
      <c r="BH55">
        <v>0.16290155906685991</v>
      </c>
      <c r="BR55" t="s">
        <v>841</v>
      </c>
      <c r="BS55">
        <v>0.44768536110699997</v>
      </c>
      <c r="BT55">
        <v>0.4049345545598439</v>
      </c>
      <c r="BU55">
        <v>0.43071734317999394</v>
      </c>
      <c r="BV55">
        <v>0.35851254866053256</v>
      </c>
      <c r="BW55">
        <v>0.36235839594528318</v>
      </c>
      <c r="BX55">
        <v>0.34810269279327494</v>
      </c>
      <c r="BY55">
        <v>0.15684612169292689</v>
      </c>
      <c r="BZ55">
        <v>0.18111303786320168</v>
      </c>
      <c r="CA55">
        <v>0.20500192994715752</v>
      </c>
      <c r="CB55">
        <v>0.34360079864262233</v>
      </c>
      <c r="CC55">
        <v>0.33199945660195851</v>
      </c>
      <c r="CD55">
        <v>0.36111234836546247</v>
      </c>
      <c r="CF55" t="s">
        <v>842</v>
      </c>
      <c r="CG55" t="s">
        <v>108</v>
      </c>
      <c r="CH55" t="s">
        <v>109</v>
      </c>
      <c r="CI55">
        <v>0.17884166904494359</v>
      </c>
    </row>
    <row r="56" spans="2:87" x14ac:dyDescent="0.45">
      <c r="B56" t="s">
        <v>806</v>
      </c>
      <c r="C56" t="s">
        <v>99</v>
      </c>
      <c r="D56">
        <v>0.36814193253813776</v>
      </c>
      <c r="E56">
        <v>0.37389354553762533</v>
      </c>
      <c r="F56">
        <v>0.32614552626826954</v>
      </c>
      <c r="G56">
        <v>0.34634503886297652</v>
      </c>
      <c r="H56">
        <v>0.34140616304041277</v>
      </c>
      <c r="I56">
        <v>0.31964545932106059</v>
      </c>
      <c r="J56">
        <v>0.3683418051640136</v>
      </c>
      <c r="K56">
        <v>0.3721214589387139</v>
      </c>
      <c r="L56">
        <v>0.38960786356390781</v>
      </c>
      <c r="M56">
        <v>0.35861257042081901</v>
      </c>
      <c r="N56">
        <v>0.36593655539069103</v>
      </c>
      <c r="O56">
        <v>0.35940236578476098</v>
      </c>
      <c r="Q56" t="s">
        <v>806</v>
      </c>
      <c r="R56" t="s">
        <v>100</v>
      </c>
      <c r="S56">
        <v>6.0443025908373284E-3</v>
      </c>
      <c r="T56">
        <v>2.3863634654574157E-2</v>
      </c>
      <c r="U56">
        <v>1.2048885546257472E-2</v>
      </c>
      <c r="V56">
        <v>1.4310317645763191E-2</v>
      </c>
      <c r="W56">
        <v>5.414460111997272E-2</v>
      </c>
      <c r="X56">
        <v>1.3648937852638841E-2</v>
      </c>
      <c r="Y56">
        <v>1.0815164592534713E-2</v>
      </c>
      <c r="Z56">
        <v>1.8577385806101604E-2</v>
      </c>
      <c r="AA56">
        <v>5.158561584159076E-3</v>
      </c>
      <c r="AB56">
        <v>1.4627969810564873E-2</v>
      </c>
      <c r="AC56">
        <v>2.4174536143828716E-2</v>
      </c>
      <c r="AD56">
        <v>2.2110045479478296E-2</v>
      </c>
      <c r="AF56" t="s">
        <v>806</v>
      </c>
      <c r="AG56" t="s">
        <v>101</v>
      </c>
      <c r="AH56">
        <v>1.9527903211700698E-2</v>
      </c>
      <c r="AI56">
        <v>1.2452453899579028E-2</v>
      </c>
      <c r="AJ56">
        <v>4.7344447648474501E-2</v>
      </c>
      <c r="AK56">
        <v>1.4031839268929869E-2</v>
      </c>
      <c r="AL56">
        <v>4.2917745749421823E-2</v>
      </c>
      <c r="AM56">
        <v>6.4281909674453006E-2</v>
      </c>
      <c r="AN56">
        <v>1.7805709886757025E-2</v>
      </c>
      <c r="AO56">
        <v>2.1906263662191137E-2</v>
      </c>
      <c r="AP56">
        <v>2.5609745855341523E-2</v>
      </c>
      <c r="AQ56">
        <v>3.6676936774383738E-2</v>
      </c>
      <c r="AR56">
        <v>1.4849595032353991E-2</v>
      </c>
      <c r="AS56">
        <v>3.3985282642515401E-2</v>
      </c>
      <c r="AU56" t="s">
        <v>806</v>
      </c>
      <c r="AV56" t="s">
        <v>102</v>
      </c>
      <c r="AW56">
        <v>0.21727380301842075</v>
      </c>
      <c r="AX56">
        <v>0.19684315063120705</v>
      </c>
      <c r="AY56">
        <v>0.14889472617628607</v>
      </c>
      <c r="AZ56">
        <v>0.18398139811750533</v>
      </c>
      <c r="BA56">
        <v>0.11465679088484146</v>
      </c>
      <c r="BB56">
        <v>0.11138714509705049</v>
      </c>
      <c r="BC56">
        <v>0.2112202422557676</v>
      </c>
      <c r="BD56">
        <v>0.21766317199688717</v>
      </c>
      <c r="BE56">
        <v>0.23639138323721945</v>
      </c>
      <c r="BF56">
        <v>0.18408244452285782</v>
      </c>
      <c r="BG56">
        <v>0.2113642981242298</v>
      </c>
      <c r="BH56">
        <v>0.16707276308777744</v>
      </c>
      <c r="BR56" t="s">
        <v>806</v>
      </c>
      <c r="BS56">
        <v>0.23189279130527932</v>
      </c>
      <c r="BT56">
        <v>0.23838161990548329</v>
      </c>
      <c r="BU56">
        <v>0.23297850029811354</v>
      </c>
      <c r="BV56">
        <v>0.17628010188499924</v>
      </c>
      <c r="BW56">
        <v>0.218667981491623</v>
      </c>
      <c r="BX56">
        <v>0.22493612615593883</v>
      </c>
      <c r="BY56">
        <v>9.8361899673258812E-2</v>
      </c>
      <c r="BZ56">
        <v>0.12712159148042454</v>
      </c>
      <c r="CA56">
        <v>0.11816561316948582</v>
      </c>
      <c r="CB56">
        <v>0.10492617557666213</v>
      </c>
      <c r="CC56">
        <v>0.12160903585529341</v>
      </c>
      <c r="CD56">
        <v>0.12855513212585598</v>
      </c>
      <c r="CF56" t="s">
        <v>843</v>
      </c>
      <c r="CG56" t="s">
        <v>108</v>
      </c>
      <c r="CH56" t="s">
        <v>109</v>
      </c>
      <c r="CI56">
        <v>0.37688925107495014</v>
      </c>
    </row>
    <row r="57" spans="2:87" x14ac:dyDescent="0.45">
      <c r="B57" t="s">
        <v>808</v>
      </c>
      <c r="C57" t="s">
        <v>99</v>
      </c>
      <c r="D57">
        <v>0.36647844030974963</v>
      </c>
      <c r="E57">
        <v>0.40781766650849122</v>
      </c>
      <c r="F57">
        <v>0.37412889754674628</v>
      </c>
      <c r="G57">
        <v>0.34599656685252395</v>
      </c>
      <c r="H57">
        <v>0.4376111875769807</v>
      </c>
      <c r="I57">
        <v>0.30816764830288418</v>
      </c>
      <c r="J57">
        <v>0.26236730608517023</v>
      </c>
      <c r="K57">
        <v>0.36613504669992242</v>
      </c>
      <c r="L57">
        <v>0.17607806120818456</v>
      </c>
      <c r="M57">
        <v>0.35095567108717768</v>
      </c>
      <c r="N57">
        <v>0.41522482571710823</v>
      </c>
      <c r="O57">
        <v>0.26671235677485738</v>
      </c>
      <c r="Q57" t="s">
        <v>808</v>
      </c>
      <c r="R57" t="s">
        <v>100</v>
      </c>
      <c r="S57">
        <v>1.4588435673951218E-2</v>
      </c>
      <c r="T57">
        <v>5.201433538750571E-2</v>
      </c>
      <c r="U57">
        <v>2.5064498681942389E-2</v>
      </c>
      <c r="V57">
        <v>2.531314900525445E-2</v>
      </c>
      <c r="W57">
        <v>6.5589262287445396E-2</v>
      </c>
      <c r="X57">
        <v>1.3103148492147753E-2</v>
      </c>
      <c r="Y57">
        <v>4.0975300310222167E-2</v>
      </c>
      <c r="Z57">
        <v>0.10288787878820332</v>
      </c>
      <c r="AA57">
        <v>3.8557800582531422E-2</v>
      </c>
      <c r="AB57">
        <v>3.0635731746993928E-2</v>
      </c>
      <c r="AC57">
        <v>4.361189534378241E-2</v>
      </c>
      <c r="AD57">
        <v>4.9622121130709511E-2</v>
      </c>
      <c r="AF57" t="s">
        <v>808</v>
      </c>
      <c r="AG57" t="s">
        <v>101</v>
      </c>
      <c r="AH57">
        <v>4.3345592493586632E-2</v>
      </c>
      <c r="AI57">
        <v>5.5779398062276137E-2</v>
      </c>
      <c r="AJ57">
        <v>5.6920956719893737E-2</v>
      </c>
      <c r="AK57">
        <v>2.1788256323135437E-2</v>
      </c>
      <c r="AL57">
        <v>2.759043505647826E-2</v>
      </c>
      <c r="AM57">
        <v>4.1537789769548888E-2</v>
      </c>
      <c r="AN57">
        <v>3.6296295347899937E-2</v>
      </c>
      <c r="AO57">
        <v>6.3624226893353633E-2</v>
      </c>
      <c r="AP57">
        <v>3.0610565449242979E-2</v>
      </c>
      <c r="AQ57">
        <v>5.5169592637873154E-2</v>
      </c>
      <c r="AR57">
        <v>7.3483273514687655E-2</v>
      </c>
      <c r="AS57">
        <v>4.5442079268496445E-3</v>
      </c>
      <c r="AU57" t="s">
        <v>808</v>
      </c>
      <c r="AV57" t="s">
        <v>102</v>
      </c>
      <c r="AW57">
        <v>0.18567460139775452</v>
      </c>
      <c r="AX57">
        <v>0.17086834660273978</v>
      </c>
      <c r="AY57">
        <v>0.18240682034110889</v>
      </c>
      <c r="AZ57">
        <v>0.18356256900851112</v>
      </c>
      <c r="BA57">
        <v>0.21129683279507136</v>
      </c>
      <c r="BB57">
        <v>0.15629628706003418</v>
      </c>
      <c r="BC57">
        <v>9.8049326768423525E-2</v>
      </c>
      <c r="BD57">
        <v>9.0623207136480227E-2</v>
      </c>
      <c r="BE57">
        <v>4.0390624319769107E-2</v>
      </c>
      <c r="BF57">
        <v>0.15436999680030586</v>
      </c>
      <c r="BG57">
        <v>0.1831940923583171</v>
      </c>
      <c r="BH57">
        <v>0.12742383784795841</v>
      </c>
      <c r="BR57" t="s">
        <v>808</v>
      </c>
      <c r="BS57">
        <v>0.25909143435005844</v>
      </c>
      <c r="BT57">
        <v>0.20981075223022802</v>
      </c>
      <c r="BU57">
        <v>0.22927337487416935</v>
      </c>
      <c r="BV57">
        <v>0.2080023538862221</v>
      </c>
      <c r="BW57">
        <v>0.21438158615354105</v>
      </c>
      <c r="BX57">
        <v>0.27467791405827435</v>
      </c>
      <c r="BY57">
        <v>0.11707162005538986</v>
      </c>
      <c r="BZ57">
        <v>8.3292438245563274E-2</v>
      </c>
      <c r="CA57">
        <v>0.19202555490550605</v>
      </c>
      <c r="CB57">
        <v>0.16225333872841288</v>
      </c>
      <c r="CC57">
        <v>0.1383275551348066</v>
      </c>
      <c r="CD57">
        <v>0.18543996892411341</v>
      </c>
      <c r="CF57" t="s">
        <v>844</v>
      </c>
      <c r="CG57" t="s">
        <v>108</v>
      </c>
      <c r="CH57" t="s">
        <v>109</v>
      </c>
      <c r="CI57">
        <v>0.30893320787923773</v>
      </c>
    </row>
    <row r="58" spans="2:87" x14ac:dyDescent="0.45">
      <c r="B58" t="s">
        <v>810</v>
      </c>
      <c r="C58" t="s">
        <v>99</v>
      </c>
      <c r="D58">
        <v>0.39263044241388734</v>
      </c>
      <c r="E58">
        <v>0.45623527051104951</v>
      </c>
      <c r="F58">
        <v>0.41364913251376867</v>
      </c>
      <c r="G58">
        <v>0.35164378860520196</v>
      </c>
      <c r="H58">
        <v>0.42876374578450871</v>
      </c>
      <c r="I58">
        <v>0.34309207603857966</v>
      </c>
      <c r="J58">
        <v>0.25232324226493652</v>
      </c>
      <c r="K58">
        <v>0.38510871064895708</v>
      </c>
      <c r="L58">
        <v>0.2529774272261891</v>
      </c>
      <c r="M58">
        <v>0.35031905313287287</v>
      </c>
      <c r="N58">
        <v>0.45775432163423885</v>
      </c>
      <c r="O58">
        <v>0.2997734201124137</v>
      </c>
      <c r="Q58" t="s">
        <v>810</v>
      </c>
      <c r="R58" t="s">
        <v>100</v>
      </c>
      <c r="S58">
        <v>1.4003017872674281E-2</v>
      </c>
      <c r="T58">
        <v>3.147100895345873E-2</v>
      </c>
      <c r="U58">
        <v>2.5622937392958949E-2</v>
      </c>
      <c r="V58">
        <v>2.6299014099459107E-2</v>
      </c>
      <c r="W58">
        <v>4.4998584662229321E-2</v>
      </c>
      <c r="X58">
        <v>2.1081488813954476E-2</v>
      </c>
      <c r="Y58">
        <v>5.7155321157818559E-2</v>
      </c>
      <c r="Z58">
        <v>0.12683425354619335</v>
      </c>
      <c r="AA58">
        <v>5.5179667429421986E-2</v>
      </c>
      <c r="AB58">
        <v>1.9328604103763181E-2</v>
      </c>
      <c r="AC58">
        <v>2.6144708701137585E-2</v>
      </c>
      <c r="AD58">
        <v>3.5709501105441549E-2</v>
      </c>
      <c r="AF58" t="s">
        <v>810</v>
      </c>
      <c r="AG58" t="s">
        <v>101</v>
      </c>
      <c r="AH58">
        <v>3.1394637668340455E-2</v>
      </c>
      <c r="AI58">
        <v>5.2707852448349593E-2</v>
      </c>
      <c r="AJ58">
        <v>4.5119338892415449E-2</v>
      </c>
      <c r="AK58">
        <v>4.8804572538205519E-2</v>
      </c>
      <c r="AL58">
        <v>2.4876351231328662E-2</v>
      </c>
      <c r="AM58">
        <v>3.2209346159394407E-2</v>
      </c>
      <c r="AN58">
        <v>4.978502771093711E-2</v>
      </c>
      <c r="AO58">
        <v>4.3343217512503293E-2</v>
      </c>
      <c r="AP58">
        <v>6.7322684205933389E-2</v>
      </c>
      <c r="AQ58">
        <v>4.7940584763872161E-2</v>
      </c>
      <c r="AR58">
        <v>6.1304310883111141E-3</v>
      </c>
      <c r="AS58">
        <v>7.3372500073916108E-3</v>
      </c>
      <c r="AU58" t="s">
        <v>810</v>
      </c>
      <c r="AV58" t="s">
        <v>102</v>
      </c>
      <c r="AW58">
        <v>0.21905946383259711</v>
      </c>
      <c r="AX58">
        <v>0.23481497948923796</v>
      </c>
      <c r="AY58">
        <v>0.22439361440704994</v>
      </c>
      <c r="AZ58">
        <v>0.15539485924006435</v>
      </c>
      <c r="BA58">
        <v>0.23502729247334342</v>
      </c>
      <c r="BB58">
        <v>0.17349687542519068</v>
      </c>
      <c r="BC58">
        <v>5.8989335165804679E-2</v>
      </c>
      <c r="BD58">
        <v>0.11016414268518471</v>
      </c>
      <c r="BE58">
        <v>3.2814240779901277E-2</v>
      </c>
      <c r="BF58">
        <v>0.17227041166954143</v>
      </c>
      <c r="BG58">
        <v>0.308603307117855</v>
      </c>
      <c r="BH58">
        <v>0.14846336168506194</v>
      </c>
      <c r="BR58" t="s">
        <v>810</v>
      </c>
      <c r="BS58">
        <v>0.23325614157775457</v>
      </c>
      <c r="BT58">
        <v>0.19634636629820199</v>
      </c>
      <c r="BU58">
        <v>0.23058605888533568</v>
      </c>
      <c r="BV58">
        <v>0.19514954217402145</v>
      </c>
      <c r="BW58">
        <v>0.1948416257235849</v>
      </c>
      <c r="BX58">
        <v>0.23454417475170095</v>
      </c>
      <c r="BY58">
        <v>0.10422732847566271</v>
      </c>
      <c r="BZ58">
        <v>4.8520235928535133E-2</v>
      </c>
      <c r="CA58">
        <v>0.14081468007550263</v>
      </c>
      <c r="CB58">
        <v>0.1388819484549576</v>
      </c>
      <c r="CC58">
        <v>0.11522961932007034</v>
      </c>
      <c r="CD58">
        <v>0.15566853066628458</v>
      </c>
      <c r="CF58" t="s">
        <v>845</v>
      </c>
      <c r="CG58" t="s">
        <v>108</v>
      </c>
      <c r="CH58" t="s">
        <v>109</v>
      </c>
      <c r="CI58">
        <v>0.26170935099758769</v>
      </c>
    </row>
    <row r="59" spans="2:87" x14ac:dyDescent="0.45">
      <c r="B59" t="s">
        <v>812</v>
      </c>
      <c r="C59" t="s">
        <v>99</v>
      </c>
      <c r="D59">
        <v>0.48209900773879633</v>
      </c>
      <c r="E59">
        <v>0.49172311834635224</v>
      </c>
      <c r="F59">
        <v>0.45626665930943849</v>
      </c>
      <c r="G59">
        <v>0.39782738111990673</v>
      </c>
      <c r="H59">
        <v>0.44831027149692798</v>
      </c>
      <c r="I59">
        <v>0.35774224644019265</v>
      </c>
      <c r="J59">
        <v>0.26341521461680201</v>
      </c>
      <c r="K59">
        <v>0.3798436357064317</v>
      </c>
      <c r="L59">
        <v>0.22141844961766757</v>
      </c>
      <c r="M59">
        <v>0.3504349359001292</v>
      </c>
      <c r="N59">
        <v>0.4468372222304452</v>
      </c>
      <c r="O59">
        <v>0.32500882794104508</v>
      </c>
      <c r="Q59" t="s">
        <v>812</v>
      </c>
      <c r="R59" t="s">
        <v>100</v>
      </c>
      <c r="S59">
        <v>1.4543314983734118E-2</v>
      </c>
      <c r="T59">
        <v>4.1713136692412188E-2</v>
      </c>
      <c r="U59">
        <v>2.5072407280969877E-2</v>
      </c>
      <c r="V59">
        <v>2.1061899387913873E-2</v>
      </c>
      <c r="W59">
        <v>7.2939184985521932E-2</v>
      </c>
      <c r="X59">
        <v>1.6464183273723215E-2</v>
      </c>
      <c r="Y59">
        <v>7.5034261547072614E-2</v>
      </c>
      <c r="Z59">
        <v>0.1448914326626988</v>
      </c>
      <c r="AA59">
        <v>5.4491742059620159E-2</v>
      </c>
      <c r="AB59">
        <v>2.2325973268573537E-2</v>
      </c>
      <c r="AC59">
        <v>7.6480149627850824E-2</v>
      </c>
      <c r="AD59">
        <v>4.6508078953981402E-2</v>
      </c>
      <c r="AF59" t="s">
        <v>812</v>
      </c>
      <c r="AG59" t="s">
        <v>101</v>
      </c>
      <c r="AH59">
        <v>4.3041342863576866E-2</v>
      </c>
      <c r="AI59">
        <v>3.1662329003117926E-2</v>
      </c>
      <c r="AJ59">
        <v>7.4222847761056129E-2</v>
      </c>
      <c r="AK59">
        <v>3.2680069026673204E-2</v>
      </c>
      <c r="AL59">
        <v>3.7235283185382093E-2</v>
      </c>
      <c r="AM59">
        <v>6.9234637688228559E-2</v>
      </c>
      <c r="AN59">
        <v>2.8365543516463573E-2</v>
      </c>
      <c r="AO59">
        <v>4.4292423688233419E-2</v>
      </c>
      <c r="AP59">
        <v>4.2504095702267042E-2</v>
      </c>
      <c r="AQ59">
        <v>2.5305264580667751E-2</v>
      </c>
      <c r="AR59">
        <v>6.132004626109417E-2</v>
      </c>
      <c r="AS59">
        <v>3.0181555736749278E-2</v>
      </c>
      <c r="AU59" t="s">
        <v>812</v>
      </c>
      <c r="AV59" t="s">
        <v>102</v>
      </c>
      <c r="AW59">
        <v>0.30352611274670582</v>
      </c>
      <c r="AX59">
        <v>0.28633663532694636</v>
      </c>
      <c r="AY59">
        <v>0.24464021266483799</v>
      </c>
      <c r="AZ59">
        <v>0.22265335951930462</v>
      </c>
      <c r="BA59">
        <v>0.20896642306255062</v>
      </c>
      <c r="BB59">
        <v>0.16800525047696627</v>
      </c>
      <c r="BC59">
        <v>6.2735401640593838E-2</v>
      </c>
      <c r="BD59">
        <v>8.6208526838991356E-2</v>
      </c>
      <c r="BE59">
        <v>3.4265235694617563E-2</v>
      </c>
      <c r="BF59">
        <v>0.20351222091332988</v>
      </c>
      <c r="BG59">
        <v>0.20219219371242581</v>
      </c>
      <c r="BH59">
        <v>0.13781420474958442</v>
      </c>
      <c r="BR59" t="s">
        <v>812</v>
      </c>
      <c r="BS59">
        <v>0.16322779229119488</v>
      </c>
      <c r="BT59">
        <v>0.14743159852308124</v>
      </c>
      <c r="BU59">
        <v>0.15548458098845555</v>
      </c>
      <c r="BV59">
        <v>0.12632519011880025</v>
      </c>
      <c r="BW59">
        <v>0.14134486240750355</v>
      </c>
      <c r="BX59">
        <v>0.18262064778186612</v>
      </c>
      <c r="BY59">
        <v>6.5037238417128065E-2</v>
      </c>
      <c r="BZ59">
        <v>4.5407430162982279E-2</v>
      </c>
      <c r="CA59">
        <v>0.1170434877669696</v>
      </c>
      <c r="CB59">
        <v>7.280421365536878E-2</v>
      </c>
      <c r="CC59">
        <v>6.6830949740869283E-2</v>
      </c>
      <c r="CD59">
        <v>0.10436647990369269</v>
      </c>
      <c r="CF59" t="s">
        <v>846</v>
      </c>
      <c r="CG59" t="s">
        <v>108</v>
      </c>
      <c r="CH59" t="s">
        <v>109</v>
      </c>
      <c r="CI59">
        <v>0.22090363509345179</v>
      </c>
    </row>
    <row r="60" spans="2:87" x14ac:dyDescent="0.45">
      <c r="B60" t="s">
        <v>814</v>
      </c>
      <c r="C60" t="s">
        <v>99</v>
      </c>
      <c r="D60">
        <v>0.41300843416710009</v>
      </c>
      <c r="E60">
        <v>0.46911108927598016</v>
      </c>
      <c r="F60">
        <v>0.41673010940699645</v>
      </c>
      <c r="G60">
        <v>0.32561496300972853</v>
      </c>
      <c r="H60">
        <v>0.42043941499860271</v>
      </c>
      <c r="I60">
        <v>0.34287417583512403</v>
      </c>
      <c r="J60">
        <v>0.29957266910544605</v>
      </c>
      <c r="K60">
        <v>0.42416147715742364</v>
      </c>
      <c r="L60">
        <v>0.32814449458095807</v>
      </c>
      <c r="M60">
        <v>0.32275918045195662</v>
      </c>
      <c r="N60">
        <v>0.45821704364846461</v>
      </c>
      <c r="O60">
        <v>0.38155378270261264</v>
      </c>
      <c r="Q60" t="s">
        <v>814</v>
      </c>
      <c r="R60" t="s">
        <v>100</v>
      </c>
      <c r="S60">
        <v>1.65814342791742E-2</v>
      </c>
      <c r="T60">
        <v>1.8928576028212955E-2</v>
      </c>
      <c r="U60">
        <v>3.2479140405738308E-2</v>
      </c>
      <c r="V60">
        <v>2.3766877791531232E-2</v>
      </c>
      <c r="W60">
        <v>5.0457777468213998E-2</v>
      </c>
      <c r="X60">
        <v>3.0360324822358314E-2</v>
      </c>
      <c r="Y60">
        <v>0.11386332302331112</v>
      </c>
      <c r="Z60">
        <v>0.13919787246307869</v>
      </c>
      <c r="AA60">
        <v>0.10226373355620591</v>
      </c>
      <c r="AB60">
        <v>5.0662948595417354E-2</v>
      </c>
      <c r="AC60">
        <v>5.6537111099075117E-2</v>
      </c>
      <c r="AD60">
        <v>4.4152669742266178E-2</v>
      </c>
      <c r="AF60" t="s">
        <v>814</v>
      </c>
      <c r="AG60" t="s">
        <v>101</v>
      </c>
      <c r="AH60">
        <v>3.7869272932934371E-2</v>
      </c>
      <c r="AI60">
        <v>3.9205988050819263E-2</v>
      </c>
      <c r="AJ60">
        <v>3.0485595875638583E-2</v>
      </c>
      <c r="AK60">
        <v>3.545094348115805E-2</v>
      </c>
      <c r="AL60">
        <v>1.9261004875357021E-2</v>
      </c>
      <c r="AM60">
        <v>3.1039409976742455E-2</v>
      </c>
      <c r="AN60">
        <v>6.1773468488554389E-2</v>
      </c>
      <c r="AO60">
        <v>6.9685730654198794E-2</v>
      </c>
      <c r="AP60">
        <v>6.3091824132180022E-2</v>
      </c>
      <c r="AQ60">
        <v>3.9190605771274638E-2</v>
      </c>
      <c r="AR60">
        <v>5.87764497673521E-2</v>
      </c>
      <c r="AS60">
        <v>4.9027931306939221E-2</v>
      </c>
      <c r="AU60" t="s">
        <v>814</v>
      </c>
      <c r="AV60" t="s">
        <v>102</v>
      </c>
      <c r="AW60">
        <v>0.22052239647530919</v>
      </c>
      <c r="AX60">
        <v>0.25476510673841019</v>
      </c>
      <c r="AY60">
        <v>0.21764598340508876</v>
      </c>
      <c r="AZ60">
        <v>0.14912474430258171</v>
      </c>
      <c r="BA60">
        <v>0.21679801552238973</v>
      </c>
      <c r="BB60">
        <v>0.16381744170433957</v>
      </c>
      <c r="BC60">
        <v>1.6116186909078196E-2</v>
      </c>
      <c r="BD60">
        <v>0.10265019569244788</v>
      </c>
      <c r="BE60">
        <v>5.0427019305079562E-2</v>
      </c>
      <c r="BF60">
        <v>0.12673869944329949</v>
      </c>
      <c r="BG60">
        <v>0.22275186305309444</v>
      </c>
      <c r="BH60">
        <v>0.17392273517455625</v>
      </c>
      <c r="BR60" t="s">
        <v>814</v>
      </c>
      <c r="BS60">
        <v>0.26378316189474021</v>
      </c>
      <c r="BT60">
        <v>0.23499624879282918</v>
      </c>
      <c r="BU60">
        <v>0.26850244307531446</v>
      </c>
      <c r="BV60">
        <v>0.23697759535404056</v>
      </c>
      <c r="BW60">
        <v>0.23107593098966472</v>
      </c>
      <c r="BX60">
        <v>0.27062249608166616</v>
      </c>
      <c r="BY60">
        <v>0.16632046833890773</v>
      </c>
      <c r="BZ60">
        <v>6.39709821214417E-2</v>
      </c>
      <c r="CA60">
        <v>0.13515865325285176</v>
      </c>
      <c r="CB60">
        <v>0.15679054590807756</v>
      </c>
      <c r="CC60">
        <v>0.11459066689297037</v>
      </c>
      <c r="CD60">
        <v>0.16230259437503083</v>
      </c>
      <c r="CF60" t="s">
        <v>847</v>
      </c>
      <c r="CG60" t="s">
        <v>108</v>
      </c>
      <c r="CH60" t="s">
        <v>109</v>
      </c>
      <c r="CI60">
        <v>0.22834369633110146</v>
      </c>
    </row>
    <row r="61" spans="2:87" x14ac:dyDescent="0.45">
      <c r="B61" t="s">
        <v>816</v>
      </c>
      <c r="C61" t="s">
        <v>99</v>
      </c>
      <c r="D61">
        <v>0.47584246064090696</v>
      </c>
      <c r="E61">
        <v>0.51147866087221738</v>
      </c>
      <c r="F61">
        <v>0.4793206777285397</v>
      </c>
      <c r="G61">
        <v>0.40734702055563099</v>
      </c>
      <c r="H61">
        <v>0.45487134294092296</v>
      </c>
      <c r="I61">
        <v>0.41956694170936476</v>
      </c>
      <c r="J61">
        <v>0.42097497425952413</v>
      </c>
      <c r="K61">
        <v>0.44070800814312799</v>
      </c>
      <c r="L61">
        <v>0.36635198943879665</v>
      </c>
      <c r="M61">
        <v>0.39848040941982266</v>
      </c>
      <c r="N61">
        <v>0.45527328945442297</v>
      </c>
      <c r="O61">
        <v>0.4147227809312477</v>
      </c>
      <c r="Q61" t="s">
        <v>816</v>
      </c>
      <c r="R61" t="s">
        <v>100</v>
      </c>
      <c r="S61">
        <v>2.0807193907500143E-2</v>
      </c>
      <c r="T61">
        <v>2.6611033615635403E-2</v>
      </c>
      <c r="U61">
        <v>3.177987627536942E-2</v>
      </c>
      <c r="V61">
        <v>3.822361612892955E-2</v>
      </c>
      <c r="W61">
        <v>6.9635571884739622E-2</v>
      </c>
      <c r="X61">
        <v>2.8881721950306409E-2</v>
      </c>
      <c r="Y61">
        <v>0.1792403453575058</v>
      </c>
      <c r="Z61">
        <v>0.1345619274186087</v>
      </c>
      <c r="AA61">
        <v>4.6438184165560233E-2</v>
      </c>
      <c r="AB61">
        <v>9.4386009269216822E-2</v>
      </c>
      <c r="AC61">
        <v>4.9975453006067601E-2</v>
      </c>
      <c r="AD61">
        <v>6.0506718121785999E-2</v>
      </c>
      <c r="AF61" t="s">
        <v>816</v>
      </c>
      <c r="AG61" t="s">
        <v>101</v>
      </c>
      <c r="AH61">
        <v>3.3795745245320787E-2</v>
      </c>
      <c r="AI61">
        <v>6.0634908546571671E-2</v>
      </c>
      <c r="AJ61">
        <v>4.3704264361920618E-2</v>
      </c>
      <c r="AK61">
        <v>6.091285240335266E-2</v>
      </c>
      <c r="AL61">
        <v>3.2748321213719428E-2</v>
      </c>
      <c r="AM61">
        <v>8.1391895980473861E-2</v>
      </c>
      <c r="AN61">
        <v>8.782040288563861E-2</v>
      </c>
      <c r="AO61">
        <v>0.10046735394865476</v>
      </c>
      <c r="AP61">
        <v>0.13193925702448669</v>
      </c>
      <c r="AQ61">
        <v>6.6987376744433072E-2</v>
      </c>
      <c r="AR61">
        <v>3.8191566058101541E-2</v>
      </c>
      <c r="AS61">
        <v>6.6782639851909631E-2</v>
      </c>
      <c r="AU61" t="s">
        <v>816</v>
      </c>
      <c r="AV61" t="s">
        <v>102</v>
      </c>
      <c r="AW61">
        <v>0.29488865535111408</v>
      </c>
      <c r="AX61">
        <v>0.28891186455614776</v>
      </c>
      <c r="AY61">
        <v>0.28027946241947982</v>
      </c>
      <c r="AZ61">
        <v>0.17247282250305576</v>
      </c>
      <c r="BA61">
        <v>0.22044535442862118</v>
      </c>
      <c r="BB61">
        <v>0.18019261339873555</v>
      </c>
      <c r="BC61">
        <v>2.9845778802407231E-2</v>
      </c>
      <c r="BD61">
        <v>8.7788706709790346E-2</v>
      </c>
      <c r="BE61">
        <v>7.7377857952968782E-2</v>
      </c>
      <c r="BF61">
        <v>0.12059932348933863</v>
      </c>
      <c r="BG61">
        <v>0.25666864037736375</v>
      </c>
      <c r="BH61">
        <v>0.16573223773345677</v>
      </c>
      <c r="BR61" t="s">
        <v>816</v>
      </c>
      <c r="BS61">
        <v>0.14065777035035501</v>
      </c>
      <c r="BT61">
        <v>0.1321478248696219</v>
      </c>
      <c r="BU61">
        <v>0.15439591909042866</v>
      </c>
      <c r="BV61">
        <v>0.12229677336678856</v>
      </c>
      <c r="BW61">
        <v>0.14278088588880608</v>
      </c>
      <c r="BX61">
        <v>0.15656065446427625</v>
      </c>
      <c r="BY61">
        <v>9.2732401255306227E-2</v>
      </c>
      <c r="BZ61">
        <v>5.6777401340002163E-2</v>
      </c>
      <c r="CA61">
        <v>7.8000418078674999E-2</v>
      </c>
      <c r="CB61">
        <v>7.0133627944273913E-2</v>
      </c>
      <c r="CC61">
        <v>6.0285764955614149E-2</v>
      </c>
      <c r="CD61">
        <v>7.3217496659008161E-2</v>
      </c>
      <c r="CF61" t="s">
        <v>848</v>
      </c>
      <c r="CG61" t="s">
        <v>108</v>
      </c>
      <c r="CH61" t="s">
        <v>109</v>
      </c>
      <c r="CI61">
        <v>0.26715230516623578</v>
      </c>
    </row>
    <row r="62" spans="2:87" x14ac:dyDescent="0.45">
      <c r="B62" t="s">
        <v>818</v>
      </c>
      <c r="C62" t="s">
        <v>99</v>
      </c>
      <c r="D62">
        <v>0.44766986510725948</v>
      </c>
      <c r="E62">
        <v>0.48493688840177224</v>
      </c>
      <c r="F62">
        <v>0.44628349876353662</v>
      </c>
      <c r="G62">
        <v>0.37740415149178591</v>
      </c>
      <c r="H62">
        <v>0.42491706210028724</v>
      </c>
      <c r="I62">
        <v>0.37600896616662349</v>
      </c>
      <c r="J62">
        <v>0.28205305724683805</v>
      </c>
      <c r="K62">
        <v>0.39743070179193185</v>
      </c>
      <c r="L62">
        <v>0.2722819565526674</v>
      </c>
      <c r="M62">
        <v>0.36470019250386798</v>
      </c>
      <c r="N62">
        <v>0.47080363222334021</v>
      </c>
      <c r="O62">
        <v>0.33100576419150324</v>
      </c>
      <c r="Q62" t="s">
        <v>818</v>
      </c>
      <c r="R62" t="s">
        <v>100</v>
      </c>
      <c r="S62">
        <v>1.0206099445019788E-2</v>
      </c>
      <c r="T62">
        <v>2.3287359210647517E-2</v>
      </c>
      <c r="U62">
        <v>2.4372842131462666E-2</v>
      </c>
      <c r="V62">
        <v>1.9357985877367478E-2</v>
      </c>
      <c r="W62">
        <v>4.7967809096655226E-2</v>
      </c>
      <c r="X62">
        <v>2.5142440713815297E-2</v>
      </c>
      <c r="Y62">
        <v>6.7159801923257254E-2</v>
      </c>
      <c r="Z62">
        <v>0.11567306643762208</v>
      </c>
      <c r="AA62">
        <v>4.3204205657105366E-2</v>
      </c>
      <c r="AB62">
        <v>3.4548448167593081E-2</v>
      </c>
      <c r="AC62">
        <v>4.2511317402802541E-2</v>
      </c>
      <c r="AD62">
        <v>3.1015537786633556E-2</v>
      </c>
      <c r="AF62" t="s">
        <v>818</v>
      </c>
      <c r="AG62" t="s">
        <v>101</v>
      </c>
      <c r="AH62">
        <v>3.8450836651976635E-2</v>
      </c>
      <c r="AI62">
        <v>5.5901327481643601E-2</v>
      </c>
      <c r="AJ62">
        <v>3.7369108377035477E-2</v>
      </c>
      <c r="AK62">
        <v>4.1546702147835277E-2</v>
      </c>
      <c r="AL62">
        <v>2.0709249947663027E-2</v>
      </c>
      <c r="AM62">
        <v>6.1293760531173004E-2</v>
      </c>
      <c r="AN62">
        <v>7.622832541442387E-2</v>
      </c>
      <c r="AO62">
        <v>5.1008423294873352E-2</v>
      </c>
      <c r="AP62">
        <v>7.8373681321773705E-2</v>
      </c>
      <c r="AQ62">
        <v>5.0020492020577026E-2</v>
      </c>
      <c r="AR62">
        <v>5.8048947749157767E-2</v>
      </c>
      <c r="AS62">
        <v>1.448872050125297E-2</v>
      </c>
      <c r="AU62" t="s">
        <v>818</v>
      </c>
      <c r="AV62" t="s">
        <v>102</v>
      </c>
      <c r="AW62">
        <v>0.26806011128822183</v>
      </c>
      <c r="AX62">
        <v>0.25804912005756181</v>
      </c>
      <c r="AY62">
        <v>0.25369660776355957</v>
      </c>
      <c r="AZ62">
        <v>0.19240907287114617</v>
      </c>
      <c r="BA62">
        <v>0.22261655207335282</v>
      </c>
      <c r="BB62">
        <v>0.16929778979498619</v>
      </c>
      <c r="BC62">
        <v>4.6891995010959475E-2</v>
      </c>
      <c r="BD62">
        <v>0.12106506787851366</v>
      </c>
      <c r="BE62">
        <v>5.6903236297567834E-2</v>
      </c>
      <c r="BF62">
        <v>0.17399003803019325</v>
      </c>
      <c r="BG62">
        <v>0.25528285598350586</v>
      </c>
      <c r="BH62">
        <v>0.18711207854396331</v>
      </c>
      <c r="BR62" t="s">
        <v>818</v>
      </c>
      <c r="BS62">
        <v>0.22555453874293543</v>
      </c>
      <c r="BT62">
        <v>0.1985380121514492</v>
      </c>
      <c r="BU62">
        <v>0.22394019365413098</v>
      </c>
      <c r="BV62">
        <v>0.1859291848031549</v>
      </c>
      <c r="BW62">
        <v>0.19691669812942714</v>
      </c>
      <c r="BX62">
        <v>0.22583418654204024</v>
      </c>
      <c r="BY62">
        <v>9.3751968050367548E-2</v>
      </c>
      <c r="BZ62">
        <v>5.4635565442586902E-2</v>
      </c>
      <c r="CA62">
        <v>0.10442115871455927</v>
      </c>
      <c r="CB62">
        <v>0.12061293887812032</v>
      </c>
      <c r="CC62">
        <v>0.10402630271038901</v>
      </c>
      <c r="CD62">
        <v>0.13630841987821121</v>
      </c>
      <c r="CF62" t="s">
        <v>805</v>
      </c>
      <c r="CG62" t="s">
        <v>108</v>
      </c>
      <c r="CH62" t="s">
        <v>109</v>
      </c>
      <c r="CI62">
        <v>0.45464518690822164</v>
      </c>
    </row>
    <row r="63" spans="2:87" x14ac:dyDescent="0.45">
      <c r="B63" t="s">
        <v>820</v>
      </c>
      <c r="C63" t="s">
        <v>99</v>
      </c>
      <c r="D63">
        <v>0.34440332976204846</v>
      </c>
      <c r="E63">
        <v>0.35616473721574299</v>
      </c>
      <c r="F63">
        <v>0.31988247979867029</v>
      </c>
      <c r="G63">
        <v>0.30435311300415158</v>
      </c>
      <c r="H63">
        <v>0.29910736986931707</v>
      </c>
      <c r="I63">
        <v>0.27697081606086627</v>
      </c>
      <c r="J63">
        <v>0.39795576484836254</v>
      </c>
      <c r="K63">
        <v>0.37091163045098929</v>
      </c>
      <c r="L63">
        <v>0.32746568789027664</v>
      </c>
      <c r="M63">
        <v>0.32425608590511973</v>
      </c>
      <c r="N63">
        <v>0.31990081836774292</v>
      </c>
      <c r="O63">
        <v>0.28522475872949082</v>
      </c>
      <c r="Q63" t="s">
        <v>820</v>
      </c>
      <c r="R63" t="s">
        <v>100</v>
      </c>
      <c r="S63">
        <v>3.0082496260236638E-2</v>
      </c>
      <c r="T63">
        <v>3.1756007588815159E-2</v>
      </c>
      <c r="U63">
        <v>1.172017549141746E-2</v>
      </c>
      <c r="V63">
        <v>2.1753529222149171E-2</v>
      </c>
      <c r="W63">
        <v>3.1678604512147844E-2</v>
      </c>
      <c r="X63">
        <v>1.3440577108247946E-2</v>
      </c>
      <c r="Y63">
        <v>6.8557045799160282E-3</v>
      </c>
      <c r="Z63">
        <v>3.4355248795356556E-2</v>
      </c>
      <c r="AA63">
        <v>1.4278592336498282E-2</v>
      </c>
      <c r="AB63">
        <v>2.7820636758083269E-2</v>
      </c>
      <c r="AC63">
        <v>1.6986303086749113E-2</v>
      </c>
      <c r="AD63">
        <v>9.5913170141275449E-3</v>
      </c>
      <c r="AF63" t="s">
        <v>820</v>
      </c>
      <c r="AG63" t="s">
        <v>101</v>
      </c>
      <c r="AH63">
        <v>3.0034345980116485E-2</v>
      </c>
      <c r="AI63">
        <v>4.1290010680351104E-2</v>
      </c>
      <c r="AJ63">
        <v>3.3337309234284594E-2</v>
      </c>
      <c r="AK63">
        <v>1.9310010954405026E-2</v>
      </c>
      <c r="AL63">
        <v>2.6121290880983288E-2</v>
      </c>
      <c r="AM63">
        <v>4.1247393898051952E-2</v>
      </c>
      <c r="AN63">
        <v>1.1484786570930288E-2</v>
      </c>
      <c r="AO63">
        <v>3.9071534751975355E-2</v>
      </c>
      <c r="AP63">
        <v>1.9953250702983462E-2</v>
      </c>
      <c r="AQ63">
        <v>3.7906419132148289E-2</v>
      </c>
      <c r="AR63">
        <v>2.5382969416491617E-2</v>
      </c>
      <c r="AS63">
        <v>1.8153414972178743E-2</v>
      </c>
      <c r="AU63" t="s">
        <v>820</v>
      </c>
      <c r="AV63" t="s">
        <v>102</v>
      </c>
      <c r="AW63">
        <v>0.15298163306431128</v>
      </c>
      <c r="AX63">
        <v>0.13745850135250279</v>
      </c>
      <c r="AY63">
        <v>0.14246846481843134</v>
      </c>
      <c r="AZ63">
        <v>0.14054016541647571</v>
      </c>
      <c r="BA63">
        <v>0.12426709284083118</v>
      </c>
      <c r="BB63">
        <v>0.10500737459808851</v>
      </c>
      <c r="BC63">
        <v>0.24269090542743382</v>
      </c>
      <c r="BD63">
        <v>0.16947487505388378</v>
      </c>
      <c r="BE63">
        <v>0.178375760717952</v>
      </c>
      <c r="BF63">
        <v>0.12887094083759296</v>
      </c>
      <c r="BG63">
        <v>0.14871635925389112</v>
      </c>
      <c r="BH63">
        <v>0.14016765848836546</v>
      </c>
      <c r="BR63" t="s">
        <v>820</v>
      </c>
      <c r="BS63">
        <v>0.34814729981637904</v>
      </c>
      <c r="BT63">
        <v>0.36400485493690832</v>
      </c>
      <c r="BU63">
        <v>0.37251425472813093</v>
      </c>
      <c r="BV63">
        <v>0.34652335957942321</v>
      </c>
      <c r="BW63">
        <v>0.37264905786318425</v>
      </c>
      <c r="BX63">
        <v>0.41246747287936558</v>
      </c>
      <c r="BY63">
        <v>0.24109979385883964</v>
      </c>
      <c r="BZ63">
        <v>0.23996195513985286</v>
      </c>
      <c r="CA63">
        <v>0.31253353128361006</v>
      </c>
      <c r="CB63">
        <v>0.34958530988444581</v>
      </c>
      <c r="CC63">
        <v>0.36367944360446897</v>
      </c>
      <c r="CD63">
        <v>0.38573657544205492</v>
      </c>
      <c r="CF63" t="s">
        <v>807</v>
      </c>
      <c r="CG63" t="s">
        <v>108</v>
      </c>
      <c r="CH63" t="s">
        <v>109</v>
      </c>
      <c r="CI63">
        <v>0.41186944240017476</v>
      </c>
    </row>
    <row r="64" spans="2:87" x14ac:dyDescent="0.45">
      <c r="B64" t="s">
        <v>822</v>
      </c>
      <c r="C64" t="s">
        <v>99</v>
      </c>
      <c r="D64">
        <v>0.41429755364518561</v>
      </c>
      <c r="E64">
        <v>0.42652425544908257</v>
      </c>
      <c r="F64">
        <v>0.43852000036629052</v>
      </c>
      <c r="G64">
        <v>0.38993142442186007</v>
      </c>
      <c r="H64">
        <v>0.39992260895314391</v>
      </c>
      <c r="I64">
        <v>0.34889679363872694</v>
      </c>
      <c r="J64">
        <v>0.29883543819937725</v>
      </c>
      <c r="K64">
        <v>0.31692338294606032</v>
      </c>
      <c r="L64">
        <v>0.22136218760196572</v>
      </c>
      <c r="M64">
        <v>0.43349852583366966</v>
      </c>
      <c r="N64">
        <v>0.41559625825545821</v>
      </c>
      <c r="O64">
        <v>0.35473998445983851</v>
      </c>
      <c r="Q64" t="s">
        <v>822</v>
      </c>
      <c r="R64" t="s">
        <v>100</v>
      </c>
      <c r="S64">
        <v>4.3593085623724076E-2</v>
      </c>
      <c r="T64">
        <v>4.9025493037865367E-2</v>
      </c>
      <c r="U64">
        <v>3.1274928631777166E-2</v>
      </c>
      <c r="V64">
        <v>3.6980185256261164E-2</v>
      </c>
      <c r="W64">
        <v>2.7059030667850252E-2</v>
      </c>
      <c r="X64">
        <v>2.5697889844299274E-2</v>
      </c>
      <c r="Y64">
        <v>2.5675640732475045E-2</v>
      </c>
      <c r="Z64">
        <v>0.10125338818270835</v>
      </c>
      <c r="AA64">
        <v>2.3246915451543691E-2</v>
      </c>
      <c r="AB64">
        <v>2.6709246162556079E-2</v>
      </c>
      <c r="AC64">
        <v>5.0935058344169254E-2</v>
      </c>
      <c r="AD64">
        <v>2.5366911458882511E-2</v>
      </c>
      <c r="AF64" t="s">
        <v>822</v>
      </c>
      <c r="AG64" t="s">
        <v>101</v>
      </c>
      <c r="AH64">
        <v>4.5651741237768613E-2</v>
      </c>
      <c r="AI64">
        <v>5.4935019339403181E-2</v>
      </c>
      <c r="AJ64">
        <v>9.5560210635649956E-2</v>
      </c>
      <c r="AK64">
        <v>3.7166343225492615E-2</v>
      </c>
      <c r="AL64">
        <v>4.5357581348272204E-2</v>
      </c>
      <c r="AM64">
        <v>3.7987637392442451E-2</v>
      </c>
      <c r="AN64">
        <v>3.17214951371982E-2</v>
      </c>
      <c r="AO64">
        <v>4.8393326468942753E-2</v>
      </c>
      <c r="AP64">
        <v>7.5993314603071613E-2</v>
      </c>
      <c r="AQ64">
        <v>8.2570353549131781E-2</v>
      </c>
      <c r="AR64">
        <v>1.9097513064830967E-2</v>
      </c>
      <c r="AS64">
        <v>3.857084037615395E-2</v>
      </c>
      <c r="AU64" t="s">
        <v>822</v>
      </c>
      <c r="AV64" t="s">
        <v>102</v>
      </c>
      <c r="AW64">
        <v>0.19679930411852709</v>
      </c>
      <c r="AX64">
        <v>0.19435190515678019</v>
      </c>
      <c r="AY64">
        <v>0.18175512717827072</v>
      </c>
      <c r="AZ64">
        <v>0.20297121070547836</v>
      </c>
      <c r="BA64">
        <v>0.20438400404511575</v>
      </c>
      <c r="BB64">
        <v>0.18650592346496372</v>
      </c>
      <c r="BC64">
        <v>0.16529480028177457</v>
      </c>
      <c r="BD64">
        <v>7.0556648466215108E-2</v>
      </c>
      <c r="BE64">
        <v>4.4007899561675182E-2</v>
      </c>
      <c r="BF64">
        <v>0.20131990605266756</v>
      </c>
      <c r="BG64">
        <v>0.22463521016221816</v>
      </c>
      <c r="BH64">
        <v>0.1857153650202234</v>
      </c>
      <c r="BR64" t="s">
        <v>822</v>
      </c>
      <c r="BS64">
        <v>0.16189161068558389</v>
      </c>
      <c r="BT64">
        <v>0.16210805719912338</v>
      </c>
      <c r="BU64">
        <v>0.16552261875214325</v>
      </c>
      <c r="BV64">
        <v>0.10661302846045696</v>
      </c>
      <c r="BW64">
        <v>0.14712700894563269</v>
      </c>
      <c r="BX64">
        <v>0.12841239444795408</v>
      </c>
      <c r="BY64">
        <v>3.3254100076263213E-2</v>
      </c>
      <c r="BZ64">
        <v>5.085011973063383E-2</v>
      </c>
      <c r="CA64">
        <v>6.2104698987190753E-2</v>
      </c>
      <c r="CB64">
        <v>9.8462124383862482E-2</v>
      </c>
      <c r="CC64">
        <v>0.12661581932055407</v>
      </c>
      <c r="CD64">
        <v>0.11201651595938492</v>
      </c>
      <c r="CF64" t="s">
        <v>809</v>
      </c>
      <c r="CG64" t="s">
        <v>108</v>
      </c>
      <c r="CH64" t="s">
        <v>109</v>
      </c>
      <c r="CI64">
        <v>0.42236881325943443</v>
      </c>
    </row>
    <row r="65" spans="2:87" x14ac:dyDescent="0.45">
      <c r="B65" t="s">
        <v>824</v>
      </c>
      <c r="C65" t="s">
        <v>99</v>
      </c>
      <c r="D65">
        <v>0.34848621414887315</v>
      </c>
      <c r="E65">
        <v>0.38309171485322635</v>
      </c>
      <c r="F65">
        <v>0.37017122797963459</v>
      </c>
      <c r="G65">
        <v>0.40531978213581488</v>
      </c>
      <c r="H65">
        <v>0.38854275629329021</v>
      </c>
      <c r="I65">
        <v>0.37615818618153041</v>
      </c>
      <c r="J65">
        <v>0.3100453530456323</v>
      </c>
      <c r="K65">
        <v>0.3810504862084152</v>
      </c>
      <c r="L65">
        <v>0.26492319839974166</v>
      </c>
      <c r="M65">
        <v>0.41125017139776987</v>
      </c>
      <c r="N65">
        <v>0.39007732269250078</v>
      </c>
      <c r="O65">
        <v>0.37799381634156054</v>
      </c>
      <c r="Q65" t="s">
        <v>824</v>
      </c>
      <c r="R65" t="s">
        <v>100</v>
      </c>
      <c r="S65">
        <v>3.9620707030156729E-2</v>
      </c>
      <c r="T65">
        <v>2.5630483258138815E-2</v>
      </c>
      <c r="U65">
        <v>3.070105075040851E-2</v>
      </c>
      <c r="V65">
        <v>3.6027802885887715E-2</v>
      </c>
      <c r="W65">
        <v>2.2097115697924531E-2</v>
      </c>
      <c r="X65">
        <v>2.0578241204643497E-2</v>
      </c>
      <c r="Y65">
        <v>6.5411112988429845E-2</v>
      </c>
      <c r="Z65">
        <v>8.7156494897015019E-2</v>
      </c>
      <c r="AA65">
        <v>8.2292907990209233E-2</v>
      </c>
      <c r="AB65">
        <v>3.8763405311791718E-2</v>
      </c>
      <c r="AC65">
        <v>5.4323332661939561E-2</v>
      </c>
      <c r="AD65">
        <v>1.6189708667315495E-2</v>
      </c>
      <c r="AF65" t="s">
        <v>824</v>
      </c>
      <c r="AG65" t="s">
        <v>101</v>
      </c>
      <c r="AH65">
        <v>4.851775522159444E-2</v>
      </c>
      <c r="AI65">
        <v>3.4941512129022863E-2</v>
      </c>
      <c r="AJ65">
        <v>4.4254271708291291E-2</v>
      </c>
      <c r="AK65">
        <v>3.3438769650672481E-2</v>
      </c>
      <c r="AL65">
        <v>4.4842525950333549E-2</v>
      </c>
      <c r="AM65">
        <v>1.7334078528571269E-2</v>
      </c>
      <c r="AN65">
        <v>7.899334490470318E-2</v>
      </c>
      <c r="AO65">
        <v>6.813642531162524E-2</v>
      </c>
      <c r="AP65">
        <v>4.3935785729264334E-2</v>
      </c>
      <c r="AQ65">
        <v>6.5973552933816029E-2</v>
      </c>
      <c r="AR65">
        <v>3.7016501672790081E-2</v>
      </c>
      <c r="AS65">
        <v>7.9477364473631365E-2</v>
      </c>
      <c r="AU65" t="s">
        <v>824</v>
      </c>
      <c r="AV65" t="s">
        <v>102</v>
      </c>
      <c r="AW65">
        <v>0.14541176713557707</v>
      </c>
      <c r="AX65">
        <v>0.19276348740487337</v>
      </c>
      <c r="AY65">
        <v>0.17842859390989133</v>
      </c>
      <c r="AZ65">
        <v>0.20942417090980706</v>
      </c>
      <c r="BA65">
        <v>0.19157681840306179</v>
      </c>
      <c r="BB65">
        <v>0.22232760648035296</v>
      </c>
      <c r="BC65">
        <v>9.3083901581783909E-2</v>
      </c>
      <c r="BD65">
        <v>0.12067054578465558</v>
      </c>
      <c r="BE65">
        <v>5.9686905818393456E-2</v>
      </c>
      <c r="BF65">
        <v>0.17308646129566355</v>
      </c>
      <c r="BG65">
        <v>0.16863777719214457</v>
      </c>
      <c r="BH65">
        <v>0.17352755408938342</v>
      </c>
      <c r="BR65" t="s">
        <v>824</v>
      </c>
      <c r="BS65">
        <v>0.2398373349367692</v>
      </c>
      <c r="BT65">
        <v>0.24603169791697244</v>
      </c>
      <c r="BU65">
        <v>0.23042272149057577</v>
      </c>
      <c r="BV65">
        <v>0.15969886103214054</v>
      </c>
      <c r="BW65">
        <v>0.22313206847300315</v>
      </c>
      <c r="BX65">
        <v>0.1771942974751459</v>
      </c>
      <c r="BY65">
        <v>4.0392670485163998E-2</v>
      </c>
      <c r="BZ65">
        <v>6.240364730274077E-2</v>
      </c>
      <c r="CA65">
        <v>7.4073656662887441E-2</v>
      </c>
      <c r="CB65">
        <v>0.15175345975851626</v>
      </c>
      <c r="CC65">
        <v>0.18041595952325717</v>
      </c>
      <c r="CD65">
        <v>0.15252761684618946</v>
      </c>
      <c r="CF65" t="s">
        <v>811</v>
      </c>
      <c r="CG65" t="s">
        <v>108</v>
      </c>
      <c r="CH65" t="s">
        <v>109</v>
      </c>
      <c r="CI65">
        <v>0.45038236498586909</v>
      </c>
    </row>
    <row r="66" spans="2:87" x14ac:dyDescent="0.45">
      <c r="B66" t="s">
        <v>826</v>
      </c>
      <c r="C66" t="s">
        <v>99</v>
      </c>
      <c r="D66">
        <v>0.34656985034912463</v>
      </c>
      <c r="E66">
        <v>0.37498168286598249</v>
      </c>
      <c r="F66">
        <v>0.36707606369913037</v>
      </c>
      <c r="G66">
        <v>0.37843073734492944</v>
      </c>
      <c r="H66">
        <v>0.36771015704048332</v>
      </c>
      <c r="I66">
        <v>0.37071900515834433</v>
      </c>
      <c r="J66">
        <v>0.39145178359582927</v>
      </c>
      <c r="K66">
        <v>0.36237770887725085</v>
      </c>
      <c r="L66">
        <v>0.31672507075910888</v>
      </c>
      <c r="M66">
        <v>0.38759962224837757</v>
      </c>
      <c r="N66">
        <v>0.36287604311213217</v>
      </c>
      <c r="O66">
        <v>0.38708017571449732</v>
      </c>
      <c r="Q66" t="s">
        <v>826</v>
      </c>
      <c r="R66" t="s">
        <v>100</v>
      </c>
      <c r="S66">
        <v>3.5936129910712829E-2</v>
      </c>
      <c r="T66">
        <v>3.0691940733978705E-2</v>
      </c>
      <c r="U66">
        <v>3.3769486904126934E-2</v>
      </c>
      <c r="V66">
        <v>5.7420969932039913E-2</v>
      </c>
      <c r="W66">
        <v>1.6645743961820159E-2</v>
      </c>
      <c r="X66">
        <v>2.5611818718715148E-2</v>
      </c>
      <c r="Y66">
        <v>3.9237992588097639E-2</v>
      </c>
      <c r="Z66">
        <v>5.5827280647829838E-2</v>
      </c>
      <c r="AA66">
        <v>4.379945286059414E-2</v>
      </c>
      <c r="AB66">
        <v>4.8463770309469564E-2</v>
      </c>
      <c r="AC66">
        <v>2.911317159210931E-2</v>
      </c>
      <c r="AD66">
        <v>1.0388921723706866E-2</v>
      </c>
      <c r="AF66" t="s">
        <v>826</v>
      </c>
      <c r="AG66" t="s">
        <v>101</v>
      </c>
      <c r="AH66">
        <v>4.8544666251869449E-2</v>
      </c>
      <c r="AI66">
        <v>4.6552335747693373E-2</v>
      </c>
      <c r="AJ66">
        <v>3.9513723103386793E-2</v>
      </c>
      <c r="AK66">
        <v>4.2934243559553435E-2</v>
      </c>
      <c r="AL66">
        <v>4.4557706055615119E-2</v>
      </c>
      <c r="AM66">
        <v>1.9046968697745265E-2</v>
      </c>
      <c r="AN66">
        <v>3.237693149334972E-2</v>
      </c>
      <c r="AO66">
        <v>3.2393566840870913E-2</v>
      </c>
      <c r="AP66">
        <v>6.0330104643890985E-2</v>
      </c>
      <c r="AQ66">
        <v>3.5571694097756665E-2</v>
      </c>
      <c r="AR66">
        <v>5.7051464610441541E-2</v>
      </c>
      <c r="AS66">
        <v>3.1282313304960861E-2</v>
      </c>
      <c r="AU66" t="s">
        <v>826</v>
      </c>
      <c r="AV66" t="s">
        <v>102</v>
      </c>
      <c r="AW66">
        <v>0.13411040927263737</v>
      </c>
      <c r="AX66">
        <v>0.15951103367458005</v>
      </c>
      <c r="AY66">
        <v>0.16963662421684783</v>
      </c>
      <c r="AZ66">
        <v>0.14478993136732859</v>
      </c>
      <c r="BA66">
        <v>0.17283463441058614</v>
      </c>
      <c r="BB66">
        <v>0.20591664489160014</v>
      </c>
      <c r="BC66">
        <v>0.23482117834786281</v>
      </c>
      <c r="BD66">
        <v>0.16428387606638903</v>
      </c>
      <c r="BE66">
        <v>0.12461170002465774</v>
      </c>
      <c r="BF66">
        <v>0.16690809216603233</v>
      </c>
      <c r="BG66">
        <v>0.1556468711819049</v>
      </c>
      <c r="BH66">
        <v>0.23165805802424452</v>
      </c>
      <c r="BR66" t="s">
        <v>826</v>
      </c>
      <c r="BS66">
        <v>0.28029655735334069</v>
      </c>
      <c r="BT66">
        <v>0.27558910766058969</v>
      </c>
      <c r="BU66">
        <v>0.25739642291963072</v>
      </c>
      <c r="BV66">
        <v>0.20049318287877133</v>
      </c>
      <c r="BW66">
        <v>0.25211177420149783</v>
      </c>
      <c r="BX66">
        <v>0.20726617703449968</v>
      </c>
      <c r="BY66">
        <v>5.7599518270655056E-2</v>
      </c>
      <c r="BZ66">
        <v>9.4421441834046285E-2</v>
      </c>
      <c r="CA66">
        <v>8.0775167413540142E-2</v>
      </c>
      <c r="CB66">
        <v>0.19972493181059139</v>
      </c>
      <c r="CC66">
        <v>0.21169427298907023</v>
      </c>
      <c r="CD66">
        <v>0.20218143531089353</v>
      </c>
      <c r="CF66" t="s">
        <v>813</v>
      </c>
      <c r="CG66" t="s">
        <v>108</v>
      </c>
      <c r="CH66" t="s">
        <v>109</v>
      </c>
      <c r="CI66">
        <v>0.56522587793742907</v>
      </c>
    </row>
    <row r="67" spans="2:87" x14ac:dyDescent="0.45">
      <c r="B67" t="s">
        <v>828</v>
      </c>
      <c r="C67" t="s">
        <v>99</v>
      </c>
      <c r="D67">
        <v>0.43307832216435943</v>
      </c>
      <c r="E67">
        <v>0.47311852399548582</v>
      </c>
      <c r="F67">
        <v>0.4460403723575479</v>
      </c>
      <c r="G67">
        <v>0.34966808655552023</v>
      </c>
      <c r="H67">
        <v>0.42124248628141953</v>
      </c>
      <c r="I67">
        <v>0.36304059011758205</v>
      </c>
      <c r="J67">
        <v>0.36861645013326538</v>
      </c>
      <c r="K67">
        <v>0.39095573301847403</v>
      </c>
      <c r="L67">
        <v>0.30165380263448482</v>
      </c>
      <c r="M67">
        <v>0.3681756336963859</v>
      </c>
      <c r="N67">
        <v>0.44140178335062974</v>
      </c>
      <c r="O67">
        <v>0.39025308065373576</v>
      </c>
      <c r="Q67" t="s">
        <v>828</v>
      </c>
      <c r="R67" t="s">
        <v>100</v>
      </c>
      <c r="S67">
        <v>3.9244830114887469E-2</v>
      </c>
      <c r="T67">
        <v>6.0267211541711503E-2</v>
      </c>
      <c r="U67">
        <v>4.1913187016892409E-2</v>
      </c>
      <c r="V67">
        <v>3.179194405959649E-2</v>
      </c>
      <c r="W67">
        <v>3.8392354514367462E-2</v>
      </c>
      <c r="X67">
        <v>3.4037879608246134E-2</v>
      </c>
      <c r="Y67">
        <v>0.10265123868485679</v>
      </c>
      <c r="Z67">
        <v>0.11090119261433438</v>
      </c>
      <c r="AA67">
        <v>8.1280090705687452E-2</v>
      </c>
      <c r="AB67">
        <v>1.5812617641356608E-2</v>
      </c>
      <c r="AC67">
        <v>2.9255282932157584E-2</v>
      </c>
      <c r="AD67">
        <v>4.7820704486720676E-2</v>
      </c>
      <c r="AF67" t="s">
        <v>828</v>
      </c>
      <c r="AG67" t="s">
        <v>101</v>
      </c>
      <c r="AH67">
        <v>6.4932659264699058E-2</v>
      </c>
      <c r="AI67">
        <v>5.5825310455126911E-2</v>
      </c>
      <c r="AJ67">
        <v>6.224659475189763E-2</v>
      </c>
      <c r="AK67">
        <v>3.8174678939201283E-2</v>
      </c>
      <c r="AL67">
        <v>5.3816584679651898E-2</v>
      </c>
      <c r="AM67">
        <v>3.3348433653913309E-2</v>
      </c>
      <c r="AN67">
        <v>9.5819520108185036E-2</v>
      </c>
      <c r="AO67">
        <v>5.5416487750350553E-2</v>
      </c>
      <c r="AP67">
        <v>6.1639556883774448E-2</v>
      </c>
      <c r="AQ67">
        <v>3.9784579528370313E-2</v>
      </c>
      <c r="AR67">
        <v>4.3366001902439728E-2</v>
      </c>
      <c r="AS67">
        <v>1.0145377496882086E-2</v>
      </c>
      <c r="AU67" t="s">
        <v>828</v>
      </c>
      <c r="AV67" t="s">
        <v>102</v>
      </c>
      <c r="AW67">
        <v>0.19756392769945091</v>
      </c>
      <c r="AX67">
        <v>0.23348900271194126</v>
      </c>
      <c r="AY67">
        <v>0.21344792742219662</v>
      </c>
      <c r="AZ67">
        <v>0.16138315888184812</v>
      </c>
      <c r="BA67">
        <v>0.1972400395385786</v>
      </c>
      <c r="BB67">
        <v>0.17008895080198572</v>
      </c>
      <c r="BC67">
        <v>5.1671689904838003E-2</v>
      </c>
      <c r="BD67">
        <v>0.11094787605117447</v>
      </c>
      <c r="BE67">
        <v>5.5518601818273242E-2</v>
      </c>
      <c r="BF67">
        <v>0.1967902119549268</v>
      </c>
      <c r="BG67">
        <v>0.24296203886107559</v>
      </c>
      <c r="BH67">
        <v>0.21705438462884252</v>
      </c>
      <c r="BR67" t="s">
        <v>828</v>
      </c>
      <c r="BS67">
        <v>0.16163532218633839</v>
      </c>
      <c r="BT67">
        <v>0.14716657613470027</v>
      </c>
      <c r="BU67">
        <v>0.16872060985438461</v>
      </c>
      <c r="BV67">
        <v>0.14898061065214407</v>
      </c>
      <c r="BW67">
        <v>0.1683535251812992</v>
      </c>
      <c r="BX67">
        <v>0.17676535581361055</v>
      </c>
      <c r="BY67">
        <v>0.10697054388468832</v>
      </c>
      <c r="BZ67">
        <v>4.9471602643695309E-2</v>
      </c>
      <c r="CA67">
        <v>0.10119357109798277</v>
      </c>
      <c r="CB67">
        <v>0.13253064021517258</v>
      </c>
      <c r="CC67">
        <v>0.1102006001658995</v>
      </c>
      <c r="CD67">
        <v>0.13787798127218132</v>
      </c>
      <c r="CF67" t="s">
        <v>815</v>
      </c>
      <c r="CG67" t="s">
        <v>108</v>
      </c>
      <c r="CH67" t="s">
        <v>109</v>
      </c>
      <c r="CI67">
        <v>0.30341496320824513</v>
      </c>
    </row>
    <row r="68" spans="2:87" x14ac:dyDescent="0.45">
      <c r="B68" t="s">
        <v>830</v>
      </c>
      <c r="C68" t="s">
        <v>99</v>
      </c>
      <c r="D68">
        <v>0.41788957981431624</v>
      </c>
      <c r="E68">
        <v>0.44772292428247729</v>
      </c>
      <c r="F68">
        <v>0.42157959960482888</v>
      </c>
      <c r="G68">
        <v>0.31675103089944384</v>
      </c>
      <c r="H68">
        <v>0.41742078804069266</v>
      </c>
      <c r="I68">
        <v>0.32508566752513973</v>
      </c>
      <c r="J68">
        <v>0.27226617879104531</v>
      </c>
      <c r="K68">
        <v>0.40555877540160146</v>
      </c>
      <c r="L68">
        <v>0.29227374930048422</v>
      </c>
      <c r="M68">
        <v>0.32080535311281877</v>
      </c>
      <c r="N68">
        <v>0.44969890694132231</v>
      </c>
      <c r="O68">
        <v>0.33003008107014603</v>
      </c>
      <c r="Q68" t="s">
        <v>830</v>
      </c>
      <c r="R68" t="s">
        <v>100</v>
      </c>
      <c r="S68">
        <v>2.32112667470365E-2</v>
      </c>
      <c r="T68">
        <v>1.8611643255704999E-2</v>
      </c>
      <c r="U68">
        <v>3.7035869852187438E-2</v>
      </c>
      <c r="V68">
        <v>2.21768223976198E-2</v>
      </c>
      <c r="W68">
        <v>4.7540079622301876E-2</v>
      </c>
      <c r="X68">
        <v>2.1792268489931585E-2</v>
      </c>
      <c r="Y68">
        <v>5.0594286110093825E-2</v>
      </c>
      <c r="Z68">
        <v>0.13879004823721522</v>
      </c>
      <c r="AA68">
        <v>9.1627379460744493E-2</v>
      </c>
      <c r="AB68">
        <v>4.2540163040408939E-2</v>
      </c>
      <c r="AC68">
        <v>4.5248983479857424E-2</v>
      </c>
      <c r="AD68">
        <v>3.1537709988578196E-2</v>
      </c>
      <c r="AF68" t="s">
        <v>830</v>
      </c>
      <c r="AG68" t="s">
        <v>101</v>
      </c>
      <c r="AH68">
        <v>4.6453024607764973E-2</v>
      </c>
      <c r="AI68">
        <v>1.8356733136107178E-2</v>
      </c>
      <c r="AJ68">
        <v>4.218395838782181E-2</v>
      </c>
      <c r="AK68">
        <v>3.9998630753226821E-2</v>
      </c>
      <c r="AL68">
        <v>1.9113929244325676E-2</v>
      </c>
      <c r="AM68">
        <v>5.3980070508513223E-2</v>
      </c>
      <c r="AN68">
        <v>5.7775936662432789E-2</v>
      </c>
      <c r="AO68">
        <v>9.0343219720877971E-2</v>
      </c>
      <c r="AP68">
        <v>2.9055153147025798E-2</v>
      </c>
      <c r="AQ68">
        <v>3.5091737416527297E-2</v>
      </c>
      <c r="AR68">
        <v>3.1938661965340336E-2</v>
      </c>
      <c r="AS68">
        <v>2.7818703865093435E-2</v>
      </c>
      <c r="AU68" t="s">
        <v>830</v>
      </c>
      <c r="AV68" t="s">
        <v>102</v>
      </c>
      <c r="AW68">
        <v>0.19951216415083023</v>
      </c>
      <c r="AX68">
        <v>0.25183376449963357</v>
      </c>
      <c r="AY68">
        <v>0.20706585895604518</v>
      </c>
      <c r="AZ68">
        <v>0.14652145002063086</v>
      </c>
      <c r="BA68">
        <v>0.21894695578043646</v>
      </c>
      <c r="BB68">
        <v>0.13721740774946864</v>
      </c>
      <c r="BC68">
        <v>6.6322509399652702E-2</v>
      </c>
      <c r="BD68">
        <v>6.38510822200406E-2</v>
      </c>
      <c r="BE68">
        <v>6.4831004069465667E-2</v>
      </c>
      <c r="BF68">
        <v>0.14034660559086284</v>
      </c>
      <c r="BG68">
        <v>0.24627228461500456</v>
      </c>
      <c r="BH68">
        <v>0.17304249261253216</v>
      </c>
      <c r="BR68" t="s">
        <v>830</v>
      </c>
      <c r="BS68">
        <v>0.23224198631917459</v>
      </c>
      <c r="BT68">
        <v>0.21262199061878498</v>
      </c>
      <c r="BU68">
        <v>0.23143504417777164</v>
      </c>
      <c r="BV68">
        <v>0.18034189476040563</v>
      </c>
      <c r="BW68">
        <v>0.20358047008335733</v>
      </c>
      <c r="BX68">
        <v>0.22114674339459714</v>
      </c>
      <c r="BY68">
        <v>0.10476507640255373</v>
      </c>
      <c r="BZ68">
        <v>5.7157129130188736E-2</v>
      </c>
      <c r="CA68">
        <v>0.15054330513432729</v>
      </c>
      <c r="CB68">
        <v>0.13659406239545654</v>
      </c>
      <c r="CC68">
        <v>0.14121530637459509</v>
      </c>
      <c r="CD68">
        <v>0.166172888635257</v>
      </c>
      <c r="CF68" t="s">
        <v>817</v>
      </c>
      <c r="CG68" t="s">
        <v>108</v>
      </c>
      <c r="CH68" t="s">
        <v>109</v>
      </c>
      <c r="CI68">
        <v>0.37794540207938737</v>
      </c>
    </row>
    <row r="69" spans="2:87" x14ac:dyDescent="0.45">
      <c r="B69" t="s">
        <v>832</v>
      </c>
      <c r="C69" t="s">
        <v>99</v>
      </c>
      <c r="D69">
        <v>0.37213195179936653</v>
      </c>
      <c r="E69">
        <v>0.42851544366871669</v>
      </c>
      <c r="F69">
        <v>0.39478500134547057</v>
      </c>
      <c r="G69">
        <v>0.28683037467885109</v>
      </c>
      <c r="H69">
        <v>0.41994376409747275</v>
      </c>
      <c r="I69">
        <v>0.29884499743237547</v>
      </c>
      <c r="J69">
        <v>0.26578404841705444</v>
      </c>
      <c r="K69">
        <v>0.39565478298733098</v>
      </c>
      <c r="L69">
        <v>0.27483337500410188</v>
      </c>
      <c r="M69">
        <v>0.29746905513576716</v>
      </c>
      <c r="N69">
        <v>0.42665017946228817</v>
      </c>
      <c r="O69">
        <v>0.29721449208981543</v>
      </c>
      <c r="Q69" t="s">
        <v>832</v>
      </c>
      <c r="R69" t="s">
        <v>100</v>
      </c>
      <c r="S69">
        <v>2.2067428341470931E-2</v>
      </c>
      <c r="T69">
        <v>1.632237891512851E-2</v>
      </c>
      <c r="U69">
        <v>2.2471261016357155E-2</v>
      </c>
      <c r="V69">
        <v>1.7810135547848167E-2</v>
      </c>
      <c r="W69">
        <v>3.1772774933269521E-2</v>
      </c>
      <c r="X69">
        <v>1.7671544860859097E-2</v>
      </c>
      <c r="Y69">
        <v>2.9471477134665202E-2</v>
      </c>
      <c r="Z69">
        <v>8.3165653019017072E-2</v>
      </c>
      <c r="AA69">
        <v>9.0413833275930472E-2</v>
      </c>
      <c r="AB69">
        <v>2.9789867083045818E-2</v>
      </c>
      <c r="AC69">
        <v>4.5814373028065604E-2</v>
      </c>
      <c r="AD69">
        <v>3.1396235157687698E-2</v>
      </c>
      <c r="AF69" t="s">
        <v>832</v>
      </c>
      <c r="AG69" t="s">
        <v>101</v>
      </c>
      <c r="AH69">
        <v>2.6226871364616273E-2</v>
      </c>
      <c r="AI69">
        <v>3.2620531097158109E-2</v>
      </c>
      <c r="AJ69">
        <v>2.8747125084199573E-2</v>
      </c>
      <c r="AK69">
        <v>2.8972513927989253E-2</v>
      </c>
      <c r="AL69">
        <v>3.1575628883730021E-2</v>
      </c>
      <c r="AM69">
        <v>2.6058158011020609E-2</v>
      </c>
      <c r="AN69">
        <v>6.6333350776522734E-2</v>
      </c>
      <c r="AO69">
        <v>6.5698637062766324E-2</v>
      </c>
      <c r="AP69">
        <v>1.7854249605560472E-2</v>
      </c>
      <c r="AQ69">
        <v>3.9928140364001996E-2</v>
      </c>
      <c r="AR69">
        <v>4.5721521274308639E-2</v>
      </c>
      <c r="AS69">
        <v>2.9567727512576449E-2</v>
      </c>
      <c r="AU69" t="s">
        <v>832</v>
      </c>
      <c r="AV69" t="s">
        <v>102</v>
      </c>
      <c r="AW69">
        <v>0.1929945486343102</v>
      </c>
      <c r="AX69">
        <v>0.2329827046347743</v>
      </c>
      <c r="AY69">
        <v>0.21368919667721922</v>
      </c>
      <c r="AZ69">
        <v>0.13897459447090768</v>
      </c>
      <c r="BA69">
        <v>0.21540513879101691</v>
      </c>
      <c r="BB69">
        <v>0.15304608890241117</v>
      </c>
      <c r="BC69">
        <v>7.1108807647945194E-2</v>
      </c>
      <c r="BD69">
        <v>0.12458637546425781</v>
      </c>
      <c r="BE69">
        <v>5.9338143304092206E-2</v>
      </c>
      <c r="BF69">
        <v>0.12358335567435866</v>
      </c>
      <c r="BG69">
        <v>0.20314911344498304</v>
      </c>
      <c r="BH69">
        <v>0.13654117248560441</v>
      </c>
      <c r="BR69" t="s">
        <v>832</v>
      </c>
      <c r="BS69">
        <v>0.29002643038179915</v>
      </c>
      <c r="BT69">
        <v>0.26898760946061068</v>
      </c>
      <c r="BU69">
        <v>0.28860102505765672</v>
      </c>
      <c r="BV69">
        <v>0.26129873291622802</v>
      </c>
      <c r="BW69">
        <v>0.26250184567251444</v>
      </c>
      <c r="BX69">
        <v>0.29402767621572284</v>
      </c>
      <c r="BY69">
        <v>0.19192562302745958</v>
      </c>
      <c r="BZ69">
        <v>9.6976109388506787E-2</v>
      </c>
      <c r="CA69">
        <v>0.24330406831146731</v>
      </c>
      <c r="CB69">
        <v>0.22272667677927674</v>
      </c>
      <c r="CC69">
        <v>0.20801130745782767</v>
      </c>
      <c r="CD69">
        <v>0.24331429496798038</v>
      </c>
      <c r="CF69" t="s">
        <v>819</v>
      </c>
      <c r="CG69" t="s">
        <v>108</v>
      </c>
      <c r="CH69" t="s">
        <v>109</v>
      </c>
      <c r="CI69">
        <v>0.31279774237039559</v>
      </c>
    </row>
    <row r="70" spans="2:87" x14ac:dyDescent="0.45">
      <c r="B70" t="s">
        <v>834</v>
      </c>
      <c r="C70" t="s">
        <v>99</v>
      </c>
      <c r="D70">
        <v>0.48825134111934443</v>
      </c>
      <c r="E70">
        <v>0.46457512364214965</v>
      </c>
      <c r="F70">
        <v>0.4409440189089312</v>
      </c>
      <c r="G70">
        <v>0.46537841605865221</v>
      </c>
      <c r="H70">
        <v>0.4109055345920129</v>
      </c>
      <c r="I70">
        <v>0.38884508850755189</v>
      </c>
      <c r="J70">
        <v>0.43095982531002291</v>
      </c>
      <c r="K70">
        <v>0.38447980607410631</v>
      </c>
      <c r="L70">
        <v>0.36860111947598756</v>
      </c>
      <c r="M70">
        <v>0.44757018078123051</v>
      </c>
      <c r="N70">
        <v>0.40837844575672022</v>
      </c>
      <c r="O70">
        <v>0.42341781367149911</v>
      </c>
      <c r="Q70" t="s">
        <v>834</v>
      </c>
      <c r="R70" t="s">
        <v>100</v>
      </c>
      <c r="S70">
        <v>7.6835029417153242E-2</v>
      </c>
      <c r="T70">
        <v>4.7108081525285901E-2</v>
      </c>
      <c r="U70">
        <v>6.2624564858089107E-2</v>
      </c>
      <c r="V70">
        <v>1.9528847436077582E-2</v>
      </c>
      <c r="W70">
        <v>7.6736436650697751E-2</v>
      </c>
      <c r="X70">
        <v>3.6981847410980831E-2</v>
      </c>
      <c r="Y70">
        <v>6.2366715653311235E-2</v>
      </c>
      <c r="Z70">
        <v>0.11534742553706728</v>
      </c>
      <c r="AA70">
        <v>5.9357469715389424E-2</v>
      </c>
      <c r="AB70">
        <v>5.3183905658363145E-2</v>
      </c>
      <c r="AC70">
        <v>5.3230314284230529E-2</v>
      </c>
      <c r="AD70">
        <v>6.3891511760712408E-2</v>
      </c>
      <c r="AF70" t="s">
        <v>834</v>
      </c>
      <c r="AG70" t="s">
        <v>101</v>
      </c>
      <c r="AH70">
        <v>8.5098240632584976E-2</v>
      </c>
      <c r="AI70">
        <v>6.3077663286469937E-2</v>
      </c>
      <c r="AJ70">
        <v>6.106109668886818E-2</v>
      </c>
      <c r="AK70">
        <v>2.9408570360415453E-2</v>
      </c>
      <c r="AL70">
        <v>5.2104947487097243E-2</v>
      </c>
      <c r="AM70">
        <v>7.1681114788891873E-2</v>
      </c>
      <c r="AN70">
        <v>9.0203026812853623E-2</v>
      </c>
      <c r="AO70">
        <v>6.2630361544537411E-2</v>
      </c>
      <c r="AP70">
        <v>8.1824688788248404E-2</v>
      </c>
      <c r="AQ70">
        <v>4.0907220881331009E-2</v>
      </c>
      <c r="AR70">
        <v>3.9859554123475867E-2</v>
      </c>
      <c r="AS70">
        <v>5.9784515566067148E-2</v>
      </c>
      <c r="AU70" t="s">
        <v>834</v>
      </c>
      <c r="AV70" t="s">
        <v>102</v>
      </c>
      <c r="AW70">
        <v>0.19180036495561939</v>
      </c>
      <c r="AX70">
        <v>0.22254195895794465</v>
      </c>
      <c r="AY70">
        <v>0.19056826422452458</v>
      </c>
      <c r="AZ70">
        <v>0.3023506677678961</v>
      </c>
      <c r="BA70">
        <v>0.15973139047721607</v>
      </c>
      <c r="BB70">
        <v>0.15767390353602018</v>
      </c>
      <c r="BC70">
        <v>0.17864271203369805</v>
      </c>
      <c r="BD70">
        <v>9.8678802843296859E-2</v>
      </c>
      <c r="BE70">
        <v>0.11597178532167778</v>
      </c>
      <c r="BF70">
        <v>0.2172358198958742</v>
      </c>
      <c r="BG70">
        <v>0.19253607382554422</v>
      </c>
      <c r="BH70">
        <v>0.17177061057600421</v>
      </c>
      <c r="BR70" t="s">
        <v>834</v>
      </c>
      <c r="BS70">
        <v>0.20493626116875557</v>
      </c>
      <c r="BT70">
        <v>0.2039850640490011</v>
      </c>
      <c r="BU70">
        <v>0.21967374946839846</v>
      </c>
      <c r="BV70">
        <v>0.17547420589290011</v>
      </c>
      <c r="BW70">
        <v>0.22551145592948615</v>
      </c>
      <c r="BX70">
        <v>0.24527913701960483</v>
      </c>
      <c r="BY70">
        <v>8.465158162998436E-2</v>
      </c>
      <c r="BZ70">
        <v>0.1210318907293374</v>
      </c>
      <c r="CA70">
        <v>0.1212003013900653</v>
      </c>
      <c r="CB70">
        <v>0.20959943177798401</v>
      </c>
      <c r="CC70">
        <v>0.21447481271592173</v>
      </c>
      <c r="CD70">
        <v>0.23401528408300631</v>
      </c>
      <c r="CF70" t="s">
        <v>821</v>
      </c>
      <c r="CG70" t="s">
        <v>108</v>
      </c>
      <c r="CH70" t="s">
        <v>109</v>
      </c>
      <c r="CI70">
        <v>0.46605872280932037</v>
      </c>
    </row>
    <row r="71" spans="2:87" x14ac:dyDescent="0.45">
      <c r="B71" t="s">
        <v>836</v>
      </c>
      <c r="C71" t="s">
        <v>99</v>
      </c>
      <c r="D71">
        <v>0.54286402886569207</v>
      </c>
      <c r="E71">
        <v>0.54357353557715093</v>
      </c>
      <c r="F71">
        <v>0.51247897124446362</v>
      </c>
      <c r="G71">
        <v>0.54744627851847583</v>
      </c>
      <c r="H71">
        <v>0.45922220630996724</v>
      </c>
      <c r="I71">
        <v>0.47260369957848813</v>
      </c>
      <c r="J71">
        <v>0.36992818778567821</v>
      </c>
      <c r="K71">
        <v>0.38996670247882925</v>
      </c>
      <c r="L71">
        <v>0.36883256594499786</v>
      </c>
      <c r="M71">
        <v>0.50632139689452815</v>
      </c>
      <c r="N71">
        <v>0.45049380127708655</v>
      </c>
      <c r="O71">
        <v>0.47266493356564376</v>
      </c>
      <c r="Q71" t="s">
        <v>836</v>
      </c>
      <c r="R71" t="s">
        <v>100</v>
      </c>
      <c r="S71">
        <v>4.5740167290304952E-2</v>
      </c>
      <c r="T71">
        <v>9.0800368847271953E-2</v>
      </c>
      <c r="U71">
        <v>6.4559079421010343E-2</v>
      </c>
      <c r="V71">
        <v>4.7689722018295078E-2</v>
      </c>
      <c r="W71">
        <v>9.7152911221832491E-2</v>
      </c>
      <c r="X71">
        <v>4.0105789164913093E-2</v>
      </c>
      <c r="Y71">
        <v>9.1035483443321463E-2</v>
      </c>
      <c r="Z71">
        <v>0.17108736632764296</v>
      </c>
      <c r="AA71">
        <v>5.5966576053075597E-2</v>
      </c>
      <c r="AB71">
        <v>7.0888189038331106E-2</v>
      </c>
      <c r="AC71">
        <v>9.5883471195206238E-2</v>
      </c>
      <c r="AD71">
        <v>6.7462760549912293E-2</v>
      </c>
      <c r="AF71" t="s">
        <v>836</v>
      </c>
      <c r="AG71" t="s">
        <v>101</v>
      </c>
      <c r="AH71">
        <v>8.6957021316702701E-2</v>
      </c>
      <c r="AI71">
        <v>7.9039463562063345E-2</v>
      </c>
      <c r="AJ71">
        <v>0.12130111806375855</v>
      </c>
      <c r="AK71">
        <v>1.4701019649308786E-2</v>
      </c>
      <c r="AL71">
        <v>7.3824041593687814E-2</v>
      </c>
      <c r="AM71">
        <v>0.12654815659888163</v>
      </c>
      <c r="AN71">
        <v>4.8008676516806729E-2</v>
      </c>
      <c r="AO71">
        <v>5.2977973902412233E-2</v>
      </c>
      <c r="AP71">
        <v>0.15272355344641592</v>
      </c>
      <c r="AQ71">
        <v>7.6945236848040791E-2</v>
      </c>
      <c r="AR71">
        <v>4.819842728298325E-2</v>
      </c>
      <c r="AS71">
        <v>0.1098869453817084</v>
      </c>
      <c r="AU71" t="s">
        <v>836</v>
      </c>
      <c r="AV71" t="s">
        <v>102</v>
      </c>
      <c r="AW71">
        <v>0.29509758830793775</v>
      </c>
      <c r="AX71">
        <v>0.2670684838739521</v>
      </c>
      <c r="AY71">
        <v>0.21870230018863249</v>
      </c>
      <c r="AZ71">
        <v>0.38629789878799242</v>
      </c>
      <c r="BA71">
        <v>0.17002813535631622</v>
      </c>
      <c r="BB71">
        <v>0.18432929070676221</v>
      </c>
      <c r="BC71">
        <v>0.13776814996664552</v>
      </c>
      <c r="BD71">
        <v>5.3039018694572018E-2</v>
      </c>
      <c r="BE71">
        <v>6.6713875545082915E-2</v>
      </c>
      <c r="BF71">
        <v>0.25026789798618759</v>
      </c>
      <c r="BG71">
        <v>0.19565497823994862</v>
      </c>
      <c r="BH71">
        <v>0.19341906135596204</v>
      </c>
      <c r="BR71" t="s">
        <v>836</v>
      </c>
      <c r="BS71">
        <v>8.6659053654228851E-2</v>
      </c>
      <c r="BT71">
        <v>8.5390959167076896E-2</v>
      </c>
      <c r="BU71">
        <v>8.8466094750738536E-2</v>
      </c>
      <c r="BV71">
        <v>7.9298595184967707E-2</v>
      </c>
      <c r="BW71">
        <v>0.13499000716547016</v>
      </c>
      <c r="BX71">
        <v>0.12992380266001893</v>
      </c>
      <c r="BY71">
        <v>2.11947726467928E-2</v>
      </c>
      <c r="BZ71">
        <v>5.7439336462614489E-2</v>
      </c>
      <c r="CA71">
        <v>4.2448866462834398E-2</v>
      </c>
      <c r="CB71">
        <v>7.2352128275279926E-2</v>
      </c>
      <c r="CC71">
        <v>8.488342849125799E-2</v>
      </c>
      <c r="CD71">
        <v>8.5941659640128495E-2</v>
      </c>
      <c r="CF71" t="s">
        <v>823</v>
      </c>
      <c r="CG71" t="s">
        <v>108</v>
      </c>
      <c r="CH71" t="s">
        <v>109</v>
      </c>
      <c r="CI71">
        <v>0.38173958326349477</v>
      </c>
    </row>
    <row r="72" spans="2:87" x14ac:dyDescent="0.45">
      <c r="B72" t="s">
        <v>838</v>
      </c>
      <c r="C72" t="s">
        <v>99</v>
      </c>
      <c r="D72">
        <v>0.46883162303852205</v>
      </c>
      <c r="E72">
        <v>0.49904967797674499</v>
      </c>
      <c r="F72">
        <v>0.44977524858384765</v>
      </c>
      <c r="G72">
        <v>0.34974046981142065</v>
      </c>
      <c r="H72">
        <v>0.42212908770455632</v>
      </c>
      <c r="I72">
        <v>0.35943373938056455</v>
      </c>
      <c r="J72">
        <v>0.33595385175337639</v>
      </c>
      <c r="K72">
        <v>0.45986296503376917</v>
      </c>
      <c r="L72">
        <v>0.36329986201226405</v>
      </c>
      <c r="M72">
        <v>0.35756840876059615</v>
      </c>
      <c r="N72">
        <v>0.46075759205747774</v>
      </c>
      <c r="O72">
        <v>0.40310700369372493</v>
      </c>
      <c r="Q72" t="s">
        <v>838</v>
      </c>
      <c r="R72" t="s">
        <v>100</v>
      </c>
      <c r="S72">
        <v>4.1329449826665587E-2</v>
      </c>
      <c r="T72">
        <v>4.0702902703659748E-2</v>
      </c>
      <c r="U72">
        <v>5.4210453488846524E-2</v>
      </c>
      <c r="V72">
        <v>3.6869153951281888E-2</v>
      </c>
      <c r="W72">
        <v>6.5973663258224582E-2</v>
      </c>
      <c r="X72">
        <v>2.3762780315355437E-2</v>
      </c>
      <c r="Y72">
        <v>0.11822259052875604</v>
      </c>
      <c r="Z72">
        <v>0.18516276249184843</v>
      </c>
      <c r="AA72">
        <v>0.13237852406282652</v>
      </c>
      <c r="AB72">
        <v>6.1098364129378226E-2</v>
      </c>
      <c r="AC72">
        <v>6.4986758410930365E-2</v>
      </c>
      <c r="AD72">
        <v>2.9389099996403652E-2</v>
      </c>
      <c r="AF72" t="s">
        <v>838</v>
      </c>
      <c r="AG72" t="s">
        <v>101</v>
      </c>
      <c r="AH72">
        <v>6.2744351085234129E-2</v>
      </c>
      <c r="AI72">
        <v>5.4784632657927566E-2</v>
      </c>
      <c r="AJ72">
        <v>5.2489839655644452E-2</v>
      </c>
      <c r="AK72">
        <v>2.4149269699733092E-2</v>
      </c>
      <c r="AL72">
        <v>3.8582586207969422E-2</v>
      </c>
      <c r="AM72">
        <v>5.667480499412389E-2</v>
      </c>
      <c r="AN72">
        <v>7.7127174476804852E-2</v>
      </c>
      <c r="AO72">
        <v>8.6888269193804213E-2</v>
      </c>
      <c r="AP72">
        <v>8.1282116250035452E-2</v>
      </c>
      <c r="AQ72">
        <v>2.8869837172434239E-2</v>
      </c>
      <c r="AR72">
        <v>6.943858955640704E-2</v>
      </c>
      <c r="AS72">
        <v>6.9841195748423998E-2</v>
      </c>
      <c r="AU72" t="s">
        <v>838</v>
      </c>
      <c r="AV72" t="s">
        <v>102</v>
      </c>
      <c r="AW72">
        <v>0.22296764432828689</v>
      </c>
      <c r="AX72">
        <v>0.24210644727510897</v>
      </c>
      <c r="AY72">
        <v>0.21756838213984359</v>
      </c>
      <c r="AZ72">
        <v>0.16787095941807345</v>
      </c>
      <c r="BA72">
        <v>0.18494003571506026</v>
      </c>
      <c r="BB72">
        <v>0.1561951553166715</v>
      </c>
      <c r="BC72">
        <v>2.8393167298650192E-2</v>
      </c>
      <c r="BD72">
        <v>7.0571559625963412E-2</v>
      </c>
      <c r="BE72">
        <v>3.6437853920904754E-2</v>
      </c>
      <c r="BF72">
        <v>0.15184914616071157</v>
      </c>
      <c r="BG72">
        <v>0.19839308716587237</v>
      </c>
      <c r="BH72">
        <v>0.19183092396288853</v>
      </c>
      <c r="BR72" t="s">
        <v>838</v>
      </c>
      <c r="BS72">
        <v>0.16920604606258927</v>
      </c>
      <c r="BT72">
        <v>0.17215736786061497</v>
      </c>
      <c r="BU72">
        <v>0.17901691921150922</v>
      </c>
      <c r="BV72">
        <v>0.13594061958677123</v>
      </c>
      <c r="BW72">
        <v>0.17366893728737023</v>
      </c>
      <c r="BX72">
        <v>0.17837891081030047</v>
      </c>
      <c r="BY72">
        <v>0.10325801796729524</v>
      </c>
      <c r="BZ72">
        <v>6.1711842996803955E-2</v>
      </c>
      <c r="CA72">
        <v>0.106621616735353</v>
      </c>
      <c r="CB72">
        <v>0.11447788383498116</v>
      </c>
      <c r="CC72">
        <v>0.1029162432864381</v>
      </c>
      <c r="CD72">
        <v>0.13099801928944613</v>
      </c>
      <c r="CF72" t="s">
        <v>825</v>
      </c>
      <c r="CG72" t="s">
        <v>108</v>
      </c>
      <c r="CH72" t="s">
        <v>109</v>
      </c>
      <c r="CI72">
        <v>0.47216712189725835</v>
      </c>
    </row>
    <row r="73" spans="2:87" x14ac:dyDescent="0.45">
      <c r="B73" t="s">
        <v>840</v>
      </c>
      <c r="C73" t="s">
        <v>99</v>
      </c>
      <c r="D73">
        <v>0.38153951626190596</v>
      </c>
      <c r="E73">
        <v>0.39717640626870032</v>
      </c>
      <c r="F73">
        <v>0.38531041217700124</v>
      </c>
      <c r="G73">
        <v>0.36567829456910894</v>
      </c>
      <c r="H73">
        <v>0.38522966462896679</v>
      </c>
      <c r="I73">
        <v>0.33054697290730967</v>
      </c>
      <c r="J73">
        <v>0.2634899946339086</v>
      </c>
      <c r="K73">
        <v>0.42668740516214826</v>
      </c>
      <c r="L73">
        <v>0.23796756680458075</v>
      </c>
      <c r="M73">
        <v>0.39038938280971697</v>
      </c>
      <c r="N73">
        <v>0.40842683780288486</v>
      </c>
      <c r="O73">
        <v>0.3137783482242742</v>
      </c>
      <c r="Q73" t="s">
        <v>840</v>
      </c>
      <c r="R73" t="s">
        <v>100</v>
      </c>
      <c r="S73">
        <v>1.9518105890393895E-2</v>
      </c>
      <c r="T73">
        <v>1.7309464631547734E-2</v>
      </c>
      <c r="U73">
        <v>2.4972433320834816E-2</v>
      </c>
      <c r="V73">
        <v>3.2849132997403475E-2</v>
      </c>
      <c r="W73">
        <v>2.4286376121972323E-2</v>
      </c>
      <c r="X73">
        <v>7.3108466361895327E-3</v>
      </c>
      <c r="Y73">
        <v>7.3940221880811785E-2</v>
      </c>
      <c r="Z73">
        <v>0.11539461943456204</v>
      </c>
      <c r="AA73">
        <v>6.0003542017871454E-2</v>
      </c>
      <c r="AB73">
        <v>4.0278602976586135E-2</v>
      </c>
      <c r="AC73">
        <v>2.9241894611974802E-2</v>
      </c>
      <c r="AD73">
        <v>5.2799044240107148E-3</v>
      </c>
      <c r="AF73" t="s">
        <v>840</v>
      </c>
      <c r="AG73" t="s">
        <v>101</v>
      </c>
      <c r="AH73">
        <v>3.6218552499345323E-2</v>
      </c>
      <c r="AI73">
        <v>3.3042589634498416E-2</v>
      </c>
      <c r="AJ73">
        <v>2.4689215166433891E-2</v>
      </c>
      <c r="AK73">
        <v>1.2204604949434289E-2</v>
      </c>
      <c r="AL73">
        <v>6.0666486001075159E-2</v>
      </c>
      <c r="AM73">
        <v>1.2653022701633789E-2</v>
      </c>
      <c r="AN73">
        <v>4.1272200589498091E-2</v>
      </c>
      <c r="AO73">
        <v>6.7344649064960474E-2</v>
      </c>
      <c r="AP73">
        <v>4.3782157815555271E-2</v>
      </c>
      <c r="AQ73">
        <v>3.6657432614111515E-2</v>
      </c>
      <c r="AR73">
        <v>2.8306187312027411E-2</v>
      </c>
      <c r="AS73">
        <v>3.4512643096972384E-2</v>
      </c>
      <c r="AU73" t="s">
        <v>840</v>
      </c>
      <c r="AV73" t="s">
        <v>102</v>
      </c>
      <c r="AW73">
        <v>0.1950416632559332</v>
      </c>
      <c r="AX73">
        <v>0.19353126686738456</v>
      </c>
      <c r="AY73">
        <v>0.20015487472761842</v>
      </c>
      <c r="AZ73">
        <v>0.20515816705320575</v>
      </c>
      <c r="BA73">
        <v>0.16771274605989453</v>
      </c>
      <c r="BB73">
        <v>0.20867169949725986</v>
      </c>
      <c r="BC73">
        <v>7.1496868826469911E-2</v>
      </c>
      <c r="BD73">
        <v>0.14358863862239893</v>
      </c>
      <c r="BE73">
        <v>5.0679544725666485E-2</v>
      </c>
      <c r="BF73">
        <v>0.18157904039623518</v>
      </c>
      <c r="BG73">
        <v>0.21612619444917108</v>
      </c>
      <c r="BH73">
        <v>0.17890662130670515</v>
      </c>
      <c r="BR73" t="s">
        <v>840</v>
      </c>
      <c r="BS73">
        <v>0.28835896515653381</v>
      </c>
      <c r="BT73">
        <v>0.29466130784469707</v>
      </c>
      <c r="BU73">
        <v>0.27963773540868908</v>
      </c>
      <c r="BV73">
        <v>0.19851390118203135</v>
      </c>
      <c r="BW73">
        <v>0.26428742550414475</v>
      </c>
      <c r="BX73">
        <v>0.24536708773613047</v>
      </c>
      <c r="BY73">
        <v>7.9921718170222797E-2</v>
      </c>
      <c r="BZ73">
        <v>7.575166479708785E-2</v>
      </c>
      <c r="CA73">
        <v>0.14549075989377472</v>
      </c>
      <c r="CB73">
        <v>0.18319272396456632</v>
      </c>
      <c r="CC73">
        <v>0.21443587984216261</v>
      </c>
      <c r="CD73">
        <v>0.20958891510420816</v>
      </c>
      <c r="CF73" t="s">
        <v>827</v>
      </c>
      <c r="CG73" t="s">
        <v>108</v>
      </c>
      <c r="CH73" t="s">
        <v>109</v>
      </c>
      <c r="CI73">
        <v>0.4830275899287868</v>
      </c>
    </row>
    <row r="74" spans="2:87" x14ac:dyDescent="0.45">
      <c r="B74" t="s">
        <v>842</v>
      </c>
      <c r="C74" t="s">
        <v>99</v>
      </c>
      <c r="D74">
        <v>0.49347055781705357</v>
      </c>
      <c r="E74">
        <v>0.46583066675933199</v>
      </c>
      <c r="F74">
        <v>0.45905399707995836</v>
      </c>
      <c r="G74">
        <v>0.46138849004122984</v>
      </c>
      <c r="H74">
        <v>0.44045309885906092</v>
      </c>
      <c r="I74">
        <v>0.40468210678500027</v>
      </c>
      <c r="J74">
        <v>0.26542633177662034</v>
      </c>
      <c r="K74">
        <v>0.3962348241186609</v>
      </c>
      <c r="L74">
        <v>0.31829142288176371</v>
      </c>
      <c r="M74">
        <v>0.41771978898083451</v>
      </c>
      <c r="N74">
        <v>0.48481633954326792</v>
      </c>
      <c r="O74">
        <v>0.37720572827309673</v>
      </c>
      <c r="Q74" t="s">
        <v>842</v>
      </c>
      <c r="R74" t="s">
        <v>100</v>
      </c>
      <c r="S74">
        <v>8.02197520765645E-3</v>
      </c>
      <c r="T74">
        <v>2.1722174842887496E-2</v>
      </c>
      <c r="U74">
        <v>2.3245412833217179E-2</v>
      </c>
      <c r="V74">
        <v>2.398430575989674E-2</v>
      </c>
      <c r="W74">
        <v>5.6073599581425292E-2</v>
      </c>
      <c r="X74">
        <v>2.1614389773002857E-2</v>
      </c>
      <c r="Y74">
        <v>2.3014510802838745E-2</v>
      </c>
      <c r="Z74">
        <v>0.11665164115780736</v>
      </c>
      <c r="AA74">
        <v>1.2356553590657165E-2</v>
      </c>
      <c r="AB74">
        <v>3.4013344188636781E-2</v>
      </c>
      <c r="AC74">
        <v>2.9170010422675335E-2</v>
      </c>
      <c r="AD74">
        <v>1.5805919496974092E-2</v>
      </c>
      <c r="AF74" t="s">
        <v>842</v>
      </c>
      <c r="AG74" t="s">
        <v>101</v>
      </c>
      <c r="AH74">
        <v>4.3153967479973972E-2</v>
      </c>
      <c r="AI74">
        <v>2.5346304606585355E-2</v>
      </c>
      <c r="AJ74">
        <v>4.8961222613310561E-2</v>
      </c>
      <c r="AK74">
        <v>3.6646385005204729E-2</v>
      </c>
      <c r="AL74">
        <v>3.7209808375635298E-2</v>
      </c>
      <c r="AM74">
        <v>7.3513301857241961E-2</v>
      </c>
      <c r="AN74">
        <v>1.0027856894748808E-2</v>
      </c>
      <c r="AO74">
        <v>3.0276519460045209E-2</v>
      </c>
      <c r="AP74">
        <v>9.7779937625039823E-2</v>
      </c>
      <c r="AQ74">
        <v>3.9894073835539341E-2</v>
      </c>
      <c r="AR74">
        <v>4.3367302776877704E-2</v>
      </c>
      <c r="AS74">
        <v>1.6766559364239441E-2</v>
      </c>
      <c r="AU74" t="s">
        <v>842</v>
      </c>
      <c r="AV74" t="s">
        <v>102</v>
      </c>
      <c r="AW74">
        <v>0.31172321016548665</v>
      </c>
      <c r="AX74">
        <v>0.28331833092943859</v>
      </c>
      <c r="AY74">
        <v>0.25499806204665137</v>
      </c>
      <c r="AZ74">
        <v>0.27735311155797338</v>
      </c>
      <c r="BA74">
        <v>0.21056437389657887</v>
      </c>
      <c r="BB74">
        <v>0.19097247687150543</v>
      </c>
      <c r="BC74">
        <v>0.15334685039351117</v>
      </c>
      <c r="BD74">
        <v>0.14990821508380162</v>
      </c>
      <c r="BE74">
        <v>0.11817330140429382</v>
      </c>
      <c r="BF74">
        <v>0.25947654049060659</v>
      </c>
      <c r="BG74">
        <v>0.31962247777552655</v>
      </c>
      <c r="BH74">
        <v>0.25805776210382247</v>
      </c>
      <c r="BR74" t="s">
        <v>842</v>
      </c>
      <c r="BS74">
        <v>0.18093810028870164</v>
      </c>
      <c r="BT74">
        <v>0.18031108087603612</v>
      </c>
      <c r="BU74">
        <v>0.18108098639704659</v>
      </c>
      <c r="BV74">
        <v>0.14012487428414594</v>
      </c>
      <c r="BW74">
        <v>0.1725907641386985</v>
      </c>
      <c r="BX74">
        <v>0.16493135731941141</v>
      </c>
      <c r="BY74">
        <v>3.4021965165407744E-2</v>
      </c>
      <c r="BZ74">
        <v>4.8741942804771739E-2</v>
      </c>
      <c r="CA74">
        <v>6.4320266029830195E-2</v>
      </c>
      <c r="CB74">
        <v>5.2585950373038898E-2</v>
      </c>
      <c r="CC74">
        <v>6.6237583796700153E-2</v>
      </c>
      <c r="CD74">
        <v>6.953418488886301E-2</v>
      </c>
      <c r="CF74" t="s">
        <v>829</v>
      </c>
      <c r="CG74" t="s">
        <v>108</v>
      </c>
      <c r="CH74" t="s">
        <v>109</v>
      </c>
      <c r="CI74">
        <v>0.40188293031455896</v>
      </c>
    </row>
    <row r="75" spans="2:87" x14ac:dyDescent="0.45">
      <c r="B75" t="s">
        <v>843</v>
      </c>
      <c r="C75" t="s">
        <v>99</v>
      </c>
      <c r="D75">
        <v>0.3578575453018652</v>
      </c>
      <c r="E75">
        <v>0.40966454312284772</v>
      </c>
      <c r="F75">
        <v>0.40965688582341608</v>
      </c>
      <c r="G75">
        <v>0.46284381148555226</v>
      </c>
      <c r="H75">
        <v>0.43815977866507327</v>
      </c>
      <c r="I75">
        <v>0.44785390212906817</v>
      </c>
      <c r="J75">
        <v>0.55222619319883404</v>
      </c>
      <c r="K75">
        <v>0.39799863391581347</v>
      </c>
      <c r="L75">
        <v>0.32247646873800334</v>
      </c>
      <c r="M75">
        <v>0.51951330540955776</v>
      </c>
      <c r="N75">
        <v>0.50739779803067331</v>
      </c>
      <c r="O75">
        <v>0.4543664331244604</v>
      </c>
      <c r="Q75" t="s">
        <v>843</v>
      </c>
      <c r="R75" t="s">
        <v>100</v>
      </c>
      <c r="S75">
        <v>2.3942037525862648E-2</v>
      </c>
      <c r="T75">
        <v>1.7203485459155923E-2</v>
      </c>
      <c r="U75">
        <v>2.3153252214747067E-2</v>
      </c>
      <c r="V75">
        <v>2.5143183922394449E-2</v>
      </c>
      <c r="W75">
        <v>2.5756630533018778E-2</v>
      </c>
      <c r="X75">
        <v>2.8803856197950332E-2</v>
      </c>
      <c r="Y75">
        <v>0.13691406503462944</v>
      </c>
      <c r="Z75">
        <v>0.157841954323028</v>
      </c>
      <c r="AA75">
        <v>0.12653933649293225</v>
      </c>
      <c r="AB75">
        <v>3.7407144353935495E-2</v>
      </c>
      <c r="AC75">
        <v>3.2123060397342224E-2</v>
      </c>
      <c r="AD75">
        <v>3.9391693988374846E-2</v>
      </c>
      <c r="AF75" t="s">
        <v>843</v>
      </c>
      <c r="AG75" t="s">
        <v>101</v>
      </c>
      <c r="AH75">
        <v>2.2965538442084099E-2</v>
      </c>
      <c r="AI75">
        <v>3.0142491629582303E-2</v>
      </c>
      <c r="AJ75">
        <v>2.7524861516905488E-2</v>
      </c>
      <c r="AK75">
        <v>4.4844918028733215E-2</v>
      </c>
      <c r="AL75">
        <v>4.3121332513039186E-2</v>
      </c>
      <c r="AM75">
        <v>2.6121443943526983E-2</v>
      </c>
      <c r="AN75">
        <v>7.7027012678774986E-2</v>
      </c>
      <c r="AO75">
        <v>2.2143571376068316E-2</v>
      </c>
      <c r="AP75">
        <v>2.167944168897987E-2</v>
      </c>
      <c r="AQ75">
        <v>7.0992770352818965E-2</v>
      </c>
      <c r="AR75">
        <v>3.4847887388194901E-2</v>
      </c>
      <c r="AS75">
        <v>4.9444897773727278E-2</v>
      </c>
      <c r="AU75" t="s">
        <v>843</v>
      </c>
      <c r="AV75" t="s">
        <v>102</v>
      </c>
      <c r="AW75">
        <v>0.17509028704437007</v>
      </c>
      <c r="AX75">
        <v>0.20163744358525276</v>
      </c>
      <c r="AY75">
        <v>0.2053454331617055</v>
      </c>
      <c r="AZ75">
        <v>0.24038094764738435</v>
      </c>
      <c r="BA75">
        <v>0.22974970480064036</v>
      </c>
      <c r="BB75">
        <v>0.24901946524051199</v>
      </c>
      <c r="BC75">
        <v>0.25820917101934321</v>
      </c>
      <c r="BD75">
        <v>8.5755838428091966E-2</v>
      </c>
      <c r="BE75">
        <v>7.5323029762949301E-2</v>
      </c>
      <c r="BF75">
        <v>0.2702182439434565</v>
      </c>
      <c r="BG75">
        <v>0.32179078459676091</v>
      </c>
      <c r="BH75">
        <v>0.25282890002742153</v>
      </c>
      <c r="BR75" t="s">
        <v>843</v>
      </c>
      <c r="BS75">
        <v>0.38125147603641207</v>
      </c>
      <c r="BT75">
        <v>0.3506254438541182</v>
      </c>
      <c r="BU75">
        <v>0.31998393272459219</v>
      </c>
      <c r="BV75">
        <v>0.23533771015482854</v>
      </c>
      <c r="BW75">
        <v>0.27344113830859307</v>
      </c>
      <c r="BX75">
        <v>0.24307901646954402</v>
      </c>
      <c r="BY75">
        <v>3.7960226494941823E-2</v>
      </c>
      <c r="BZ75">
        <v>7.7123885312323393E-2</v>
      </c>
      <c r="CA75">
        <v>8.3563255949276369E-2</v>
      </c>
      <c r="CB75">
        <v>0.14876795611459118</v>
      </c>
      <c r="CC75">
        <v>0.13653230770113844</v>
      </c>
      <c r="CD75">
        <v>0.15144517424741211</v>
      </c>
      <c r="CF75" t="s">
        <v>831</v>
      </c>
      <c r="CG75" t="s">
        <v>108</v>
      </c>
      <c r="CH75" t="s">
        <v>109</v>
      </c>
      <c r="CI75">
        <v>0.44698843093631546</v>
      </c>
    </row>
    <row r="76" spans="2:87" x14ac:dyDescent="0.45">
      <c r="B76" t="s">
        <v>844</v>
      </c>
      <c r="C76" t="s">
        <v>99</v>
      </c>
      <c r="D76">
        <v>0.37309201461172453</v>
      </c>
      <c r="E76">
        <v>0.40236730913588675</v>
      </c>
      <c r="F76">
        <v>0.33870507894170215</v>
      </c>
      <c r="G76">
        <v>0.40041456066642039</v>
      </c>
      <c r="H76">
        <v>0.36194702979588778</v>
      </c>
      <c r="I76">
        <v>0.33070351239703355</v>
      </c>
      <c r="J76">
        <v>0.40543650028016448</v>
      </c>
      <c r="K76">
        <v>0.30204496908556633</v>
      </c>
      <c r="L76">
        <v>0.30404103264313342</v>
      </c>
      <c r="M76">
        <v>0.49586012658102657</v>
      </c>
      <c r="N76">
        <v>0.44654495819391593</v>
      </c>
      <c r="O76">
        <v>0.40247075590819459</v>
      </c>
      <c r="Q76" t="s">
        <v>844</v>
      </c>
      <c r="R76" t="s">
        <v>100</v>
      </c>
      <c r="S76">
        <v>1.6580890224044798E-2</v>
      </c>
      <c r="T76">
        <v>1.3630093529468746E-2</v>
      </c>
      <c r="U76">
        <v>2.0296313617159365E-2</v>
      </c>
      <c r="V76">
        <v>4.9132903310896828E-2</v>
      </c>
      <c r="W76">
        <v>4.175559347915523E-2</v>
      </c>
      <c r="X76">
        <v>2.5022627580863432E-2</v>
      </c>
      <c r="Y76">
        <v>7.8132227917630775E-2</v>
      </c>
      <c r="Z76">
        <v>0.10507924743324348</v>
      </c>
      <c r="AA76">
        <v>4.339242014164596E-2</v>
      </c>
      <c r="AB76">
        <v>2.544369268460801E-2</v>
      </c>
      <c r="AC76">
        <v>2.5162660894520874E-2</v>
      </c>
      <c r="AD76">
        <v>2.577832319269786E-2</v>
      </c>
      <c r="AF76" t="s">
        <v>844</v>
      </c>
      <c r="AG76" t="s">
        <v>101</v>
      </c>
      <c r="AH76">
        <v>2.7857025228037936E-2</v>
      </c>
      <c r="AI76">
        <v>1.8936945480031754E-2</v>
      </c>
      <c r="AJ76">
        <v>2.8424874726397369E-2</v>
      </c>
      <c r="AK76">
        <v>3.0119504360052621E-2</v>
      </c>
      <c r="AL76">
        <v>5.5862400465998038E-2</v>
      </c>
      <c r="AM76">
        <v>4.1014368193249613E-2</v>
      </c>
      <c r="AN76">
        <v>2.8622622785775469E-2</v>
      </c>
      <c r="AO76">
        <v>2.2804576647107104E-2</v>
      </c>
      <c r="AP76">
        <v>9.5223960577225084E-2</v>
      </c>
      <c r="AQ76">
        <v>4.3281102845163198E-2</v>
      </c>
      <c r="AR76">
        <v>2.5211094175733102E-2</v>
      </c>
      <c r="AS76">
        <v>4.0025763609499991E-2</v>
      </c>
      <c r="AU76" t="s">
        <v>844</v>
      </c>
      <c r="AV76" t="s">
        <v>102</v>
      </c>
      <c r="AW76">
        <v>0.1918394035705977</v>
      </c>
      <c r="AX76">
        <v>0.23008890155054895</v>
      </c>
      <c r="AY76">
        <v>0.16893157444672627</v>
      </c>
      <c r="AZ76">
        <v>0.20032893619313188</v>
      </c>
      <c r="BA76">
        <v>0.1497148246439074</v>
      </c>
      <c r="BB76">
        <v>0.14659010324538888</v>
      </c>
      <c r="BC76">
        <v>0.19664886877355342</v>
      </c>
      <c r="BD76">
        <v>5.8504463862262525E-2</v>
      </c>
      <c r="BE76">
        <v>7.0108462341789107E-2</v>
      </c>
      <c r="BF76">
        <v>0.31045254281831169</v>
      </c>
      <c r="BG76">
        <v>0.29309882650031932</v>
      </c>
      <c r="BH76">
        <v>0.22853042728044076</v>
      </c>
      <c r="BR76" t="s">
        <v>844</v>
      </c>
      <c r="BS76">
        <v>0.31277701514035916</v>
      </c>
      <c r="BT76">
        <v>0.31014872411527222</v>
      </c>
      <c r="BU76">
        <v>0.29125049795404168</v>
      </c>
      <c r="BV76">
        <v>0.18010156895556181</v>
      </c>
      <c r="BW76">
        <v>0.24277305101733904</v>
      </c>
      <c r="BX76">
        <v>0.23287694947908807</v>
      </c>
      <c r="BY76">
        <v>5.0797398530219764E-2</v>
      </c>
      <c r="BZ76">
        <v>0.11129643400417943</v>
      </c>
      <c r="CA76">
        <v>0.10262276401993117</v>
      </c>
      <c r="CB76">
        <v>0.12922010847489787</v>
      </c>
      <c r="CC76">
        <v>0.13407280890618967</v>
      </c>
      <c r="CD76">
        <v>0.15049446450759996</v>
      </c>
      <c r="CF76" t="s">
        <v>833</v>
      </c>
      <c r="CG76" t="s">
        <v>108</v>
      </c>
      <c r="CH76" t="s">
        <v>109</v>
      </c>
      <c r="CI76">
        <v>0.58519607935307849</v>
      </c>
    </row>
    <row r="77" spans="2:87" x14ac:dyDescent="0.45">
      <c r="B77" t="s">
        <v>845</v>
      </c>
      <c r="C77" t="s">
        <v>99</v>
      </c>
      <c r="D77">
        <v>0.44946796001127742</v>
      </c>
      <c r="E77">
        <v>0.46849976782917746</v>
      </c>
      <c r="F77">
        <v>0.43830242399958752</v>
      </c>
      <c r="G77">
        <v>0.42729799988295136</v>
      </c>
      <c r="H77">
        <v>0.41215429271131232</v>
      </c>
      <c r="I77">
        <v>0.38636399451129572</v>
      </c>
      <c r="J77">
        <v>0.41617892723773559</v>
      </c>
      <c r="K77">
        <v>0.47146916250859389</v>
      </c>
      <c r="L77">
        <v>0.38472049524472973</v>
      </c>
      <c r="M77">
        <v>0.40995571686454269</v>
      </c>
      <c r="N77">
        <v>0.45203956842816739</v>
      </c>
      <c r="O77">
        <v>0.37116608995685013</v>
      </c>
      <c r="Q77" t="s">
        <v>845</v>
      </c>
      <c r="R77" t="s">
        <v>100</v>
      </c>
      <c r="S77">
        <v>6.0259384965692164E-2</v>
      </c>
      <c r="T77">
        <v>2.0565298149985336E-2</v>
      </c>
      <c r="U77">
        <v>2.1018365451382272E-2</v>
      </c>
      <c r="V77">
        <v>3.0579783615932134E-2</v>
      </c>
      <c r="W77">
        <v>3.6039504075878019E-2</v>
      </c>
      <c r="X77">
        <v>2.1473659807718676E-2</v>
      </c>
      <c r="Y77">
        <v>2.8138321070682044E-2</v>
      </c>
      <c r="Z77">
        <v>3.845341629534408E-2</v>
      </c>
      <c r="AA77">
        <v>1.5882429480933807E-2</v>
      </c>
      <c r="AB77">
        <v>2.3937799641366126E-2</v>
      </c>
      <c r="AC77">
        <v>1.848138492568813E-2</v>
      </c>
      <c r="AD77">
        <v>1.3435720422945534E-2</v>
      </c>
      <c r="AF77" t="s">
        <v>845</v>
      </c>
      <c r="AG77" t="s">
        <v>101</v>
      </c>
      <c r="AH77">
        <v>5.0143839562139012E-2</v>
      </c>
      <c r="AI77">
        <v>5.8509323254037335E-2</v>
      </c>
      <c r="AJ77">
        <v>1.7184485675652322E-2</v>
      </c>
      <c r="AK77">
        <v>2.839640186514665E-2</v>
      </c>
      <c r="AL77">
        <v>3.3168281183645593E-2</v>
      </c>
      <c r="AM77">
        <v>4.0008296851581984E-2</v>
      </c>
      <c r="AN77">
        <v>2.0006994563724421E-2</v>
      </c>
      <c r="AO77">
        <v>3.834049272304333E-2</v>
      </c>
      <c r="AP77">
        <v>4.3504098245087656E-2</v>
      </c>
      <c r="AQ77">
        <v>3.4254048039399305E-2</v>
      </c>
      <c r="AR77">
        <v>3.2776615944559863E-2</v>
      </c>
      <c r="AS77">
        <v>3.3140218000288289E-2</v>
      </c>
      <c r="AU77" t="s">
        <v>845</v>
      </c>
      <c r="AV77" t="s">
        <v>102</v>
      </c>
      <c r="AW77">
        <v>0.18372730803460491</v>
      </c>
      <c r="AX77">
        <v>0.21775888966616982</v>
      </c>
      <c r="AY77">
        <v>0.24309628523314658</v>
      </c>
      <c r="AZ77">
        <v>0.24324757252544554</v>
      </c>
      <c r="BA77">
        <v>0.21721433194521833</v>
      </c>
      <c r="BB77">
        <v>0.20134241410296402</v>
      </c>
      <c r="BC77">
        <v>0.24422028517581076</v>
      </c>
      <c r="BD77">
        <v>0.27498379361375203</v>
      </c>
      <c r="BE77">
        <v>0.20918661650068776</v>
      </c>
      <c r="BF77">
        <v>0.21639327357305155</v>
      </c>
      <c r="BG77">
        <v>0.26845233754938447</v>
      </c>
      <c r="BH77">
        <v>0.19018075638340584</v>
      </c>
      <c r="BR77" t="s">
        <v>845</v>
      </c>
      <c r="BS77">
        <v>0.24631822785906168</v>
      </c>
      <c r="BT77">
        <v>0.26318030342345755</v>
      </c>
      <c r="BU77">
        <v>0.24549473085953061</v>
      </c>
      <c r="BV77">
        <v>0.18623754870509865</v>
      </c>
      <c r="BW77">
        <v>0.23092780688257664</v>
      </c>
      <c r="BX77">
        <v>0.23670581072649027</v>
      </c>
      <c r="BY77">
        <v>0.13222536882817823</v>
      </c>
      <c r="BZ77">
        <v>0.10553279329712494</v>
      </c>
      <c r="CA77">
        <v>0.18078338497435115</v>
      </c>
      <c r="CB77">
        <v>0.2134294293526009</v>
      </c>
      <c r="CC77">
        <v>0.20629102931259508</v>
      </c>
      <c r="CD77">
        <v>0.26456609811853982</v>
      </c>
      <c r="CF77" t="s">
        <v>835</v>
      </c>
      <c r="CG77" t="s">
        <v>108</v>
      </c>
      <c r="CH77" t="s">
        <v>109</v>
      </c>
      <c r="CI77">
        <v>0.47698878656325383</v>
      </c>
    </row>
    <row r="78" spans="2:87" x14ac:dyDescent="0.45">
      <c r="B78" t="s">
        <v>846</v>
      </c>
      <c r="C78" t="s">
        <v>99</v>
      </c>
      <c r="D78">
        <v>0.39124924801808958</v>
      </c>
      <c r="E78">
        <v>0.40079103654189313</v>
      </c>
      <c r="F78">
        <v>0.38720039141394719</v>
      </c>
      <c r="G78">
        <v>0.35818072329362588</v>
      </c>
      <c r="H78">
        <v>0.38793946700423226</v>
      </c>
      <c r="I78">
        <v>0.38348393281924287</v>
      </c>
      <c r="J78">
        <v>0.36673556117960876</v>
      </c>
      <c r="K78">
        <v>0.42820452190101843</v>
      </c>
      <c r="L78">
        <v>0.31551260132994635</v>
      </c>
      <c r="M78">
        <v>0.36843710747830755</v>
      </c>
      <c r="N78">
        <v>0.38095159270526713</v>
      </c>
      <c r="O78">
        <v>0.36011770891244932</v>
      </c>
      <c r="Q78" t="s">
        <v>846</v>
      </c>
      <c r="R78" t="s">
        <v>100</v>
      </c>
      <c r="S78">
        <v>7.7389977912010882E-2</v>
      </c>
      <c r="T78">
        <v>4.2292899000426848E-2</v>
      </c>
      <c r="U78">
        <v>4.2646347211602535E-2</v>
      </c>
      <c r="V78">
        <v>2.870291034026537E-2</v>
      </c>
      <c r="W78">
        <v>3.8384438345489415E-2</v>
      </c>
      <c r="X78">
        <v>2.1253647779420438E-2</v>
      </c>
      <c r="Y78">
        <v>1.9472433147698462E-2</v>
      </c>
      <c r="Z78">
        <v>7.1124607283462121E-2</v>
      </c>
      <c r="AA78">
        <v>3.9138708534468193E-2</v>
      </c>
      <c r="AB78">
        <v>4.1252935135069176E-2</v>
      </c>
      <c r="AC78">
        <v>2.209510286332237E-2</v>
      </c>
      <c r="AD78">
        <v>1.5859884621536195E-2</v>
      </c>
      <c r="AF78" t="s">
        <v>846</v>
      </c>
      <c r="AG78" t="s">
        <v>101</v>
      </c>
      <c r="AH78">
        <v>5.4302027805373632E-2</v>
      </c>
      <c r="AI78">
        <v>7.223523185568631E-2</v>
      </c>
      <c r="AJ78">
        <v>5.9875959227791563E-2</v>
      </c>
      <c r="AK78">
        <v>3.3642287316359251E-2</v>
      </c>
      <c r="AL78">
        <v>3.9880690850022375E-2</v>
      </c>
      <c r="AM78">
        <v>3.2391574705740174E-2</v>
      </c>
      <c r="AN78">
        <v>2.4081410517588463E-2</v>
      </c>
      <c r="AO78">
        <v>4.6600509554534555E-2</v>
      </c>
      <c r="AP78">
        <v>4.1298857729640003E-2</v>
      </c>
      <c r="AQ78">
        <v>3.7620746448144358E-2</v>
      </c>
      <c r="AR78">
        <v>3.9017191602081218E-2</v>
      </c>
      <c r="AS78">
        <v>1.5120646402097492E-2</v>
      </c>
      <c r="AU78" t="s">
        <v>846</v>
      </c>
      <c r="AV78" t="s">
        <v>102</v>
      </c>
      <c r="AW78">
        <v>0.13686775014085492</v>
      </c>
      <c r="AX78">
        <v>0.15695970248927096</v>
      </c>
      <c r="AY78">
        <v>0.15850500444842081</v>
      </c>
      <c r="AZ78">
        <v>0.18834904176588702</v>
      </c>
      <c r="BA78">
        <v>0.18481623847876413</v>
      </c>
      <c r="BB78">
        <v>0.20240059019268497</v>
      </c>
      <c r="BC78">
        <v>0.20916166155489402</v>
      </c>
      <c r="BD78">
        <v>0.17950712355460258</v>
      </c>
      <c r="BE78">
        <v>0.11953543183062774</v>
      </c>
      <c r="BF78">
        <v>0.18069489406193834</v>
      </c>
      <c r="BG78">
        <v>0.19369591611425654</v>
      </c>
      <c r="BH78">
        <v>0.21408739394493989</v>
      </c>
      <c r="BR78" t="s">
        <v>846</v>
      </c>
      <c r="BS78">
        <v>0.21031160364913132</v>
      </c>
      <c r="BT78">
        <v>0.22472462845139596</v>
      </c>
      <c r="BU78">
        <v>0.20484138093162044</v>
      </c>
      <c r="BV78">
        <v>0.15306364815526363</v>
      </c>
      <c r="BW78">
        <v>0.22069574169646242</v>
      </c>
      <c r="BX78">
        <v>0.19257427475158329</v>
      </c>
      <c r="BY78">
        <v>9.4668089022626342E-2</v>
      </c>
      <c r="BZ78">
        <v>0.1106052973674206</v>
      </c>
      <c r="CA78">
        <v>0.1498628533130959</v>
      </c>
      <c r="CB78">
        <v>0.19636259986219801</v>
      </c>
      <c r="CC78">
        <v>0.21452115589462697</v>
      </c>
      <c r="CD78">
        <v>0.21810696592155787</v>
      </c>
      <c r="CF78" t="s">
        <v>837</v>
      </c>
      <c r="CG78" t="s">
        <v>108</v>
      </c>
      <c r="CH78" t="s">
        <v>109</v>
      </c>
      <c r="CI78">
        <v>0.59838900399899053</v>
      </c>
    </row>
    <row r="79" spans="2:87" x14ac:dyDescent="0.45">
      <c r="B79" t="s">
        <v>847</v>
      </c>
      <c r="C79" t="s">
        <v>99</v>
      </c>
      <c r="D79">
        <v>0.44335003946968238</v>
      </c>
      <c r="E79">
        <v>0.47511290094049435</v>
      </c>
      <c r="F79">
        <v>0.4534127488017145</v>
      </c>
      <c r="G79">
        <v>0.47382388105868972</v>
      </c>
      <c r="H79">
        <v>0.41480846233574747</v>
      </c>
      <c r="I79">
        <v>0.37885748738430391</v>
      </c>
      <c r="J79">
        <v>0.45372382358057406</v>
      </c>
      <c r="K79">
        <v>0.3730171353852873</v>
      </c>
      <c r="L79">
        <v>0.34384336979446889</v>
      </c>
      <c r="M79">
        <v>0.5000060555553193</v>
      </c>
      <c r="N79">
        <v>0.44801869241138581</v>
      </c>
      <c r="O79">
        <v>0.4368444598295913</v>
      </c>
      <c r="Q79" t="s">
        <v>847</v>
      </c>
      <c r="R79" t="s">
        <v>100</v>
      </c>
      <c r="S79">
        <v>2.9358716190814531E-2</v>
      </c>
      <c r="T79">
        <v>4.5177714981366482E-2</v>
      </c>
      <c r="U79">
        <v>3.8987706185372527E-2</v>
      </c>
      <c r="V79">
        <v>3.3895635648007842E-2</v>
      </c>
      <c r="W79">
        <v>7.0406394421078086E-2</v>
      </c>
      <c r="X79">
        <v>3.3543636642733313E-2</v>
      </c>
      <c r="Y79">
        <v>0.10049403680599937</v>
      </c>
      <c r="Z79">
        <v>0.12518306584111213</v>
      </c>
      <c r="AA79">
        <v>7.4817342332790096E-2</v>
      </c>
      <c r="AB79">
        <v>2.0961584618197464E-2</v>
      </c>
      <c r="AC79">
        <v>5.6920827798866105E-2</v>
      </c>
      <c r="AD79">
        <v>4.5795125063262811E-2</v>
      </c>
      <c r="AF79" t="s">
        <v>847</v>
      </c>
      <c r="AG79" t="s">
        <v>101</v>
      </c>
      <c r="AH79">
        <v>7.4379119535156163E-2</v>
      </c>
      <c r="AI79">
        <v>4.941007731438176E-2</v>
      </c>
      <c r="AJ79">
        <v>7.8365747137469674E-2</v>
      </c>
      <c r="AK79">
        <v>3.9149245634711206E-2</v>
      </c>
      <c r="AL79">
        <v>6.3113668637323775E-2</v>
      </c>
      <c r="AM79">
        <v>7.777317758412379E-2</v>
      </c>
      <c r="AN79">
        <v>9.3475359014369611E-2</v>
      </c>
      <c r="AO79">
        <v>2.9170702620921335E-2</v>
      </c>
      <c r="AP79">
        <v>8.1846799725363364E-2</v>
      </c>
      <c r="AQ79">
        <v>5.2462349692998213E-2</v>
      </c>
      <c r="AR79">
        <v>3.8865282069136808E-2</v>
      </c>
      <c r="AS79">
        <v>4.2814315196001082E-2</v>
      </c>
      <c r="AU79" t="s">
        <v>847</v>
      </c>
      <c r="AV79" t="s">
        <v>102</v>
      </c>
      <c r="AW79">
        <v>0.22226769977085803</v>
      </c>
      <c r="AX79">
        <v>0.25769365568711428</v>
      </c>
      <c r="AY79">
        <v>0.21294149752767161</v>
      </c>
      <c r="AZ79">
        <v>0.28614206282160853</v>
      </c>
      <c r="BA79">
        <v>0.1534101377807103</v>
      </c>
      <c r="BB79">
        <v>0.1453646114134968</v>
      </c>
      <c r="BC79">
        <v>0.17722778064667333</v>
      </c>
      <c r="BD79">
        <v>0.10326867350160258</v>
      </c>
      <c r="BE79">
        <v>7.6954664504117115E-2</v>
      </c>
      <c r="BF79">
        <v>0.30012331153911792</v>
      </c>
      <c r="BG79">
        <v>0.24036104971848699</v>
      </c>
      <c r="BH79">
        <v>0.22809486405071575</v>
      </c>
      <c r="BR79" t="s">
        <v>847</v>
      </c>
      <c r="BS79">
        <v>0.20097643886503067</v>
      </c>
      <c r="BT79">
        <v>0.21107143744160667</v>
      </c>
      <c r="BU79">
        <v>0.22417387108084033</v>
      </c>
      <c r="BV79">
        <v>0.16331381399793957</v>
      </c>
      <c r="BW79">
        <v>0.2323661338046874</v>
      </c>
      <c r="BX79">
        <v>0.21018755333892805</v>
      </c>
      <c r="BY79">
        <v>4.181647493340953E-2</v>
      </c>
      <c r="BZ79">
        <v>8.6704576301446595E-2</v>
      </c>
      <c r="CA79">
        <v>8.6559983111595892E-2</v>
      </c>
      <c r="CB79">
        <v>0.1369465605045351</v>
      </c>
      <c r="CC79">
        <v>0.14802192019755742</v>
      </c>
      <c r="CD79">
        <v>0.1670461427729488</v>
      </c>
      <c r="CF79" t="s">
        <v>839</v>
      </c>
      <c r="CG79" t="s">
        <v>108</v>
      </c>
      <c r="CH79" t="s">
        <v>109</v>
      </c>
      <c r="CI79">
        <v>0.41773091964574893</v>
      </c>
    </row>
    <row r="80" spans="2:87" x14ac:dyDescent="0.45">
      <c r="B80" t="s">
        <v>848</v>
      </c>
      <c r="C80" t="s">
        <v>99</v>
      </c>
      <c r="D80">
        <v>0.45511599036171352</v>
      </c>
      <c r="E80">
        <v>0.47335272560504216</v>
      </c>
      <c r="F80">
        <v>0.47095791284390198</v>
      </c>
      <c r="G80">
        <v>0.47697589867821943</v>
      </c>
      <c r="H80">
        <v>0.40278697795854196</v>
      </c>
      <c r="I80">
        <v>0.46956707383784546</v>
      </c>
      <c r="J80">
        <v>0.54361615975048128</v>
      </c>
      <c r="K80">
        <v>0.32242610293058438</v>
      </c>
      <c r="L80">
        <v>0.35853869303506475</v>
      </c>
      <c r="M80">
        <v>0.5288870644745749</v>
      </c>
      <c r="N80">
        <v>0.4566915634709971</v>
      </c>
      <c r="O80">
        <v>0.56468421337265451</v>
      </c>
      <c r="Q80" t="s">
        <v>848</v>
      </c>
      <c r="R80" t="s">
        <v>100</v>
      </c>
      <c r="S80">
        <v>6.2702530492526318E-2</v>
      </c>
      <c r="T80">
        <v>3.0708082974106959E-2</v>
      </c>
      <c r="U80">
        <v>2.8420433563293684E-2</v>
      </c>
      <c r="V80">
        <v>5.0192838816448017E-2</v>
      </c>
      <c r="W80">
        <v>6.2427307187770627E-2</v>
      </c>
      <c r="X80">
        <v>3.736026246301706E-2</v>
      </c>
      <c r="Y80">
        <v>6.6061511812498183E-2</v>
      </c>
      <c r="Z80">
        <v>0.16751508475622215</v>
      </c>
      <c r="AA80">
        <v>9.0416870170380192E-2</v>
      </c>
      <c r="AB80">
        <v>1.9656417431792927E-2</v>
      </c>
      <c r="AC80">
        <v>4.1151104566751126E-2</v>
      </c>
      <c r="AD80">
        <v>1.1414337495593792E-2</v>
      </c>
      <c r="AF80" t="s">
        <v>848</v>
      </c>
      <c r="AG80" t="s">
        <v>101</v>
      </c>
      <c r="AH80">
        <v>4.1799267508369813E-2</v>
      </c>
      <c r="AI80">
        <v>5.6938580239396998E-2</v>
      </c>
      <c r="AJ80">
        <v>6.2961971455379323E-2</v>
      </c>
      <c r="AK80">
        <v>5.2815240221118769E-2</v>
      </c>
      <c r="AL80">
        <v>5.4378229710244329E-2</v>
      </c>
      <c r="AM80">
        <v>7.3275594145040035E-2</v>
      </c>
      <c r="AN80">
        <v>7.4053086307186419E-2</v>
      </c>
      <c r="AO80">
        <v>9.6079585550634047E-3</v>
      </c>
      <c r="AP80">
        <v>9.579445337897334E-2</v>
      </c>
      <c r="AQ80">
        <v>9.9279831704169874E-3</v>
      </c>
      <c r="AR80">
        <v>4.5974341663275825E-2</v>
      </c>
      <c r="AS80">
        <v>8.9401690472526399E-2</v>
      </c>
      <c r="AU80" t="s">
        <v>848</v>
      </c>
      <c r="AV80" t="s">
        <v>102</v>
      </c>
      <c r="AW80">
        <v>0.21057844885873778</v>
      </c>
      <c r="AX80">
        <v>0.23047422548029661</v>
      </c>
      <c r="AY80">
        <v>0.2328780045263521</v>
      </c>
      <c r="AZ80">
        <v>0.229623946948877</v>
      </c>
      <c r="BA80">
        <v>0.17607409073282118</v>
      </c>
      <c r="BB80">
        <v>0.22735721673072187</v>
      </c>
      <c r="BC80">
        <v>0.33132292471832986</v>
      </c>
      <c r="BD80">
        <v>3.4926555910102873E-2</v>
      </c>
      <c r="BE80">
        <v>7.9060643229930158E-2</v>
      </c>
      <c r="BF80">
        <v>0.37719401436273808</v>
      </c>
      <c r="BG80">
        <v>0.26149570755944423</v>
      </c>
      <c r="BH80">
        <v>0.33237228345215958</v>
      </c>
      <c r="BR80" t="s">
        <v>848</v>
      </c>
      <c r="BS80">
        <v>0.26967558044149459</v>
      </c>
      <c r="BT80">
        <v>0.26402905104656577</v>
      </c>
      <c r="BU80">
        <v>0.22842674699901117</v>
      </c>
      <c r="BV80">
        <v>0.18593515205883204</v>
      </c>
      <c r="BW80">
        <v>0.2047202206661459</v>
      </c>
      <c r="BX80">
        <v>0.19195045429008764</v>
      </c>
      <c r="BY80">
        <v>4.2875345022963918E-2</v>
      </c>
      <c r="BZ80">
        <v>8.012126578019492E-2</v>
      </c>
      <c r="CA80">
        <v>4.700796711053979E-2</v>
      </c>
      <c r="CB80">
        <v>0.15363227841454294</v>
      </c>
      <c r="CC80">
        <v>0.14808098627370425</v>
      </c>
      <c r="CD80">
        <v>0.15509968712037786</v>
      </c>
      <c r="CF80" t="s">
        <v>841</v>
      </c>
      <c r="CG80" t="s">
        <v>108</v>
      </c>
      <c r="CH80" t="s">
        <v>109</v>
      </c>
      <c r="CI80">
        <v>0.44482502693392323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E454-3032-449D-A465-B03147688AB7}">
  <dimension ref="A9:S3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184</v>
      </c>
      <c r="C10" t="s">
        <v>185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186</v>
      </c>
      <c r="P10" t="s">
        <v>187</v>
      </c>
      <c r="Q10" t="s">
        <v>1</v>
      </c>
      <c r="R10" t="s">
        <v>188</v>
      </c>
      <c r="S10" t="s">
        <v>189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190</v>
      </c>
      <c r="H11" t="s">
        <v>191</v>
      </c>
      <c r="I11" t="s">
        <v>5</v>
      </c>
      <c r="L11" t="s">
        <v>192</v>
      </c>
      <c r="M11" t="s">
        <v>5</v>
      </c>
      <c r="N11">
        <v>0.18588074296618884</v>
      </c>
      <c r="P11">
        <v>2020</v>
      </c>
      <c r="Q11" t="s">
        <v>193</v>
      </c>
      <c r="R11">
        <v>0.29123333333333329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190</v>
      </c>
      <c r="H12" t="s">
        <v>191</v>
      </c>
      <c r="I12" t="s">
        <v>9</v>
      </c>
      <c r="L12" t="s">
        <v>192</v>
      </c>
      <c r="M12" t="s">
        <v>9</v>
      </c>
      <c r="N12">
        <v>0.11145101220772791</v>
      </c>
      <c r="P12">
        <v>2020</v>
      </c>
      <c r="Q12" t="s">
        <v>195</v>
      </c>
      <c r="R12">
        <v>0.26276666666666665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190</v>
      </c>
      <c r="H13" t="s">
        <v>191</v>
      </c>
      <c r="I13" t="s">
        <v>10</v>
      </c>
      <c r="L13" t="s">
        <v>192</v>
      </c>
      <c r="M13" t="s">
        <v>10</v>
      </c>
      <c r="N13">
        <v>0.12299412851945957</v>
      </c>
      <c r="P13">
        <v>2020</v>
      </c>
      <c r="Q13" t="s">
        <v>196</v>
      </c>
      <c r="R13">
        <v>0.17423333333333332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190</v>
      </c>
      <c r="H14" t="s">
        <v>191</v>
      </c>
      <c r="I14" t="s">
        <v>11</v>
      </c>
      <c r="L14" t="s">
        <v>192</v>
      </c>
      <c r="M14" t="s">
        <v>11</v>
      </c>
      <c r="N14">
        <v>0.17654289949211854</v>
      </c>
      <c r="P14">
        <v>2020</v>
      </c>
      <c r="Q14" t="s">
        <v>197</v>
      </c>
      <c r="R14">
        <v>0.18556666666666666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190</v>
      </c>
      <c r="H15" t="s">
        <v>191</v>
      </c>
      <c r="I15" t="s">
        <v>12</v>
      </c>
      <c r="L15" t="s">
        <v>192</v>
      </c>
      <c r="M15" t="s">
        <v>12</v>
      </c>
      <c r="N15">
        <v>0.12058395073459227</v>
      </c>
      <c r="P15">
        <v>2021</v>
      </c>
      <c r="Q15" t="s">
        <v>193</v>
      </c>
      <c r="R15">
        <v>0.34033333333333332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190</v>
      </c>
      <c r="H16" t="s">
        <v>191</v>
      </c>
      <c r="I16" t="s">
        <v>13</v>
      </c>
      <c r="L16" t="s">
        <v>192</v>
      </c>
      <c r="M16" t="s">
        <v>13</v>
      </c>
      <c r="N16">
        <v>0.1486287967681772</v>
      </c>
      <c r="P16">
        <v>2021</v>
      </c>
      <c r="Q16" t="s">
        <v>195</v>
      </c>
      <c r="R16">
        <v>0.2532666666666667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190</v>
      </c>
      <c r="H17" t="s">
        <v>191</v>
      </c>
      <c r="I17" t="s">
        <v>14</v>
      </c>
      <c r="L17" t="s">
        <v>192</v>
      </c>
      <c r="M17" t="s">
        <v>14</v>
      </c>
      <c r="N17">
        <v>0.1385405352121889</v>
      </c>
      <c r="P17">
        <v>2021</v>
      </c>
      <c r="Q17" t="s">
        <v>196</v>
      </c>
      <c r="R17">
        <v>0.18123333333333336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190</v>
      </c>
      <c r="H18" t="s">
        <v>191</v>
      </c>
      <c r="I18" t="s">
        <v>15</v>
      </c>
      <c r="L18" t="s">
        <v>192</v>
      </c>
      <c r="M18" t="s">
        <v>15</v>
      </c>
      <c r="N18">
        <v>0.1649745679878607</v>
      </c>
      <c r="P18">
        <v>2021</v>
      </c>
      <c r="Q18" t="s">
        <v>197</v>
      </c>
      <c r="R18">
        <v>0.11786666666666668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190</v>
      </c>
      <c r="H19" t="s">
        <v>191</v>
      </c>
      <c r="I19" t="s">
        <v>16</v>
      </c>
      <c r="L19" t="s">
        <v>192</v>
      </c>
      <c r="M19" t="s">
        <v>16</v>
      </c>
      <c r="N19">
        <v>0.17071330662184048</v>
      </c>
      <c r="P19">
        <v>2022</v>
      </c>
      <c r="Q19" t="s">
        <v>193</v>
      </c>
      <c r="R19">
        <v>0.18453333333333333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190</v>
      </c>
      <c r="H20" t="s">
        <v>191</v>
      </c>
      <c r="I20" t="s">
        <v>17</v>
      </c>
      <c r="L20" t="s">
        <v>192</v>
      </c>
      <c r="M20" t="s">
        <v>17</v>
      </c>
      <c r="N20">
        <v>0.17267389025019697</v>
      </c>
      <c r="P20">
        <v>2022</v>
      </c>
      <c r="Q20" t="s">
        <v>195</v>
      </c>
      <c r="R20">
        <v>0.17300000000000001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190</v>
      </c>
      <c r="H21" t="s">
        <v>191</v>
      </c>
      <c r="I21" t="s">
        <v>18</v>
      </c>
      <c r="L21" t="s">
        <v>192</v>
      </c>
      <c r="M21" t="s">
        <v>18</v>
      </c>
      <c r="N21">
        <v>0.12618564286440592</v>
      </c>
      <c r="P21">
        <v>2022</v>
      </c>
      <c r="Q21" t="s">
        <v>196</v>
      </c>
      <c r="R21">
        <v>0.11270000000000001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190</v>
      </c>
      <c r="H22" t="s">
        <v>191</v>
      </c>
      <c r="I22" t="s">
        <v>19</v>
      </c>
      <c r="L22" t="s">
        <v>192</v>
      </c>
      <c r="M22" t="s">
        <v>19</v>
      </c>
      <c r="N22">
        <v>0.14842932622202354</v>
      </c>
      <c r="P22">
        <v>2022</v>
      </c>
      <c r="Q22" t="s">
        <v>197</v>
      </c>
      <c r="R22">
        <v>0.12203333333333334</v>
      </c>
      <c r="S22" t="s">
        <v>194</v>
      </c>
    </row>
    <row r="23" spans="3:19" x14ac:dyDescent="0.45">
      <c r="H23" t="s">
        <v>198</v>
      </c>
      <c r="I23" t="s">
        <v>5</v>
      </c>
    </row>
    <row r="24" spans="3:19" x14ac:dyDescent="0.45">
      <c r="H24" t="s">
        <v>198</v>
      </c>
      <c r="I24" t="s">
        <v>9</v>
      </c>
    </row>
    <row r="25" spans="3:19" x14ac:dyDescent="0.45">
      <c r="H25" t="s">
        <v>198</v>
      </c>
      <c r="I25" t="s">
        <v>10</v>
      </c>
    </row>
    <row r="26" spans="3:19" x14ac:dyDescent="0.45">
      <c r="H26" t="s">
        <v>198</v>
      </c>
      <c r="I26" t="s">
        <v>11</v>
      </c>
    </row>
    <row r="27" spans="3:19" x14ac:dyDescent="0.45">
      <c r="H27" t="s">
        <v>198</v>
      </c>
      <c r="I27" t="s">
        <v>12</v>
      </c>
    </row>
    <row r="28" spans="3:19" x14ac:dyDescent="0.45">
      <c r="H28" t="s">
        <v>198</v>
      </c>
      <c r="I28" t="s">
        <v>13</v>
      </c>
    </row>
    <row r="29" spans="3:19" x14ac:dyDescent="0.45">
      <c r="H29" t="s">
        <v>198</v>
      </c>
      <c r="I29" t="s">
        <v>14</v>
      </c>
    </row>
    <row r="30" spans="3:19" x14ac:dyDescent="0.45">
      <c r="H30" t="s">
        <v>198</v>
      </c>
      <c r="I30" t="s">
        <v>15</v>
      </c>
    </row>
    <row r="31" spans="3:19" x14ac:dyDescent="0.45">
      <c r="H31" t="s">
        <v>198</v>
      </c>
      <c r="I31" t="s">
        <v>16</v>
      </c>
    </row>
    <row r="32" spans="3:19" x14ac:dyDescent="0.45">
      <c r="H32" t="s">
        <v>198</v>
      </c>
      <c r="I32" t="s">
        <v>17</v>
      </c>
    </row>
    <row r="33" spans="8:9" x14ac:dyDescent="0.45">
      <c r="H33" t="s">
        <v>198</v>
      </c>
      <c r="I33" t="s">
        <v>18</v>
      </c>
    </row>
    <row r="34" spans="8:9" x14ac:dyDescent="0.45">
      <c r="H34" t="s">
        <v>198</v>
      </c>
      <c r="I34" t="s">
        <v>19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3B864-56D9-402A-8DA8-C2B781E6727D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184</v>
      </c>
      <c r="B10" s="1"/>
      <c r="C10" s="1" t="s">
        <v>849</v>
      </c>
      <c r="D10" t="s">
        <v>184</v>
      </c>
    </row>
    <row r="11" spans="1:4" x14ac:dyDescent="0.45">
      <c r="B11" s="1"/>
      <c r="C11" s="1" t="s">
        <v>850</v>
      </c>
      <c r="D11" t="s">
        <v>851</v>
      </c>
    </row>
    <row r="12" spans="1:4" x14ac:dyDescent="0.45">
      <c r="B12" s="1"/>
      <c r="C12" s="1" t="s">
        <v>852</v>
      </c>
      <c r="D12" t="s">
        <v>853</v>
      </c>
    </row>
    <row r="17" spans="3:14" x14ac:dyDescent="0.45">
      <c r="I17" s="2">
        <v>0.75</v>
      </c>
      <c r="K17" s="3" t="s">
        <v>854</v>
      </c>
    </row>
    <row r="18" spans="3:14" ht="17.25" thickBot="1" x14ac:dyDescent="0.55000000000000004">
      <c r="C18" s="4" t="s">
        <v>855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856</v>
      </c>
      <c r="D22" s="5" t="s">
        <v>857</v>
      </c>
      <c r="E22" s="5" t="s">
        <v>858</v>
      </c>
      <c r="F22" s="5" t="s">
        <v>859</v>
      </c>
      <c r="G22" s="5" t="s">
        <v>860</v>
      </c>
      <c r="H22" s="5" t="s">
        <v>861</v>
      </c>
      <c r="I22" s="5" t="s">
        <v>862</v>
      </c>
      <c r="J22" s="5" t="s">
        <v>863</v>
      </c>
      <c r="K22" s="5" t="s">
        <v>864</v>
      </c>
    </row>
    <row r="23" spans="3:14" x14ac:dyDescent="0.45">
      <c r="C23" t="s">
        <v>865</v>
      </c>
      <c r="D23" t="s">
        <v>192</v>
      </c>
      <c r="E23" t="str">
        <f>G23</f>
        <v>AuxStoIN</v>
      </c>
      <c r="F23" t="s">
        <v>866</v>
      </c>
      <c r="G23" t="s">
        <v>867</v>
      </c>
      <c r="H23" t="str">
        <f>HLOOKUP($A$10,$D$10:$CU$12,3,FALSE)</f>
        <v>S2aH1,S1aH3,S3aH3,S4aH1,S2aH3,S3aH1,S1aH1,S4aH3</v>
      </c>
      <c r="I23">
        <f>1+I24</f>
        <v>0.25</v>
      </c>
      <c r="J23">
        <v>0</v>
      </c>
      <c r="K23">
        <v>3</v>
      </c>
      <c r="M23" t="s">
        <v>868</v>
      </c>
    </row>
    <row r="24" spans="3:14" x14ac:dyDescent="0.45">
      <c r="D24" t="s">
        <v>192</v>
      </c>
      <c r="E24" t="str">
        <f>G24</f>
        <v>AuxStoIN</v>
      </c>
      <c r="F24" t="s">
        <v>866</v>
      </c>
      <c r="G24" t="s">
        <v>867</v>
      </c>
      <c r="H24" t="str">
        <f>HLOOKUP($A$10,$D$10:$CU$12,2,FALSE)</f>
        <v>S4aH2,S1aH2,S2aH2,S3aH2</v>
      </c>
      <c r="I24">
        <f>-$I$17</f>
        <v>-0.75</v>
      </c>
      <c r="M24" t="s">
        <v>869</v>
      </c>
    </row>
    <row r="29" spans="3:14" ht="17.25" thickBot="1" x14ac:dyDescent="0.55000000000000004">
      <c r="I29" s="4" t="s">
        <v>870</v>
      </c>
    </row>
    <row r="30" spans="3:14" ht="15" thickTop="1" thickBot="1" x14ac:dyDescent="0.5">
      <c r="C30" s="5" t="s">
        <v>856</v>
      </c>
      <c r="D30" s="5" t="s">
        <v>871</v>
      </c>
      <c r="E30" s="5" t="s">
        <v>872</v>
      </c>
      <c r="F30" s="5" t="s">
        <v>857</v>
      </c>
      <c r="G30" s="5" t="s">
        <v>873</v>
      </c>
      <c r="H30" s="5" t="s">
        <v>860</v>
      </c>
      <c r="I30" s="5" t="s">
        <v>861</v>
      </c>
      <c r="J30" s="5" t="s">
        <v>874</v>
      </c>
      <c r="K30" s="5" t="s">
        <v>875</v>
      </c>
      <c r="L30" s="5" t="s">
        <v>876</v>
      </c>
      <c r="M30" s="5" t="s">
        <v>877</v>
      </c>
      <c r="N30" s="5" t="s">
        <v>878</v>
      </c>
    </row>
    <row r="31" spans="3:14" x14ac:dyDescent="0.45">
      <c r="C31" t="s">
        <v>879</v>
      </c>
      <c r="D31" t="s">
        <v>880</v>
      </c>
      <c r="F31" t="s">
        <v>881</v>
      </c>
      <c r="I31" t="s">
        <v>882</v>
      </c>
      <c r="J31">
        <v>1</v>
      </c>
      <c r="L31">
        <v>0</v>
      </c>
      <c r="M31">
        <v>5</v>
      </c>
      <c r="N31" t="s">
        <v>883</v>
      </c>
    </row>
    <row r="32" spans="3:14" x14ac:dyDescent="0.45">
      <c r="H32" t="s">
        <v>99</v>
      </c>
      <c r="I32" t="s">
        <v>882</v>
      </c>
      <c r="K32">
        <v>-1</v>
      </c>
    </row>
    <row r="33" spans="8:11" x14ac:dyDescent="0.45">
      <c r="H33" t="s">
        <v>884</v>
      </c>
      <c r="I33" t="s">
        <v>882</v>
      </c>
      <c r="K33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4C6E3-E11D-4487-8DA3-CC834CA0BE0F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184</v>
      </c>
      <c r="C10" t="s">
        <v>885</v>
      </c>
      <c r="D10" t="s">
        <v>886</v>
      </c>
      <c r="E10" t="s">
        <v>887</v>
      </c>
      <c r="F10" t="s">
        <v>888</v>
      </c>
      <c r="G10" t="s">
        <v>889</v>
      </c>
    </row>
    <row r="11" spans="1:7" x14ac:dyDescent="0.45">
      <c r="C11" t="s">
        <v>193</v>
      </c>
      <c r="D11" t="s">
        <v>890</v>
      </c>
      <c r="E11" t="s">
        <v>891</v>
      </c>
      <c r="F11" t="s">
        <v>892</v>
      </c>
      <c r="G11" t="s">
        <v>890</v>
      </c>
    </row>
    <row r="12" spans="1:7" x14ac:dyDescent="0.45">
      <c r="C12" t="s">
        <v>195</v>
      </c>
      <c r="E12" t="s">
        <v>893</v>
      </c>
      <c r="G12" t="s">
        <v>890</v>
      </c>
    </row>
    <row r="13" spans="1:7" x14ac:dyDescent="0.45">
      <c r="C13" t="s">
        <v>196</v>
      </c>
      <c r="E13" t="s">
        <v>894</v>
      </c>
      <c r="G13" t="s">
        <v>890</v>
      </c>
    </row>
    <row r="14" spans="1:7" x14ac:dyDescent="0.45">
      <c r="C14" t="s">
        <v>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resource_profiles_NLD</vt:lpstr>
      <vt:lpstr>firmness_NLD</vt:lpstr>
      <vt:lpstr>load_demand_peak_hydro_NLD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2026-09-03T19:16:47Z</dcterms:created>
  <dcterms:modified xsi:type="dcterms:W3CDTF">2026-09-03T19:17:01Z</dcterms:modified>
</cp:coreProperties>
</file>