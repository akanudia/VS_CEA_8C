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S_CEA_8C\SuppXLS\"/>
    </mc:Choice>
  </mc:AlternateContent>
  <xr:revisionPtr revIDLastSave="0" documentId="13_ncr:1_{02689519-D065-4A37-99F4-67FEA2B12C8A}" xr6:coauthVersionLast="47" xr6:coauthVersionMax="47" xr10:uidLastSave="{00000000-0000-0000-0000-000000000000}"/>
  <bookViews>
    <workbookView xWindow="1837" yWindow="1837" windowWidth="21600" windowHeight="12773" firstSheet="21" activeTab="25" xr2:uid="{7CE8625D-03EB-46CC-B963-5DF9AF37E379}"/>
  </bookViews>
  <sheets>
    <sheet name="resource_profiles_FRA" sheetId="2" r:id="rId1"/>
    <sheet name="firmness_FRA" sheetId="3" r:id="rId2"/>
    <sheet name="load_demand_peak_hydro_FRA" sheetId="4" r:id="rId3"/>
    <sheet name="resource_profiles_BEL" sheetId="5" r:id="rId4"/>
    <sheet name="firmness_BEL" sheetId="6" r:id="rId5"/>
    <sheet name="load_demand_peak_hydro_BEL" sheetId="7" r:id="rId6"/>
    <sheet name="resource_profiles_GBR" sheetId="8" r:id="rId7"/>
    <sheet name="firmness_GBR" sheetId="9" r:id="rId8"/>
    <sheet name="load_demand_peak_hydro_GBR" sheetId="10" r:id="rId9"/>
    <sheet name="resource_profiles_NLD" sheetId="11" r:id="rId10"/>
    <sheet name="firmness_NLD" sheetId="12" r:id="rId11"/>
    <sheet name="load_demand_peak_hydro_NLD" sheetId="13" r:id="rId12"/>
    <sheet name="resource_profiles_DEU" sheetId="14" r:id="rId13"/>
    <sheet name="firmness_DEU" sheetId="15" r:id="rId14"/>
    <sheet name="load_demand_peak_hydro_DEU" sheetId="16" r:id="rId15"/>
    <sheet name="resource_profiles_CHE" sheetId="17" r:id="rId16"/>
    <sheet name="firmness_CHE" sheetId="18" r:id="rId17"/>
    <sheet name="load_demand_peak_hydro_CHE" sheetId="19" r:id="rId18"/>
    <sheet name="resource_profiles_ITA" sheetId="20" r:id="rId19"/>
    <sheet name="firmness_ITA" sheetId="21" r:id="rId20"/>
    <sheet name="load_demand_peak_hydro_ITA" sheetId="22" r:id="rId21"/>
    <sheet name="resource_profiles_ESP" sheetId="23" r:id="rId22"/>
    <sheet name="firmness_ESP" sheetId="24" r:id="rId23"/>
    <sheet name="load_demand_peak_hydro_ESP" sheetId="25" r:id="rId24"/>
    <sheet name="ev_charging_uc" sheetId="26" r:id="rId25"/>
    <sheet name="timeslice_def" sheetId="27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7" l="1"/>
  <c r="I24" i="26"/>
  <c r="I23" i="26" s="1"/>
  <c r="H24" i="26"/>
  <c r="E24" i="26"/>
  <c r="H23" i="26"/>
  <c r="H21" i="26" s="1"/>
  <c r="E23" i="26"/>
  <c r="P9" i="25"/>
  <c r="L9" i="25"/>
  <c r="H9" i="25"/>
  <c r="C9" i="25"/>
  <c r="BI9" i="24"/>
  <c r="AU9" i="24"/>
  <c r="AF9" i="24"/>
  <c r="Q9" i="24"/>
  <c r="B9" i="24"/>
  <c r="L9" i="23"/>
  <c r="G9" i="23"/>
  <c r="B9" i="23"/>
  <c r="P9" i="22" l="1"/>
  <c r="L9" i="22"/>
  <c r="H9" i="22"/>
  <c r="C9" i="22"/>
  <c r="BI9" i="21"/>
  <c r="AU9" i="21"/>
  <c r="AF9" i="21"/>
  <c r="Q9" i="21"/>
  <c r="B9" i="21"/>
  <c r="L9" i="20"/>
  <c r="G9" i="20"/>
  <c r="B9" i="20"/>
  <c r="P9" i="19" l="1"/>
  <c r="L9" i="19"/>
  <c r="H9" i="19"/>
  <c r="C9" i="19"/>
  <c r="BI9" i="18"/>
  <c r="AU9" i="18"/>
  <c r="AF9" i="18"/>
  <c r="Q9" i="18"/>
  <c r="B9" i="18"/>
  <c r="G9" i="17"/>
  <c r="B9" i="17"/>
  <c r="P9" i="16" l="1"/>
  <c r="L9" i="16"/>
  <c r="H9" i="16"/>
  <c r="C9" i="16"/>
  <c r="BI9" i="15"/>
  <c r="AU9" i="15"/>
  <c r="AF9" i="15"/>
  <c r="Q9" i="15"/>
  <c r="B9" i="15"/>
  <c r="L9" i="14"/>
  <c r="G9" i="14"/>
  <c r="B9" i="14"/>
  <c r="P9" i="13" l="1"/>
  <c r="L9" i="13"/>
  <c r="H9" i="13"/>
  <c r="C9" i="13"/>
  <c r="BI9" i="12"/>
  <c r="AU9" i="12"/>
  <c r="AF9" i="12"/>
  <c r="Q9" i="12"/>
  <c r="B9" i="12"/>
  <c r="L9" i="11"/>
  <c r="G9" i="11"/>
  <c r="B9" i="11"/>
  <c r="P9" i="10" l="1"/>
  <c r="L9" i="10"/>
  <c r="H9" i="10"/>
  <c r="C9" i="10"/>
  <c r="BI9" i="9"/>
  <c r="AU9" i="9"/>
  <c r="AF9" i="9"/>
  <c r="Q9" i="9"/>
  <c r="B9" i="9"/>
  <c r="L9" i="8"/>
  <c r="G9" i="8"/>
  <c r="B9" i="8"/>
  <c r="P9" i="7" l="1"/>
  <c r="L9" i="7"/>
  <c r="H9" i="7"/>
  <c r="C9" i="7"/>
  <c r="BI9" i="6"/>
  <c r="AU9" i="6"/>
  <c r="AF9" i="6"/>
  <c r="Q9" i="6"/>
  <c r="B9" i="6"/>
  <c r="G9" i="5"/>
  <c r="B9" i="5"/>
  <c r="P9" i="4" l="1"/>
  <c r="L9" i="4"/>
  <c r="H9" i="4"/>
  <c r="C9" i="4"/>
  <c r="BI9" i="3"/>
  <c r="AU9" i="3"/>
  <c r="AF9" i="3"/>
  <c r="Q9" i="3"/>
  <c r="B9" i="3"/>
  <c r="L9" i="2"/>
  <c r="G9" i="2"/>
  <c r="B9" i="2"/>
</calcChain>
</file>

<file path=xl/sharedStrings.xml><?xml version="1.0" encoding="utf-8"?>
<sst xmlns="http://schemas.openxmlformats.org/spreadsheetml/2006/main" count="20049" uniqueCount="887">
  <si>
    <t>commodity</t>
  </si>
  <si>
    <t>timeslice</t>
  </si>
  <si>
    <t>com_fr</t>
  </si>
  <si>
    <t>process</t>
  </si>
  <si>
    <t>elc_spv_FRA_001</t>
  </si>
  <si>
    <t>S1aH1</t>
  </si>
  <si>
    <t>IMPNRGZ</t>
  </si>
  <si>
    <t>elc_won_FRA_001</t>
  </si>
  <si>
    <t>elc_wof_FRA_001</t>
  </si>
  <si>
    <t>S1aH2</t>
  </si>
  <si>
    <t>S1aH3</t>
  </si>
  <si>
    <t>S2aH1</t>
  </si>
  <si>
    <t>S2aH2</t>
  </si>
  <si>
    <t>S2aH3</t>
  </si>
  <si>
    <t>S3aH1</t>
  </si>
  <si>
    <t>S3aH2</t>
  </si>
  <si>
    <t>S3aH3</t>
  </si>
  <si>
    <t>S4aH1</t>
  </si>
  <si>
    <t>S4aH2</t>
  </si>
  <si>
    <t>S4aH3</t>
  </si>
  <si>
    <t>elc_spv_FRA_002</t>
  </si>
  <si>
    <t>elc_won_FRA_002</t>
  </si>
  <si>
    <t>elc_wof_FRA_002</t>
  </si>
  <si>
    <t>elc_spv_FRA_003</t>
  </si>
  <si>
    <t>elc_won_FRA_003</t>
  </si>
  <si>
    <t>elc_wof_FRA_003</t>
  </si>
  <si>
    <t>elc_spv_FRA_004</t>
  </si>
  <si>
    <t>elc_won_FRA_004</t>
  </si>
  <si>
    <t>elc_wof_FRA_004</t>
  </si>
  <si>
    <t>elc_spv_FRA_005</t>
  </si>
  <si>
    <t>elc_won_FRA_005</t>
  </si>
  <si>
    <t>elc_wof_FRA_005</t>
  </si>
  <si>
    <t>elc_spv_FRA_006</t>
  </si>
  <si>
    <t>elc_won_FRA_006</t>
  </si>
  <si>
    <t>elc_wof_FRA_006</t>
  </si>
  <si>
    <t>elc_spv_FRA_007</t>
  </si>
  <si>
    <t>elc_won_FRA_007</t>
  </si>
  <si>
    <t>elc_wof_FRA_007</t>
  </si>
  <si>
    <t>elc_spv_FRA_008</t>
  </si>
  <si>
    <t>elc_won_FRA_008</t>
  </si>
  <si>
    <t>elc_wof_FRA_008</t>
  </si>
  <si>
    <t>elc_spv_FRA_009</t>
  </si>
  <si>
    <t>elc_won_FRA_009</t>
  </si>
  <si>
    <t>elc_wof_FRA_009</t>
  </si>
  <si>
    <t>elc_spv_FRA_010</t>
  </si>
  <si>
    <t>elc_won_FRA_010</t>
  </si>
  <si>
    <t>elc_wof_FRA_010</t>
  </si>
  <si>
    <t>elc_spv_FRA_011</t>
  </si>
  <si>
    <t>elc_won_FRA_011</t>
  </si>
  <si>
    <t>elc_wof_FRA_011</t>
  </si>
  <si>
    <t>elc_spv_FRA_012</t>
  </si>
  <si>
    <t>elc_won_FRA_012</t>
  </si>
  <si>
    <t>elc_wof_FRA_012</t>
  </si>
  <si>
    <t>elc_spv_FRA_013</t>
  </si>
  <si>
    <t>elc_won_FRA_013</t>
  </si>
  <si>
    <t>elc_wof_FRA_013</t>
  </si>
  <si>
    <t>elc_spv_FRA_014</t>
  </si>
  <si>
    <t>elc_won_FRA_014</t>
  </si>
  <si>
    <t>elc_wof_FRA_014</t>
  </si>
  <si>
    <t>elc_spv_FRA_015</t>
  </si>
  <si>
    <t>elc_won_FRA_015</t>
  </si>
  <si>
    <t>elc_wof_FRA_015</t>
  </si>
  <si>
    <t>elc_spv_FRA_016</t>
  </si>
  <si>
    <t>elc_won_FRA_016</t>
  </si>
  <si>
    <t>elc_wof_FRA_016</t>
  </si>
  <si>
    <t>elc_spv_FRA_017</t>
  </si>
  <si>
    <t>elc_won_FRA_017</t>
  </si>
  <si>
    <t>elc_wof_FRA_017</t>
  </si>
  <si>
    <t>elc_spv_FRA_018</t>
  </si>
  <si>
    <t>elc_won_FRA_018</t>
  </si>
  <si>
    <t>elc_spv_FRA_019</t>
  </si>
  <si>
    <t>elc_won_FRA_019</t>
  </si>
  <si>
    <t>elc_spv_FRA_020</t>
  </si>
  <si>
    <t>elc_won_FRA_020</t>
  </si>
  <si>
    <t>elc_spv_FRA_021</t>
  </si>
  <si>
    <t>elc_won_FRA_021</t>
  </si>
  <si>
    <t>elc_spv_FRA_022</t>
  </si>
  <si>
    <t>elc_won_FRA_022</t>
  </si>
  <si>
    <t>elc_spv_FRA_023</t>
  </si>
  <si>
    <t>elc_won_FRA_023</t>
  </si>
  <si>
    <t>elc_spv_FRA_024</t>
  </si>
  <si>
    <t>elc_won_FRA_024</t>
  </si>
  <si>
    <t>elc_spv_FRA_025</t>
  </si>
  <si>
    <t>elc_won_FRA_025</t>
  </si>
  <si>
    <t>elc_spv_FRA_026</t>
  </si>
  <si>
    <t>elc_won_FRA_026</t>
  </si>
  <si>
    <t>elc_spv_FRA_027</t>
  </si>
  <si>
    <t>elc_won_FRA_027</t>
  </si>
  <si>
    <t>elc_spv_FRA_028</t>
  </si>
  <si>
    <t>elc_won_FRA_028</t>
  </si>
  <si>
    <t>elc_spv_FRA_029</t>
  </si>
  <si>
    <t>elc_spv_FRA_030</t>
  </si>
  <si>
    <t>other_indexes</t>
  </si>
  <si>
    <t>ncap_com</t>
  </si>
  <si>
    <t>distr_solelc_spv_FRA_001</t>
  </si>
  <si>
    <t>DEF_E</t>
  </si>
  <si>
    <t>distr_sol*</t>
  </si>
  <si>
    <t>ELC4H</t>
  </si>
  <si>
    <t>ELC8H</t>
  </si>
  <si>
    <t>DEF_C</t>
  </si>
  <si>
    <t>OUT</t>
  </si>
  <si>
    <t>distr_solelc_spv_FRA_002</t>
  </si>
  <si>
    <t>distr_won*</t>
  </si>
  <si>
    <t>distr_solelc_spv_FRA_003</t>
  </si>
  <si>
    <t>distr_wof*</t>
  </si>
  <si>
    <t>distr_solelc_spv_FRA_004</t>
  </si>
  <si>
    <t>distr_solelc_spv_FRA_005</t>
  </si>
  <si>
    <t>distr_solelc_spv_FRA_006</t>
  </si>
  <si>
    <t>distr_solelc_spv_FRA_007</t>
  </si>
  <si>
    <t>distr_solelc_spv_FRA_008</t>
  </si>
  <si>
    <t>distr_solelc_spv_FRA_009</t>
  </si>
  <si>
    <t>distr_solelc_spv_FRA_010</t>
  </si>
  <si>
    <t>distr_solelc_spv_FRA_011</t>
  </si>
  <si>
    <t>distr_solelc_spv_FRA_012</t>
  </si>
  <si>
    <t>distr_solelc_spv_FRA_013</t>
  </si>
  <si>
    <t>distr_solelc_spv_FRA_014</t>
  </si>
  <si>
    <t>distr_solelc_spv_FRA_015</t>
  </si>
  <si>
    <t>distr_solelc_spv_FRA_016</t>
  </si>
  <si>
    <t>distr_solelc_spv_FRA_017</t>
  </si>
  <si>
    <t>distr_solelc_spv_FRA_018</t>
  </si>
  <si>
    <t>distr_solelc_spv_FRA_019</t>
  </si>
  <si>
    <t>distr_solelc_spv_FRA_020</t>
  </si>
  <si>
    <t>distr_solelc_spv_FRA_021</t>
  </si>
  <si>
    <t>distr_solelc_spv_FRA_022</t>
  </si>
  <si>
    <t>distr_solelc_spv_FRA_023</t>
  </si>
  <si>
    <t>distr_solelc_spv_FRA_024</t>
  </si>
  <si>
    <t>distr_solelc_spv_FRA_025</t>
  </si>
  <si>
    <t>distr_solelc_spv_FRA_026</t>
  </si>
  <si>
    <t>distr_solelc_spv_FRA_027</t>
  </si>
  <si>
    <t>distr_solelc_spv_FRA_028</t>
  </si>
  <si>
    <t>distr_solelc_spv_FRA_029</t>
  </si>
  <si>
    <t>distr_solelc_spv_FRA_030</t>
  </si>
  <si>
    <t>distr_wofelc_wof_FRA_001</t>
  </si>
  <si>
    <t>distr_wonelc_won_FRA_001</t>
  </si>
  <si>
    <t>distr_wofelc_wof_FRA_002</t>
  </si>
  <si>
    <t>distr_wonelc_won_FRA_002</t>
  </si>
  <si>
    <t>distr_wofelc_wof_FRA_003</t>
  </si>
  <si>
    <t>distr_wonelc_won_FRA_003</t>
  </si>
  <si>
    <t>distr_wofelc_wof_FRA_004</t>
  </si>
  <si>
    <t>distr_wonelc_won_FRA_004</t>
  </si>
  <si>
    <t>distr_wofelc_wof_FRA_005</t>
  </si>
  <si>
    <t>distr_wonelc_won_FRA_005</t>
  </si>
  <si>
    <t>distr_wofelc_wof_FRA_006</t>
  </si>
  <si>
    <t>distr_wonelc_won_FRA_006</t>
  </si>
  <si>
    <t>distr_wofelc_wof_FRA_007</t>
  </si>
  <si>
    <t>distr_wonelc_won_FRA_007</t>
  </si>
  <si>
    <t>distr_wofelc_wof_FRA_008</t>
  </si>
  <si>
    <t>distr_wonelc_won_FRA_008</t>
  </si>
  <si>
    <t>distr_wofelc_wof_FRA_009</t>
  </si>
  <si>
    <t>distr_wonelc_won_FRA_009</t>
  </si>
  <si>
    <t>distr_wofelc_wof_FRA_010</t>
  </si>
  <si>
    <t>distr_wonelc_won_FRA_010</t>
  </si>
  <si>
    <t>distr_wofelc_wof_FRA_011</t>
  </si>
  <si>
    <t>distr_wonelc_won_FRA_011</t>
  </si>
  <si>
    <t>distr_wofelc_wof_FRA_012</t>
  </si>
  <si>
    <t>distr_wonelc_won_FRA_012</t>
  </si>
  <si>
    <t>distr_wofelc_wof_FRA_013</t>
  </si>
  <si>
    <t>distr_wonelc_won_FRA_013</t>
  </si>
  <si>
    <t>distr_wofelc_wof_FRA_014</t>
  </si>
  <si>
    <t>distr_wonelc_won_FRA_014</t>
  </si>
  <si>
    <t>distr_wofelc_wof_FRA_015</t>
  </si>
  <si>
    <t>distr_wonelc_won_FRA_015</t>
  </si>
  <si>
    <t>distr_wofelc_wof_FRA_016</t>
  </si>
  <si>
    <t>distr_wonelc_won_FRA_016</t>
  </si>
  <si>
    <t>distr_wofelc_wof_FRA_017</t>
  </si>
  <si>
    <t>distr_wonelc_won_FRA_017</t>
  </si>
  <si>
    <t>distr_wonelc_won_FRA_018</t>
  </si>
  <si>
    <t>distr_wonelc_won_FRA_019</t>
  </si>
  <si>
    <t>distr_wonelc_won_FRA_020</t>
  </si>
  <si>
    <t>distr_wonelc_won_FRA_021</t>
  </si>
  <si>
    <t>distr_wonelc_won_FRA_022</t>
  </si>
  <si>
    <t>distr_wonelc_won_FRA_023</t>
  </si>
  <si>
    <t>distr_wonelc_won_FRA_024</t>
  </si>
  <si>
    <t>distr_wonelc_won_FRA_025</t>
  </si>
  <si>
    <t>distr_wonelc_won_FRA_026</t>
  </si>
  <si>
    <t>distr_wonelc_won_FRA_027</t>
  </si>
  <si>
    <t>distr_wonelc_won_FRA_028</t>
  </si>
  <si>
    <t>ts_12</t>
  </si>
  <si>
    <t>g_yrfr</t>
  </si>
  <si>
    <t>com_pkflx</t>
  </si>
  <si>
    <t>Year</t>
  </si>
  <si>
    <t>ncap_afs</t>
  </si>
  <si>
    <t>pset_ci</t>
  </si>
  <si>
    <t>elc_roadtransport</t>
  </si>
  <si>
    <t>elc_buildings</t>
  </si>
  <si>
    <t>ELC</t>
  </si>
  <si>
    <t>S1</t>
  </si>
  <si>
    <t>hydro</t>
  </si>
  <si>
    <t>S2</t>
  </si>
  <si>
    <t>S3</t>
  </si>
  <si>
    <t>S4</t>
  </si>
  <si>
    <t>elc_industry</t>
  </si>
  <si>
    <t>elc_spv_BEL_001</t>
  </si>
  <si>
    <t>elc_won_BEL_001</t>
  </si>
  <si>
    <t>elc_spv_BEL_002</t>
  </si>
  <si>
    <t>elc_won_BEL_002</t>
  </si>
  <si>
    <t>elc_spv_BEL_003</t>
  </si>
  <si>
    <t>elc_won_BEL_003</t>
  </si>
  <si>
    <t>elc_spv_BEL_004</t>
  </si>
  <si>
    <t>elc_won_BEL_004</t>
  </si>
  <si>
    <t>elc_spv_BEL_005</t>
  </si>
  <si>
    <t>elc_won_BEL_005</t>
  </si>
  <si>
    <t>elc_spv_BEL_006</t>
  </si>
  <si>
    <t>elc_won_BEL_006</t>
  </si>
  <si>
    <t>elc_spv_BEL_007</t>
  </si>
  <si>
    <t>elc_won_BEL_007</t>
  </si>
  <si>
    <t>elc_spv_BEL_008</t>
  </si>
  <si>
    <t>elc_won_BEL_008</t>
  </si>
  <si>
    <t>elc_spv_BEL_009</t>
  </si>
  <si>
    <t>elc_won_BEL_009</t>
  </si>
  <si>
    <t>elc_spv_BEL_010</t>
  </si>
  <si>
    <t>elc_won_BEL_010</t>
  </si>
  <si>
    <t>distr_solelc_spv_BEL_001</t>
  </si>
  <si>
    <t>distr_solelc_spv_BEL_002</t>
  </si>
  <si>
    <t>distr_solelc_spv_BEL_003</t>
  </si>
  <si>
    <t>distr_solelc_spv_BEL_004</t>
  </si>
  <si>
    <t>distr_solelc_spv_BEL_005</t>
  </si>
  <si>
    <t>distr_solelc_spv_BEL_006</t>
  </si>
  <si>
    <t>distr_solelc_spv_BEL_007</t>
  </si>
  <si>
    <t>distr_solelc_spv_BEL_008</t>
  </si>
  <si>
    <t>distr_solelc_spv_BEL_009</t>
  </si>
  <si>
    <t>distr_solelc_spv_BEL_010</t>
  </si>
  <si>
    <t>distr_wonelc_won_BEL_001</t>
  </si>
  <si>
    <t>distr_wonelc_won_BEL_002</t>
  </si>
  <si>
    <t>distr_wonelc_won_BEL_003</t>
  </si>
  <si>
    <t>distr_wonelc_won_BEL_004</t>
  </si>
  <si>
    <t>distr_wonelc_won_BEL_005</t>
  </si>
  <si>
    <t>distr_wonelc_won_BEL_006</t>
  </si>
  <si>
    <t>distr_wonelc_won_BEL_007</t>
  </si>
  <si>
    <t>distr_wonelc_won_BEL_008</t>
  </si>
  <si>
    <t>distr_wonelc_won_BEL_009</t>
  </si>
  <si>
    <t>distr_wonelc_won_BEL_010</t>
  </si>
  <si>
    <t>elc_spv_GBR_001</t>
  </si>
  <si>
    <t>elc_won_GBR_001</t>
  </si>
  <si>
    <t>elc_wof_GBR_001</t>
  </si>
  <si>
    <t>elc_spv_GBR_002</t>
  </si>
  <si>
    <t>elc_won_GBR_002</t>
  </si>
  <si>
    <t>elc_wof_GBR_002</t>
  </si>
  <si>
    <t>elc_spv_GBR_003</t>
  </si>
  <si>
    <t>elc_won_GBR_003</t>
  </si>
  <si>
    <t>elc_wof_GBR_003</t>
  </si>
  <si>
    <t>elc_spv_GBR_004</t>
  </si>
  <si>
    <t>elc_won_GBR_004</t>
  </si>
  <si>
    <t>elc_wof_GBR_004</t>
  </si>
  <si>
    <t>elc_spv_GBR_005</t>
  </si>
  <si>
    <t>elc_won_GBR_005</t>
  </si>
  <si>
    <t>elc_wof_GBR_005</t>
  </si>
  <si>
    <t>elc_spv_GBR_006</t>
  </si>
  <si>
    <t>elc_won_GBR_006</t>
  </si>
  <si>
    <t>elc_wof_GBR_006</t>
  </si>
  <si>
    <t>elc_spv_GBR_007</t>
  </si>
  <si>
    <t>elc_won_GBR_007</t>
  </si>
  <si>
    <t>elc_wof_GBR_007</t>
  </si>
  <si>
    <t>elc_spv_GBR_008</t>
  </si>
  <si>
    <t>elc_won_GBR_008</t>
  </si>
  <si>
    <t>elc_wof_GBR_008</t>
  </si>
  <si>
    <t>elc_spv_GBR_009</t>
  </si>
  <si>
    <t>elc_won_GBR_009</t>
  </si>
  <si>
    <t>elc_wof_GBR_009</t>
  </si>
  <si>
    <t>elc_spv_GBR_010</t>
  </si>
  <si>
    <t>elc_won_GBR_010</t>
  </si>
  <si>
    <t>elc_wof_GBR_010</t>
  </si>
  <si>
    <t>elc_spv_GBR_011</t>
  </si>
  <si>
    <t>elc_won_GBR_011</t>
  </si>
  <si>
    <t>elc_wof_GBR_011</t>
  </si>
  <si>
    <t>elc_spv_GBR_012</t>
  </si>
  <si>
    <t>elc_won_GBR_012</t>
  </si>
  <si>
    <t>elc_wof_GBR_012</t>
  </si>
  <si>
    <t>elc_spv_GBR_013</t>
  </si>
  <si>
    <t>elc_won_GBR_013</t>
  </si>
  <si>
    <t>elc_wof_GBR_013</t>
  </si>
  <si>
    <t>elc_spv_GBR_014</t>
  </si>
  <si>
    <t>elc_won_GBR_014</t>
  </si>
  <si>
    <t>elc_wof_GBR_014</t>
  </si>
  <si>
    <t>elc_spv_GBR_015</t>
  </si>
  <si>
    <t>elc_won_GBR_015</t>
  </si>
  <si>
    <t>elc_wof_GBR_015</t>
  </si>
  <si>
    <t>elc_spv_GBR_016</t>
  </si>
  <si>
    <t>elc_won_GBR_016</t>
  </si>
  <si>
    <t>elc_wof_GBR_016</t>
  </si>
  <si>
    <t>elc_spv_GBR_017</t>
  </si>
  <si>
    <t>elc_won_GBR_017</t>
  </si>
  <si>
    <t>elc_wof_GBR_017</t>
  </si>
  <si>
    <t>elc_spv_GBR_018</t>
  </si>
  <si>
    <t>elc_won_GBR_018</t>
  </si>
  <si>
    <t>elc_wof_GBR_018</t>
  </si>
  <si>
    <t>elc_spv_GBR_019</t>
  </si>
  <si>
    <t>elc_won_GBR_019</t>
  </si>
  <si>
    <t>elc_wof_GBR_019</t>
  </si>
  <si>
    <t>elc_spv_GBR_020</t>
  </si>
  <si>
    <t>elc_won_GBR_020</t>
  </si>
  <si>
    <t>elc_wof_GBR_020</t>
  </si>
  <si>
    <t>elc_spv_GBR_021</t>
  </si>
  <si>
    <t>elc_won_GBR_021</t>
  </si>
  <si>
    <t>elc_wof_GBR_021</t>
  </si>
  <si>
    <t>elc_wof_GBR_022</t>
  </si>
  <si>
    <t>elc_wof_GBR_023</t>
  </si>
  <si>
    <t>elc_wof_GBR_024</t>
  </si>
  <si>
    <t>elc_wof_GBR_025</t>
  </si>
  <si>
    <t>elc_wof_GBR_026</t>
  </si>
  <si>
    <t>elc_wof_GBR_027</t>
  </si>
  <si>
    <t>elc_wof_GBR_028</t>
  </si>
  <si>
    <t>elc_wof_GBR_029</t>
  </si>
  <si>
    <t>elc_wof_GBR_030</t>
  </si>
  <si>
    <t>elc_wof_GBR_031</t>
  </si>
  <si>
    <t>elc_wof_GBR_032</t>
  </si>
  <si>
    <t>elc_wof_GBR_033</t>
  </si>
  <si>
    <t>elc_wof_GBR_034</t>
  </si>
  <si>
    <t>distr_solelc_spv_GBR_001</t>
  </si>
  <si>
    <t>distr_solelc_spv_GBR_002</t>
  </si>
  <si>
    <t>distr_solelc_spv_GBR_003</t>
  </si>
  <si>
    <t>distr_solelc_spv_GBR_004</t>
  </si>
  <si>
    <t>distr_solelc_spv_GBR_005</t>
  </si>
  <si>
    <t>distr_solelc_spv_GBR_006</t>
  </si>
  <si>
    <t>distr_solelc_spv_GBR_007</t>
  </si>
  <si>
    <t>distr_solelc_spv_GBR_008</t>
  </si>
  <si>
    <t>distr_solelc_spv_GBR_009</t>
  </si>
  <si>
    <t>distr_solelc_spv_GBR_010</t>
  </si>
  <si>
    <t>distr_solelc_spv_GBR_011</t>
  </si>
  <si>
    <t>distr_solelc_spv_GBR_012</t>
  </si>
  <si>
    <t>distr_solelc_spv_GBR_013</t>
  </si>
  <si>
    <t>distr_solelc_spv_GBR_014</t>
  </si>
  <si>
    <t>distr_solelc_spv_GBR_015</t>
  </si>
  <si>
    <t>distr_solelc_spv_GBR_016</t>
  </si>
  <si>
    <t>distr_solelc_spv_GBR_017</t>
  </si>
  <si>
    <t>distr_solelc_spv_GBR_018</t>
  </si>
  <si>
    <t>distr_solelc_spv_GBR_019</t>
  </si>
  <si>
    <t>distr_solelc_spv_GBR_020</t>
  </si>
  <si>
    <t>distr_solelc_spv_GBR_021</t>
  </si>
  <si>
    <t>distr_wofelc_wof_GBR_001</t>
  </si>
  <si>
    <t>distr_wonelc_won_GBR_001</t>
  </si>
  <si>
    <t>distr_wofelc_wof_GBR_002</t>
  </si>
  <si>
    <t>distr_wonelc_won_GBR_002</t>
  </si>
  <si>
    <t>distr_wofelc_wof_GBR_003</t>
  </si>
  <si>
    <t>distr_wonelc_won_GBR_003</t>
  </si>
  <si>
    <t>distr_wofelc_wof_GBR_004</t>
  </si>
  <si>
    <t>distr_wonelc_won_GBR_004</t>
  </si>
  <si>
    <t>distr_wofelc_wof_GBR_005</t>
  </si>
  <si>
    <t>distr_wonelc_won_GBR_005</t>
  </si>
  <si>
    <t>distr_wofelc_wof_GBR_006</t>
  </si>
  <si>
    <t>distr_wonelc_won_GBR_006</t>
  </si>
  <si>
    <t>distr_wofelc_wof_GBR_007</t>
  </si>
  <si>
    <t>distr_wonelc_won_GBR_007</t>
  </si>
  <si>
    <t>distr_wofelc_wof_GBR_008</t>
  </si>
  <si>
    <t>distr_wonelc_won_GBR_008</t>
  </si>
  <si>
    <t>distr_wofelc_wof_GBR_009</t>
  </si>
  <si>
    <t>distr_wonelc_won_GBR_009</t>
  </si>
  <si>
    <t>distr_wofelc_wof_GBR_010</t>
  </si>
  <si>
    <t>distr_wonelc_won_GBR_010</t>
  </si>
  <si>
    <t>distr_wofelc_wof_GBR_011</t>
  </si>
  <si>
    <t>distr_wonelc_won_GBR_011</t>
  </si>
  <si>
    <t>distr_wofelc_wof_GBR_012</t>
  </si>
  <si>
    <t>distr_wonelc_won_GBR_012</t>
  </si>
  <si>
    <t>distr_wofelc_wof_GBR_013</t>
  </si>
  <si>
    <t>distr_wonelc_won_GBR_013</t>
  </si>
  <si>
    <t>distr_wofelc_wof_GBR_014</t>
  </si>
  <si>
    <t>distr_wonelc_won_GBR_014</t>
  </si>
  <si>
    <t>distr_wofelc_wof_GBR_015</t>
  </si>
  <si>
    <t>distr_wonelc_won_GBR_015</t>
  </si>
  <si>
    <t>distr_wofelc_wof_GBR_016</t>
  </si>
  <si>
    <t>distr_wonelc_won_GBR_016</t>
  </si>
  <si>
    <t>distr_wofelc_wof_GBR_017</t>
  </si>
  <si>
    <t>distr_wonelc_won_GBR_017</t>
  </si>
  <si>
    <t>distr_wofelc_wof_GBR_018</t>
  </si>
  <si>
    <t>distr_wonelc_won_GBR_018</t>
  </si>
  <si>
    <t>distr_wofelc_wof_GBR_019</t>
  </si>
  <si>
    <t>distr_wonelc_won_GBR_019</t>
  </si>
  <si>
    <t>distr_wofelc_wof_GBR_020</t>
  </si>
  <si>
    <t>distr_wonelc_won_GBR_020</t>
  </si>
  <si>
    <t>distr_wofelc_wof_GBR_021</t>
  </si>
  <si>
    <t>distr_wonelc_won_GBR_021</t>
  </si>
  <si>
    <t>distr_wofelc_wof_GBR_022</t>
  </si>
  <si>
    <t>distr_wofelc_wof_GBR_023</t>
  </si>
  <si>
    <t>distr_wofelc_wof_GBR_024</t>
  </si>
  <si>
    <t>distr_wofelc_wof_GBR_025</t>
  </si>
  <si>
    <t>distr_wofelc_wof_GBR_026</t>
  </si>
  <si>
    <t>distr_wofelc_wof_GBR_027</t>
  </si>
  <si>
    <t>distr_wofelc_wof_GBR_028</t>
  </si>
  <si>
    <t>distr_wofelc_wof_GBR_029</t>
  </si>
  <si>
    <t>distr_wofelc_wof_GBR_030</t>
  </si>
  <si>
    <t>distr_wofelc_wof_GBR_031</t>
  </si>
  <si>
    <t>distr_wofelc_wof_GBR_032</t>
  </si>
  <si>
    <t>distr_wofelc_wof_GBR_033</t>
  </si>
  <si>
    <t>distr_wofelc_wof_GBR_034</t>
  </si>
  <si>
    <t>elc_spv_NLD_001</t>
  </si>
  <si>
    <t>elc_won_NLD_001</t>
  </si>
  <si>
    <t>elc_wof_NLD_001</t>
  </si>
  <si>
    <t>elc_spv_NLD_002</t>
  </si>
  <si>
    <t>elc_won_NLD_002</t>
  </si>
  <si>
    <t>elc_wof_NLD_002</t>
  </si>
  <si>
    <t>elc_spv_NLD_003</t>
  </si>
  <si>
    <t>elc_won_NLD_003</t>
  </si>
  <si>
    <t>elc_wof_NLD_003</t>
  </si>
  <si>
    <t>elc_spv_NLD_004</t>
  </si>
  <si>
    <t>elc_won_NLD_004</t>
  </si>
  <si>
    <t>elc_wof_NLD_004</t>
  </si>
  <si>
    <t>elc_spv_NLD_005</t>
  </si>
  <si>
    <t>elc_won_NLD_005</t>
  </si>
  <si>
    <t>elc_wof_NLD_005</t>
  </si>
  <si>
    <t>elc_spv_NLD_006</t>
  </si>
  <si>
    <t>elc_won_NLD_006</t>
  </si>
  <si>
    <t>elc_spv_NLD_007</t>
  </si>
  <si>
    <t>elc_won_NLD_007</t>
  </si>
  <si>
    <t>elc_spv_NLD_008</t>
  </si>
  <si>
    <t>elc_won_NLD_008</t>
  </si>
  <si>
    <t>elc_spv_NLD_009</t>
  </si>
  <si>
    <t>elc_won_NLD_009</t>
  </si>
  <si>
    <t>elc_spv_NLD_010</t>
  </si>
  <si>
    <t>elc_won_NLD_010</t>
  </si>
  <si>
    <t>distr_solelc_spv_NLD_001</t>
  </si>
  <si>
    <t>distr_solelc_spv_NLD_002</t>
  </si>
  <si>
    <t>distr_solelc_spv_NLD_003</t>
  </si>
  <si>
    <t>distr_solelc_spv_NLD_004</t>
  </si>
  <si>
    <t>distr_solelc_spv_NLD_005</t>
  </si>
  <si>
    <t>distr_solelc_spv_NLD_006</t>
  </si>
  <si>
    <t>distr_solelc_spv_NLD_007</t>
  </si>
  <si>
    <t>distr_solelc_spv_NLD_008</t>
  </si>
  <si>
    <t>distr_solelc_spv_NLD_009</t>
  </si>
  <si>
    <t>distr_solelc_spv_NLD_010</t>
  </si>
  <si>
    <t>distr_wofelc_wof_NLD_001</t>
  </si>
  <si>
    <t>distr_wonelc_won_NLD_001</t>
  </si>
  <si>
    <t>distr_wofelc_wof_NLD_002</t>
  </si>
  <si>
    <t>distr_wonelc_won_NLD_002</t>
  </si>
  <si>
    <t>distr_wofelc_wof_NLD_003</t>
  </si>
  <si>
    <t>distr_wonelc_won_NLD_003</t>
  </si>
  <si>
    <t>distr_wofelc_wof_NLD_004</t>
  </si>
  <si>
    <t>distr_wonelc_won_NLD_004</t>
  </si>
  <si>
    <t>distr_wofelc_wof_NLD_005</t>
  </si>
  <si>
    <t>distr_wonelc_won_NLD_005</t>
  </si>
  <si>
    <t>distr_wonelc_won_NLD_006</t>
  </si>
  <si>
    <t>distr_wonelc_won_NLD_007</t>
  </si>
  <si>
    <t>distr_wonelc_won_NLD_008</t>
  </si>
  <si>
    <t>distr_wonelc_won_NLD_009</t>
  </si>
  <si>
    <t>distr_wonelc_won_NLD_010</t>
  </si>
  <si>
    <t>elc_spv_DEU_001</t>
  </si>
  <si>
    <t>elc_won_DEU_001</t>
  </si>
  <si>
    <t>elc_wof_DEU_001</t>
  </si>
  <si>
    <t>elc_spv_DEU_002</t>
  </si>
  <si>
    <t>elc_won_DEU_002</t>
  </si>
  <si>
    <t>elc_wof_DEU_002</t>
  </si>
  <si>
    <t>elc_spv_DEU_003</t>
  </si>
  <si>
    <t>elc_won_DEU_003</t>
  </si>
  <si>
    <t>elc_wof_DEU_003</t>
  </si>
  <si>
    <t>elc_spv_DEU_004</t>
  </si>
  <si>
    <t>elc_won_DEU_004</t>
  </si>
  <si>
    <t>elc_wof_DEU_004</t>
  </si>
  <si>
    <t>elc_spv_DEU_005</t>
  </si>
  <si>
    <t>elc_won_DEU_005</t>
  </si>
  <si>
    <t>elc_wof_DEU_005</t>
  </si>
  <si>
    <t>elc_spv_DEU_006</t>
  </si>
  <si>
    <t>elc_won_DEU_006</t>
  </si>
  <si>
    <t>elc_wof_DEU_006</t>
  </si>
  <si>
    <t>elc_spv_DEU_007</t>
  </si>
  <si>
    <t>elc_won_DEU_007</t>
  </si>
  <si>
    <t>elc_wof_DEU_007</t>
  </si>
  <si>
    <t>elc_spv_DEU_008</t>
  </si>
  <si>
    <t>elc_won_DEU_008</t>
  </si>
  <si>
    <t>elc_wof_DEU_008</t>
  </si>
  <si>
    <t>elc_spv_DEU_009</t>
  </si>
  <si>
    <t>elc_won_DEU_009</t>
  </si>
  <si>
    <t>elc_wof_DEU_009</t>
  </si>
  <si>
    <t>elc_spv_DEU_010</t>
  </si>
  <si>
    <t>elc_won_DEU_010</t>
  </si>
  <si>
    <t>elc_wof_DEU_010</t>
  </si>
  <si>
    <t>elc_spv_DEU_011</t>
  </si>
  <si>
    <t>elc_won_DEU_011</t>
  </si>
  <si>
    <t>elc_spv_DEU_012</t>
  </si>
  <si>
    <t>elc_won_DEU_012</t>
  </si>
  <si>
    <t>elc_spv_DEU_013</t>
  </si>
  <si>
    <t>elc_won_DEU_013</t>
  </si>
  <si>
    <t>elc_spv_DEU_014</t>
  </si>
  <si>
    <t>elc_won_DEU_014</t>
  </si>
  <si>
    <t>elc_spv_DEU_015</t>
  </si>
  <si>
    <t>elc_won_DEU_015</t>
  </si>
  <si>
    <t>elc_spv_DEU_016</t>
  </si>
  <si>
    <t>elc_won_DEU_016</t>
  </si>
  <si>
    <t>elc_spv_DEU_017</t>
  </si>
  <si>
    <t>elc_won_DEU_017</t>
  </si>
  <si>
    <t>elc_spv_DEU_018</t>
  </si>
  <si>
    <t>elc_won_DEU_018</t>
  </si>
  <si>
    <t>elc_spv_DEU_019</t>
  </si>
  <si>
    <t>elc_won_DEU_019</t>
  </si>
  <si>
    <t>elc_spv_DEU_020</t>
  </si>
  <si>
    <t>elc_won_DEU_020</t>
  </si>
  <si>
    <t>elc_spv_DEU_021</t>
  </si>
  <si>
    <t>elc_won_DEU_021</t>
  </si>
  <si>
    <t>elc_spv_DEU_022</t>
  </si>
  <si>
    <t>elc_won_DEU_022</t>
  </si>
  <si>
    <t>elc_spv_DEU_023</t>
  </si>
  <si>
    <t>distr_solelc_spv_DEU_001</t>
  </si>
  <si>
    <t>distr_solelc_spv_DEU_002</t>
  </si>
  <si>
    <t>distr_solelc_spv_DEU_003</t>
  </si>
  <si>
    <t>distr_solelc_spv_DEU_004</t>
  </si>
  <si>
    <t>distr_solelc_spv_DEU_005</t>
  </si>
  <si>
    <t>distr_solelc_spv_DEU_006</t>
  </si>
  <si>
    <t>distr_solelc_spv_DEU_007</t>
  </si>
  <si>
    <t>distr_solelc_spv_DEU_008</t>
  </si>
  <si>
    <t>distr_solelc_spv_DEU_009</t>
  </si>
  <si>
    <t>distr_solelc_spv_DEU_010</t>
  </si>
  <si>
    <t>distr_solelc_spv_DEU_011</t>
  </si>
  <si>
    <t>distr_solelc_spv_DEU_012</t>
  </si>
  <si>
    <t>distr_solelc_spv_DEU_013</t>
  </si>
  <si>
    <t>distr_solelc_spv_DEU_014</t>
  </si>
  <si>
    <t>distr_solelc_spv_DEU_015</t>
  </si>
  <si>
    <t>distr_solelc_spv_DEU_016</t>
  </si>
  <si>
    <t>distr_solelc_spv_DEU_017</t>
  </si>
  <si>
    <t>distr_solelc_spv_DEU_018</t>
  </si>
  <si>
    <t>distr_solelc_spv_DEU_019</t>
  </si>
  <si>
    <t>distr_solelc_spv_DEU_020</t>
  </si>
  <si>
    <t>distr_solelc_spv_DEU_021</t>
  </si>
  <si>
    <t>distr_solelc_spv_DEU_022</t>
  </si>
  <si>
    <t>distr_solelc_spv_DEU_023</t>
  </si>
  <si>
    <t>distr_wofelc_wof_DEU_001</t>
  </si>
  <si>
    <t>distr_wonelc_won_DEU_001</t>
  </si>
  <si>
    <t>distr_wofelc_wof_DEU_002</t>
  </si>
  <si>
    <t>distr_wonelc_won_DEU_002</t>
  </si>
  <si>
    <t>distr_wofelc_wof_DEU_003</t>
  </si>
  <si>
    <t>distr_wonelc_won_DEU_003</t>
  </si>
  <si>
    <t>distr_wofelc_wof_DEU_004</t>
  </si>
  <si>
    <t>distr_wonelc_won_DEU_004</t>
  </si>
  <si>
    <t>distr_wofelc_wof_DEU_005</t>
  </si>
  <si>
    <t>distr_wonelc_won_DEU_005</t>
  </si>
  <si>
    <t>distr_wofelc_wof_DEU_006</t>
  </si>
  <si>
    <t>distr_wonelc_won_DEU_006</t>
  </si>
  <si>
    <t>distr_wofelc_wof_DEU_007</t>
  </si>
  <si>
    <t>distr_wonelc_won_DEU_007</t>
  </si>
  <si>
    <t>distr_wofelc_wof_DEU_008</t>
  </si>
  <si>
    <t>distr_wonelc_won_DEU_008</t>
  </si>
  <si>
    <t>distr_wofelc_wof_DEU_009</t>
  </si>
  <si>
    <t>distr_wonelc_won_DEU_009</t>
  </si>
  <si>
    <t>distr_wofelc_wof_DEU_010</t>
  </si>
  <si>
    <t>distr_wonelc_won_DEU_010</t>
  </si>
  <si>
    <t>distr_wonelc_won_DEU_011</t>
  </si>
  <si>
    <t>distr_wonelc_won_DEU_012</t>
  </si>
  <si>
    <t>distr_wonelc_won_DEU_013</t>
  </si>
  <si>
    <t>distr_wonelc_won_DEU_014</t>
  </si>
  <si>
    <t>distr_wonelc_won_DEU_015</t>
  </si>
  <si>
    <t>distr_wonelc_won_DEU_016</t>
  </si>
  <si>
    <t>distr_wonelc_won_DEU_017</t>
  </si>
  <si>
    <t>distr_wonelc_won_DEU_018</t>
  </si>
  <si>
    <t>distr_wonelc_won_DEU_019</t>
  </si>
  <si>
    <t>distr_wonelc_won_DEU_020</t>
  </si>
  <si>
    <t>distr_wonelc_won_DEU_021</t>
  </si>
  <si>
    <t>distr_wonelc_won_DEU_022</t>
  </si>
  <si>
    <t>elc_spv_CHE_001</t>
  </si>
  <si>
    <t>elc_won_CHE_001</t>
  </si>
  <si>
    <t>elc_spv_CHE_002</t>
  </si>
  <si>
    <t>elc_won_CHE_002</t>
  </si>
  <si>
    <t>elc_spv_CHE_003</t>
  </si>
  <si>
    <t>elc_won_CHE_003</t>
  </si>
  <si>
    <t>elc_spv_CHE_004</t>
  </si>
  <si>
    <t>elc_won_CHE_004</t>
  </si>
  <si>
    <t>elc_spv_CHE_005</t>
  </si>
  <si>
    <t>elc_won_CHE_005</t>
  </si>
  <si>
    <t>elc_spv_CHE_006</t>
  </si>
  <si>
    <t>elc_won_CHE_006</t>
  </si>
  <si>
    <t>elc_spv_CHE_007</t>
  </si>
  <si>
    <t>elc_spv_CHE_008</t>
  </si>
  <si>
    <t>elc_spv_CHE_009</t>
  </si>
  <si>
    <t>elc_spv_CHE_010</t>
  </si>
  <si>
    <t>distr_solelc_spv_CHE_001</t>
  </si>
  <si>
    <t>distr_solelc_spv_CHE_002</t>
  </si>
  <si>
    <t>distr_solelc_spv_CHE_003</t>
  </si>
  <si>
    <t>distr_solelc_spv_CHE_004</t>
  </si>
  <si>
    <t>distr_solelc_spv_CHE_005</t>
  </si>
  <si>
    <t>distr_solelc_spv_CHE_006</t>
  </si>
  <si>
    <t>distr_solelc_spv_CHE_007</t>
  </si>
  <si>
    <t>distr_solelc_spv_CHE_008</t>
  </si>
  <si>
    <t>distr_solelc_spv_CHE_009</t>
  </si>
  <si>
    <t>distr_solelc_spv_CHE_010</t>
  </si>
  <si>
    <t>distr_wonelc_won_CHE_001</t>
  </si>
  <si>
    <t>distr_wonelc_won_CHE_002</t>
  </si>
  <si>
    <t>distr_wonelc_won_CHE_003</t>
  </si>
  <si>
    <t>distr_wonelc_won_CHE_004</t>
  </si>
  <si>
    <t>distr_wonelc_won_CHE_005</t>
  </si>
  <si>
    <t>distr_wonelc_won_CHE_006</t>
  </si>
  <si>
    <t>elc_spv_ITA_001</t>
  </si>
  <si>
    <t>elc_won_ITA_001</t>
  </si>
  <si>
    <t>elc_wof_ITA_001</t>
  </si>
  <si>
    <t>elc_spv_ITA_002</t>
  </si>
  <si>
    <t>elc_won_ITA_002</t>
  </si>
  <si>
    <t>elc_wof_ITA_002</t>
  </si>
  <si>
    <t>elc_spv_ITA_003</t>
  </si>
  <si>
    <t>elc_won_ITA_003</t>
  </si>
  <si>
    <t>elc_wof_ITA_003</t>
  </si>
  <si>
    <t>elc_spv_ITA_004</t>
  </si>
  <si>
    <t>elc_won_ITA_004</t>
  </si>
  <si>
    <t>elc_wof_ITA_004</t>
  </si>
  <si>
    <t>elc_spv_ITA_005</t>
  </si>
  <si>
    <t>elc_won_ITA_005</t>
  </si>
  <si>
    <t>elc_wof_ITA_005</t>
  </si>
  <si>
    <t>elc_spv_ITA_006</t>
  </si>
  <si>
    <t>elc_won_ITA_006</t>
  </si>
  <si>
    <t>elc_wof_ITA_006</t>
  </si>
  <si>
    <t>elc_spv_ITA_007</t>
  </si>
  <si>
    <t>elc_won_ITA_007</t>
  </si>
  <si>
    <t>elc_wof_ITA_007</t>
  </si>
  <si>
    <t>elc_spv_ITA_008</t>
  </si>
  <si>
    <t>elc_won_ITA_008</t>
  </si>
  <si>
    <t>elc_wof_ITA_008</t>
  </si>
  <si>
    <t>elc_spv_ITA_009</t>
  </si>
  <si>
    <t>elc_won_ITA_009</t>
  </si>
  <si>
    <t>elc_wof_ITA_009</t>
  </si>
  <si>
    <t>elc_spv_ITA_010</t>
  </si>
  <si>
    <t>elc_won_ITA_010</t>
  </si>
  <si>
    <t>elc_wof_ITA_010</t>
  </si>
  <si>
    <t>elc_spv_ITA_011</t>
  </si>
  <si>
    <t>elc_won_ITA_011</t>
  </si>
  <si>
    <t>elc_wof_ITA_011</t>
  </si>
  <si>
    <t>elc_spv_ITA_012</t>
  </si>
  <si>
    <t>elc_won_ITA_012</t>
  </si>
  <si>
    <t>elc_wof_ITA_012</t>
  </si>
  <si>
    <t>elc_spv_ITA_013</t>
  </si>
  <si>
    <t>elc_won_ITA_013</t>
  </si>
  <si>
    <t>elc_wof_ITA_013</t>
  </si>
  <si>
    <t>elc_spv_ITA_014</t>
  </si>
  <si>
    <t>elc_won_ITA_014</t>
  </si>
  <si>
    <t>elc_wof_ITA_014</t>
  </si>
  <si>
    <t>elc_spv_ITA_015</t>
  </si>
  <si>
    <t>elc_won_ITA_015</t>
  </si>
  <si>
    <t>elc_wof_ITA_015</t>
  </si>
  <si>
    <t>elc_spv_ITA_016</t>
  </si>
  <si>
    <t>elc_won_ITA_016</t>
  </si>
  <si>
    <t>elc_wof_ITA_016</t>
  </si>
  <si>
    <t>elc_spv_ITA_017</t>
  </si>
  <si>
    <t>elc_won_ITA_017</t>
  </si>
  <si>
    <t>elc_wof_ITA_017</t>
  </si>
  <si>
    <t>elc_spv_ITA_018</t>
  </si>
  <si>
    <t>elc_won_ITA_018</t>
  </si>
  <si>
    <t>elc_wof_ITA_018</t>
  </si>
  <si>
    <t>elc_spv_ITA_019</t>
  </si>
  <si>
    <t>elc_won_ITA_019</t>
  </si>
  <si>
    <t>elc_wof_ITA_019</t>
  </si>
  <si>
    <t>elc_spv_ITA_020</t>
  </si>
  <si>
    <t>elc_wof_ITA_020</t>
  </si>
  <si>
    <t>elc_spv_ITA_021</t>
  </si>
  <si>
    <t>elc_spv_ITA_022</t>
  </si>
  <si>
    <t>elc_spv_ITA_023</t>
  </si>
  <si>
    <t>elc_spv_ITA_024</t>
  </si>
  <si>
    <t>distr_solelc_spv_ITA_001</t>
  </si>
  <si>
    <t>distr_solelc_spv_ITA_002</t>
  </si>
  <si>
    <t>distr_solelc_spv_ITA_003</t>
  </si>
  <si>
    <t>distr_solelc_spv_ITA_004</t>
  </si>
  <si>
    <t>distr_solelc_spv_ITA_005</t>
  </si>
  <si>
    <t>distr_solelc_spv_ITA_006</t>
  </si>
  <si>
    <t>distr_solelc_spv_ITA_007</t>
  </si>
  <si>
    <t>distr_solelc_spv_ITA_008</t>
  </si>
  <si>
    <t>distr_solelc_spv_ITA_009</t>
  </si>
  <si>
    <t>distr_solelc_spv_ITA_010</t>
  </si>
  <si>
    <t>distr_solelc_spv_ITA_011</t>
  </si>
  <si>
    <t>distr_solelc_spv_ITA_012</t>
  </si>
  <si>
    <t>distr_solelc_spv_ITA_013</t>
  </si>
  <si>
    <t>distr_solelc_spv_ITA_014</t>
  </si>
  <si>
    <t>distr_solelc_spv_ITA_015</t>
  </si>
  <si>
    <t>distr_solelc_spv_ITA_016</t>
  </si>
  <si>
    <t>distr_solelc_spv_ITA_017</t>
  </si>
  <si>
    <t>distr_solelc_spv_ITA_018</t>
  </si>
  <si>
    <t>distr_solelc_spv_ITA_019</t>
  </si>
  <si>
    <t>distr_solelc_spv_ITA_020</t>
  </si>
  <si>
    <t>distr_solelc_spv_ITA_021</t>
  </si>
  <si>
    <t>distr_solelc_spv_ITA_022</t>
  </si>
  <si>
    <t>distr_solelc_spv_ITA_023</t>
  </si>
  <si>
    <t>distr_solelc_spv_ITA_024</t>
  </si>
  <si>
    <t>distr_wofelc_wof_ITA_001</t>
  </si>
  <si>
    <t>distr_wonelc_won_ITA_001</t>
  </si>
  <si>
    <t>distr_wofelc_wof_ITA_002</t>
  </si>
  <si>
    <t>distr_wonelc_won_ITA_002</t>
  </si>
  <si>
    <t>distr_wofelc_wof_ITA_003</t>
  </si>
  <si>
    <t>distr_wonelc_won_ITA_003</t>
  </si>
  <si>
    <t>distr_wofelc_wof_ITA_004</t>
  </si>
  <si>
    <t>distr_wonelc_won_ITA_004</t>
  </si>
  <si>
    <t>distr_wofelc_wof_ITA_005</t>
  </si>
  <si>
    <t>distr_wonelc_won_ITA_005</t>
  </si>
  <si>
    <t>distr_wofelc_wof_ITA_006</t>
  </si>
  <si>
    <t>distr_wonelc_won_ITA_006</t>
  </si>
  <si>
    <t>distr_wofelc_wof_ITA_007</t>
  </si>
  <si>
    <t>distr_wonelc_won_ITA_007</t>
  </si>
  <si>
    <t>distr_wofelc_wof_ITA_008</t>
  </si>
  <si>
    <t>distr_wonelc_won_ITA_008</t>
  </si>
  <si>
    <t>distr_wofelc_wof_ITA_009</t>
  </si>
  <si>
    <t>distr_wonelc_won_ITA_009</t>
  </si>
  <si>
    <t>distr_wofelc_wof_ITA_010</t>
  </si>
  <si>
    <t>distr_wonelc_won_ITA_010</t>
  </si>
  <si>
    <t>distr_wofelc_wof_ITA_011</t>
  </si>
  <si>
    <t>distr_wonelc_won_ITA_011</t>
  </si>
  <si>
    <t>distr_wofelc_wof_ITA_012</t>
  </si>
  <si>
    <t>distr_wonelc_won_ITA_012</t>
  </si>
  <si>
    <t>distr_wofelc_wof_ITA_013</t>
  </si>
  <si>
    <t>distr_wonelc_won_ITA_013</t>
  </si>
  <si>
    <t>distr_wofelc_wof_ITA_014</t>
  </si>
  <si>
    <t>distr_wonelc_won_ITA_014</t>
  </si>
  <si>
    <t>distr_wofelc_wof_ITA_015</t>
  </si>
  <si>
    <t>distr_wonelc_won_ITA_015</t>
  </si>
  <si>
    <t>distr_wofelc_wof_ITA_016</t>
  </si>
  <si>
    <t>distr_wonelc_won_ITA_016</t>
  </si>
  <si>
    <t>distr_wofelc_wof_ITA_017</t>
  </si>
  <si>
    <t>distr_wonelc_won_ITA_017</t>
  </si>
  <si>
    <t>distr_wofelc_wof_ITA_018</t>
  </si>
  <si>
    <t>distr_wonelc_won_ITA_018</t>
  </si>
  <si>
    <t>distr_wofelc_wof_ITA_019</t>
  </si>
  <si>
    <t>distr_wonelc_won_ITA_019</t>
  </si>
  <si>
    <t>distr_wofelc_wof_ITA_020</t>
  </si>
  <si>
    <t>elc_spv_ESP_001</t>
  </si>
  <si>
    <t>elc_won_ESP_001</t>
  </si>
  <si>
    <t>elc_wof_ESP_001</t>
  </si>
  <si>
    <t>elc_spv_ESP_002</t>
  </si>
  <si>
    <t>elc_won_ESP_002</t>
  </si>
  <si>
    <t>elc_wof_ESP_002</t>
  </si>
  <si>
    <t>elc_spv_ESP_003</t>
  </si>
  <si>
    <t>elc_won_ESP_003</t>
  </si>
  <si>
    <t>elc_wof_ESP_003</t>
  </si>
  <si>
    <t>elc_spv_ESP_004</t>
  </si>
  <si>
    <t>elc_won_ESP_004</t>
  </si>
  <si>
    <t>elc_wof_ESP_004</t>
  </si>
  <si>
    <t>elc_spv_ESP_005</t>
  </si>
  <si>
    <t>elc_won_ESP_005</t>
  </si>
  <si>
    <t>elc_wof_ESP_005</t>
  </si>
  <si>
    <t>elc_spv_ESP_006</t>
  </si>
  <si>
    <t>elc_won_ESP_006</t>
  </si>
  <si>
    <t>elc_wof_ESP_006</t>
  </si>
  <si>
    <t>elc_spv_ESP_007</t>
  </si>
  <si>
    <t>elc_won_ESP_007</t>
  </si>
  <si>
    <t>elc_wof_ESP_007</t>
  </si>
  <si>
    <t>elc_spv_ESP_008</t>
  </si>
  <si>
    <t>elc_won_ESP_008</t>
  </si>
  <si>
    <t>elc_wof_ESP_008</t>
  </si>
  <si>
    <t>elc_spv_ESP_009</t>
  </si>
  <si>
    <t>elc_won_ESP_009</t>
  </si>
  <si>
    <t>elc_wof_ESP_009</t>
  </si>
  <si>
    <t>elc_spv_ESP_010</t>
  </si>
  <si>
    <t>elc_won_ESP_010</t>
  </si>
  <si>
    <t>elc_wof_ESP_010</t>
  </si>
  <si>
    <t>elc_spv_ESP_011</t>
  </si>
  <si>
    <t>elc_won_ESP_011</t>
  </si>
  <si>
    <t>elc_wof_ESP_011</t>
  </si>
  <si>
    <t>elc_spv_ESP_012</t>
  </si>
  <si>
    <t>elc_won_ESP_012</t>
  </si>
  <si>
    <t>elc_wof_ESP_012</t>
  </si>
  <si>
    <t>elc_spv_ESP_013</t>
  </si>
  <si>
    <t>elc_won_ESP_013</t>
  </si>
  <si>
    <t>elc_wof_ESP_013</t>
  </si>
  <si>
    <t>elc_spv_ESP_014</t>
  </si>
  <si>
    <t>elc_won_ESP_014</t>
  </si>
  <si>
    <t>elc_wof_ESP_014</t>
  </si>
  <si>
    <t>elc_spv_ESP_015</t>
  </si>
  <si>
    <t>elc_won_ESP_015</t>
  </si>
  <si>
    <t>elc_wof_ESP_015</t>
  </si>
  <si>
    <t>elc_spv_ESP_016</t>
  </si>
  <si>
    <t>elc_won_ESP_016</t>
  </si>
  <si>
    <t>elc_wof_ESP_016</t>
  </si>
  <si>
    <t>elc_spv_ESP_017</t>
  </si>
  <si>
    <t>elc_won_ESP_017</t>
  </si>
  <si>
    <t>elc_wof_ESP_017</t>
  </si>
  <si>
    <t>elc_spv_ESP_018</t>
  </si>
  <si>
    <t>elc_won_ESP_018</t>
  </si>
  <si>
    <t>elc_wof_ESP_018</t>
  </si>
  <si>
    <t>elc_spv_ESP_019</t>
  </si>
  <si>
    <t>elc_won_ESP_019</t>
  </si>
  <si>
    <t>elc_wof_ESP_019</t>
  </si>
  <si>
    <t>elc_spv_ESP_020</t>
  </si>
  <si>
    <t>elc_won_ESP_020</t>
  </si>
  <si>
    <t>elc_spv_ESP_021</t>
  </si>
  <si>
    <t>elc_won_ESP_021</t>
  </si>
  <si>
    <t>elc_spv_ESP_022</t>
  </si>
  <si>
    <t>elc_won_ESP_022</t>
  </si>
  <si>
    <t>elc_spv_ESP_023</t>
  </si>
  <si>
    <t>elc_won_ESP_023</t>
  </si>
  <si>
    <t>elc_spv_ESP_024</t>
  </si>
  <si>
    <t>elc_won_ESP_024</t>
  </si>
  <si>
    <t>elc_spv_ESP_025</t>
  </si>
  <si>
    <t>elc_won_ESP_025</t>
  </si>
  <si>
    <t>elc_spv_ESP_026</t>
  </si>
  <si>
    <t>distr_solelc_spv_ESP_001</t>
  </si>
  <si>
    <t>distr_solelc_spv_ESP_002</t>
  </si>
  <si>
    <t>distr_solelc_spv_ESP_003</t>
  </si>
  <si>
    <t>distr_solelc_spv_ESP_004</t>
  </si>
  <si>
    <t>distr_solelc_spv_ESP_005</t>
  </si>
  <si>
    <t>distr_solelc_spv_ESP_006</t>
  </si>
  <si>
    <t>distr_solelc_spv_ESP_007</t>
  </si>
  <si>
    <t>distr_solelc_spv_ESP_008</t>
  </si>
  <si>
    <t>distr_solelc_spv_ESP_009</t>
  </si>
  <si>
    <t>distr_solelc_spv_ESP_010</t>
  </si>
  <si>
    <t>distr_solelc_spv_ESP_011</t>
  </si>
  <si>
    <t>distr_solelc_spv_ESP_012</t>
  </si>
  <si>
    <t>distr_solelc_spv_ESP_013</t>
  </si>
  <si>
    <t>distr_solelc_spv_ESP_014</t>
  </si>
  <si>
    <t>distr_solelc_spv_ESP_015</t>
  </si>
  <si>
    <t>distr_solelc_spv_ESP_016</t>
  </si>
  <si>
    <t>distr_solelc_spv_ESP_017</t>
  </si>
  <si>
    <t>distr_solelc_spv_ESP_018</t>
  </si>
  <si>
    <t>distr_solelc_spv_ESP_019</t>
  </si>
  <si>
    <t>distr_solelc_spv_ESP_020</t>
  </si>
  <si>
    <t>distr_solelc_spv_ESP_021</t>
  </si>
  <si>
    <t>distr_solelc_spv_ESP_022</t>
  </si>
  <si>
    <t>distr_solelc_spv_ESP_023</t>
  </si>
  <si>
    <t>distr_solelc_spv_ESP_024</t>
  </si>
  <si>
    <t>distr_solelc_spv_ESP_025</t>
  </si>
  <si>
    <t>distr_solelc_spv_ESP_026</t>
  </si>
  <si>
    <t>distr_wofelc_wof_ESP_001</t>
  </si>
  <si>
    <t>distr_wonelc_won_ESP_001</t>
  </si>
  <si>
    <t>distr_wofelc_wof_ESP_002</t>
  </si>
  <si>
    <t>distr_wonelc_won_ESP_002</t>
  </si>
  <si>
    <t>distr_wofelc_wof_ESP_003</t>
  </si>
  <si>
    <t>distr_wonelc_won_ESP_003</t>
  </si>
  <si>
    <t>distr_wofelc_wof_ESP_004</t>
  </si>
  <si>
    <t>distr_wonelc_won_ESP_004</t>
  </si>
  <si>
    <t>distr_wofelc_wof_ESP_005</t>
  </si>
  <si>
    <t>distr_wonelc_won_ESP_005</t>
  </si>
  <si>
    <t>distr_wofelc_wof_ESP_006</t>
  </si>
  <si>
    <t>distr_wonelc_won_ESP_006</t>
  </si>
  <si>
    <t>distr_wofelc_wof_ESP_007</t>
  </si>
  <si>
    <t>distr_wonelc_won_ESP_007</t>
  </si>
  <si>
    <t>distr_wofelc_wof_ESP_008</t>
  </si>
  <si>
    <t>distr_wonelc_won_ESP_008</t>
  </si>
  <si>
    <t>distr_wofelc_wof_ESP_009</t>
  </si>
  <si>
    <t>distr_wonelc_won_ESP_009</t>
  </si>
  <si>
    <t>distr_wofelc_wof_ESP_010</t>
  </si>
  <si>
    <t>distr_wonelc_won_ESP_010</t>
  </si>
  <si>
    <t>distr_wofelc_wof_ESP_011</t>
  </si>
  <si>
    <t>distr_wonelc_won_ESP_011</t>
  </si>
  <si>
    <t>distr_wofelc_wof_ESP_012</t>
  </si>
  <si>
    <t>distr_wonelc_won_ESP_012</t>
  </si>
  <si>
    <t>distr_wofelc_wof_ESP_013</t>
  </si>
  <si>
    <t>distr_wonelc_won_ESP_013</t>
  </si>
  <si>
    <t>distr_wofelc_wof_ESP_014</t>
  </si>
  <si>
    <t>distr_wonelc_won_ESP_014</t>
  </si>
  <si>
    <t>distr_wofelc_wof_ESP_015</t>
  </si>
  <si>
    <t>distr_wonelc_won_ESP_015</t>
  </si>
  <si>
    <t>distr_wofelc_wof_ESP_016</t>
  </si>
  <si>
    <t>distr_wonelc_won_ESP_016</t>
  </si>
  <si>
    <t>distr_wofelc_wof_ESP_017</t>
  </si>
  <si>
    <t>distr_wonelc_won_ESP_017</t>
  </si>
  <si>
    <t>distr_wofelc_wof_ESP_018</t>
  </si>
  <si>
    <t>distr_wonelc_won_ESP_018</t>
  </si>
  <si>
    <t>distr_wofelc_wof_ESP_019</t>
  </si>
  <si>
    <t>distr_wonelc_won_ESP_019</t>
  </si>
  <si>
    <t>distr_wonelc_won_ESP_020</t>
  </si>
  <si>
    <t>distr_wonelc_won_ESP_021</t>
  </si>
  <si>
    <t>distr_wonelc_won_ESP_022</t>
  </si>
  <si>
    <t>distr_wonelc_won_ESP_023</t>
  </si>
  <si>
    <t>distr_wonelc_won_ESP_024</t>
  </si>
  <si>
    <t>distr_wonelc_won_ESP_025</t>
  </si>
  <si>
    <t>day_night</t>
  </si>
  <si>
    <t>D</t>
  </si>
  <si>
    <t>S3aH2,S1aH2,S2aH2,S4aH2</t>
  </si>
  <si>
    <t>N</t>
  </si>
  <si>
    <t>S1aH1,S4aH3,S1aH3,S2aH3,S3aH3,S4aH1,S2aH1,S3aH1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</si>
  <si>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</si>
  <si>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</si>
  <si>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</si>
  <si>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</si>
  <si>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</si>
  <si>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</si>
  <si>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</si>
  <si>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</si>
  <si>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</si>
  <si>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</si>
  <si>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</si>
  <si>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</si>
  <si>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</si>
  <si>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</si>
  <si>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</si>
  <si>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</si>
  <si>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</si>
  <si>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</si>
  <si>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</si>
  <si>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</si>
  <si>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</si>
  <si>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</si>
  <si>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</si>
  <si>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</si>
  <si>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</si>
  <si>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</si>
  <si>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</si>
  <si>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</si>
  <si>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</si>
  <si>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</si>
  <si>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season</t>
  </si>
  <si>
    <t>weekly</t>
  </si>
  <si>
    <t>daynite</t>
  </si>
  <si>
    <t>wparent</t>
  </si>
  <si>
    <t>dparent</t>
  </si>
  <si>
    <t>a</t>
  </si>
  <si>
    <t>H1</t>
  </si>
  <si>
    <t>S1,S2,S3,S4</t>
  </si>
  <si>
    <t>H2</t>
  </si>
  <si>
    <t>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</si>
</sst>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3" fillId="2" borderId="3" applyNumberFormat="0" applyAlignment="0" applyProtection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6">
    <xf numFmtId="0" fontId="0" fillId="0" borderId="0" xfId="0"/>
    <xf numFmtId="0" fontId="0" fillId="3" borderId="0" xfId="0" applyFill="1"/>
    <xf numFmtId="0" fontId="3" fillId="2" borderId="3" xfId="1"/>
    <xf numFmtId="0" fontId="4" fillId="0" borderId="0" xfId="0" applyFont="1"/>
    <xf numFmtId="0" fontId="1" fillId="0" borderId="1" xfId="2"/>
    <xf numFmtId="0" fontId="2" fillId="0" borderId="2" xfId="3"/>
  </cellXfs>
  <cellStyles count="4">
    <cellStyle name="Heading 2 2" xfId="2" xr:uid="{DBBF3ED8-CA8D-4EE1-A06A-BFF45818C485}"/>
    <cellStyle name="Heading 3 2" xfId="3" xr:uid="{159DBE93-F63F-4CDA-B491-B0C5F9F663AD}"/>
    <cellStyle name="Input 2" xfId="1" xr:uid="{7C8CFA58-74BB-4754-B532-580F60CB57F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57FD-8466-4CDD-A4CA-9FC8B7303805}">
  <dimension ref="B9:O370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region=FRA")</f>
        <v>~TFM_DINS-AT: region=FRA</v>
      </c>
      <c r="G9" t="str">
        <f>IF(A11="x","DeActivated","~TFM_DINS-AT: region=FRA")</f>
        <v>~TFM_DINS-AT: region=FRA</v>
      </c>
      <c r="L9" t="str">
        <f>IF(A11="x","DeActivated","~TFM_DINS-AT: region=FRA")</f>
        <v>~TFM_DINS-AT: region=FRA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4</v>
      </c>
      <c r="C11" t="s">
        <v>5</v>
      </c>
      <c r="D11">
        <v>0</v>
      </c>
      <c r="E11" t="s">
        <v>6</v>
      </c>
      <c r="G11" t="s">
        <v>7</v>
      </c>
      <c r="H11" t="s">
        <v>5</v>
      </c>
      <c r="I11">
        <v>0.10741412935315871</v>
      </c>
      <c r="J11" t="s">
        <v>6</v>
      </c>
      <c r="L11" t="s">
        <v>8</v>
      </c>
      <c r="M11" t="s">
        <v>5</v>
      </c>
      <c r="N11">
        <v>9.3748994206303879E-2</v>
      </c>
      <c r="O11" t="s">
        <v>6</v>
      </c>
    </row>
    <row r="12" spans="2:15" x14ac:dyDescent="0.45">
      <c r="B12" t="s">
        <v>4</v>
      </c>
      <c r="C12" t="s">
        <v>9</v>
      </c>
      <c r="D12">
        <v>0.15041943497396223</v>
      </c>
      <c r="E12" t="s">
        <v>6</v>
      </c>
      <c r="G12" t="s">
        <v>7</v>
      </c>
      <c r="H12" t="s">
        <v>9</v>
      </c>
      <c r="I12">
        <v>0.12893310765217683</v>
      </c>
      <c r="J12" t="s">
        <v>6</v>
      </c>
      <c r="L12" t="s">
        <v>8</v>
      </c>
      <c r="M12" t="s">
        <v>9</v>
      </c>
      <c r="N12">
        <v>0.11025272457889979</v>
      </c>
      <c r="O12" t="s">
        <v>6</v>
      </c>
    </row>
    <row r="13" spans="2:15" x14ac:dyDescent="0.45">
      <c r="B13" t="s">
        <v>4</v>
      </c>
      <c r="C13" t="s">
        <v>10</v>
      </c>
      <c r="D13">
        <v>2.2965286223447933E-3</v>
      </c>
      <c r="E13" t="s">
        <v>6</v>
      </c>
      <c r="G13" t="s">
        <v>7</v>
      </c>
      <c r="H13" t="s">
        <v>10</v>
      </c>
      <c r="I13">
        <v>8.6459631037642676E-2</v>
      </c>
      <c r="J13" t="s">
        <v>6</v>
      </c>
      <c r="L13" t="s">
        <v>8</v>
      </c>
      <c r="M13" t="s">
        <v>10</v>
      </c>
      <c r="N13">
        <v>7.1419887049679276E-2</v>
      </c>
      <c r="O13" t="s">
        <v>6</v>
      </c>
    </row>
    <row r="14" spans="2:15" x14ac:dyDescent="0.45">
      <c r="B14" t="s">
        <v>4</v>
      </c>
      <c r="C14" t="s">
        <v>11</v>
      </c>
      <c r="D14">
        <v>8.6962477394345126E-4</v>
      </c>
      <c r="E14" t="s">
        <v>6</v>
      </c>
      <c r="G14" t="s">
        <v>7</v>
      </c>
      <c r="H14" t="s">
        <v>11</v>
      </c>
      <c r="I14">
        <v>8.0334813917243952E-2</v>
      </c>
      <c r="J14" t="s">
        <v>6</v>
      </c>
      <c r="L14" t="s">
        <v>8</v>
      </c>
      <c r="M14" t="s">
        <v>11</v>
      </c>
      <c r="N14">
        <v>8.5427697777564801E-2</v>
      </c>
      <c r="O14" t="s">
        <v>6</v>
      </c>
    </row>
    <row r="15" spans="2:15" x14ac:dyDescent="0.45">
      <c r="B15" t="s">
        <v>4</v>
      </c>
      <c r="C15" t="s">
        <v>12</v>
      </c>
      <c r="D15">
        <v>0.27178123966124407</v>
      </c>
      <c r="E15" t="s">
        <v>6</v>
      </c>
      <c r="G15" t="s">
        <v>7</v>
      </c>
      <c r="H15" t="s">
        <v>12</v>
      </c>
      <c r="I15">
        <v>9.0339073476637832E-2</v>
      </c>
      <c r="J15" t="s">
        <v>6</v>
      </c>
      <c r="L15" t="s">
        <v>8</v>
      </c>
      <c r="M15" t="s">
        <v>12</v>
      </c>
      <c r="N15">
        <v>0.10412690544994223</v>
      </c>
      <c r="O15" t="s">
        <v>6</v>
      </c>
    </row>
    <row r="16" spans="2:15" x14ac:dyDescent="0.45">
      <c r="B16" t="s">
        <v>4</v>
      </c>
      <c r="C16" t="s">
        <v>13</v>
      </c>
      <c r="D16">
        <v>1.6316340920333763E-2</v>
      </c>
      <c r="E16" t="s">
        <v>6</v>
      </c>
      <c r="G16" t="s">
        <v>7</v>
      </c>
      <c r="H16" t="s">
        <v>13</v>
      </c>
      <c r="I16">
        <v>5.899615667476743E-2</v>
      </c>
      <c r="J16" t="s">
        <v>6</v>
      </c>
      <c r="L16" t="s">
        <v>8</v>
      </c>
      <c r="M16" t="s">
        <v>13</v>
      </c>
      <c r="N16">
        <v>6.5194281391516951E-2</v>
      </c>
      <c r="O16" t="s">
        <v>6</v>
      </c>
    </row>
    <row r="17" spans="2:15" x14ac:dyDescent="0.45">
      <c r="B17" t="s">
        <v>4</v>
      </c>
      <c r="C17" t="s">
        <v>14</v>
      </c>
      <c r="D17">
        <v>2.1186199253214297E-3</v>
      </c>
      <c r="E17" t="s">
        <v>6</v>
      </c>
      <c r="G17" t="s">
        <v>7</v>
      </c>
      <c r="H17" t="s">
        <v>14</v>
      </c>
      <c r="I17">
        <v>4.8450177281840159E-2</v>
      </c>
      <c r="J17" t="s">
        <v>6</v>
      </c>
      <c r="L17" t="s">
        <v>8</v>
      </c>
      <c r="M17" t="s">
        <v>14</v>
      </c>
      <c r="N17">
        <v>6.502710091785574E-2</v>
      </c>
      <c r="O17" t="s">
        <v>6</v>
      </c>
    </row>
    <row r="18" spans="2:15" x14ac:dyDescent="0.45">
      <c r="B18" t="s">
        <v>4</v>
      </c>
      <c r="C18" t="s">
        <v>15</v>
      </c>
      <c r="D18">
        <v>0.33688831205644393</v>
      </c>
      <c r="E18" t="s">
        <v>6</v>
      </c>
      <c r="G18" t="s">
        <v>7</v>
      </c>
      <c r="H18" t="s">
        <v>15</v>
      </c>
      <c r="I18">
        <v>5.1867965486106865E-2</v>
      </c>
      <c r="J18" t="s">
        <v>6</v>
      </c>
      <c r="L18" t="s">
        <v>8</v>
      </c>
      <c r="M18" t="s">
        <v>15</v>
      </c>
      <c r="N18">
        <v>7.5707824400530907E-2</v>
      </c>
      <c r="O18" t="s">
        <v>6</v>
      </c>
    </row>
    <row r="19" spans="2:15" x14ac:dyDescent="0.45">
      <c r="B19" t="s">
        <v>4</v>
      </c>
      <c r="C19" t="s">
        <v>16</v>
      </c>
      <c r="D19">
        <v>2.6965287280013388E-2</v>
      </c>
      <c r="E19" t="s">
        <v>6</v>
      </c>
      <c r="G19" t="s">
        <v>7</v>
      </c>
      <c r="H19" t="s">
        <v>16</v>
      </c>
      <c r="I19">
        <v>4.3452143129024449E-2</v>
      </c>
      <c r="J19" t="s">
        <v>6</v>
      </c>
      <c r="L19" t="s">
        <v>8</v>
      </c>
      <c r="M19" t="s">
        <v>16</v>
      </c>
      <c r="N19">
        <v>5.2331248668230211E-2</v>
      </c>
      <c r="O19" t="s">
        <v>6</v>
      </c>
    </row>
    <row r="20" spans="2:15" x14ac:dyDescent="0.45">
      <c r="B20" t="s">
        <v>4</v>
      </c>
      <c r="C20" t="s">
        <v>17</v>
      </c>
      <c r="D20">
        <v>1.2301624989324291E-5</v>
      </c>
      <c r="E20" t="s">
        <v>6</v>
      </c>
      <c r="G20" t="s">
        <v>7</v>
      </c>
      <c r="H20" t="s">
        <v>17</v>
      </c>
      <c r="I20">
        <v>0.10703389661911587</v>
      </c>
      <c r="J20" t="s">
        <v>6</v>
      </c>
      <c r="L20" t="s">
        <v>8</v>
      </c>
      <c r="M20" t="s">
        <v>17</v>
      </c>
      <c r="N20">
        <v>9.5785549694721556E-2</v>
      </c>
      <c r="O20" t="s">
        <v>6</v>
      </c>
    </row>
    <row r="21" spans="2:15" x14ac:dyDescent="0.45">
      <c r="B21" t="s">
        <v>4</v>
      </c>
      <c r="C21" t="s">
        <v>18</v>
      </c>
      <c r="D21">
        <v>0.18792080362345151</v>
      </c>
      <c r="E21" t="s">
        <v>6</v>
      </c>
      <c r="G21" t="s">
        <v>7</v>
      </c>
      <c r="H21" t="s">
        <v>18</v>
      </c>
      <c r="I21">
        <v>0.11986870771776477</v>
      </c>
      <c r="J21" t="s">
        <v>6</v>
      </c>
      <c r="L21" t="s">
        <v>8</v>
      </c>
      <c r="M21" t="s">
        <v>18</v>
      </c>
      <c r="N21">
        <v>0.1093323414847413</v>
      </c>
      <c r="O21" t="s">
        <v>6</v>
      </c>
    </row>
    <row r="22" spans="2:15" x14ac:dyDescent="0.45">
      <c r="B22" t="s">
        <v>4</v>
      </c>
      <c r="C22" t="s">
        <v>19</v>
      </c>
      <c r="D22">
        <v>4.411506537956392E-3</v>
      </c>
      <c r="E22" t="s">
        <v>6</v>
      </c>
      <c r="G22" t="s">
        <v>7</v>
      </c>
      <c r="H22" t="s">
        <v>19</v>
      </c>
      <c r="I22">
        <v>7.685019765451713E-2</v>
      </c>
      <c r="J22" t="s">
        <v>6</v>
      </c>
      <c r="L22" t="s">
        <v>8</v>
      </c>
      <c r="M22" t="s">
        <v>19</v>
      </c>
      <c r="N22">
        <v>7.1645444380014633E-2</v>
      </c>
      <c r="O22" t="s">
        <v>6</v>
      </c>
    </row>
    <row r="23" spans="2:15" x14ac:dyDescent="0.45">
      <c r="B23" t="s">
        <v>20</v>
      </c>
      <c r="C23" t="s">
        <v>5</v>
      </c>
      <c r="D23">
        <v>0</v>
      </c>
      <c r="E23" t="s">
        <v>6</v>
      </c>
      <c r="G23" t="s">
        <v>21</v>
      </c>
      <c r="H23" t="s">
        <v>5</v>
      </c>
      <c r="I23">
        <v>0.10901967459185723</v>
      </c>
      <c r="J23" t="s">
        <v>6</v>
      </c>
      <c r="L23" t="s">
        <v>22</v>
      </c>
      <c r="M23" t="s">
        <v>5</v>
      </c>
      <c r="N23">
        <v>7.9069999573591163E-2</v>
      </c>
      <c r="O23" t="s">
        <v>6</v>
      </c>
    </row>
    <row r="24" spans="2:15" x14ac:dyDescent="0.45">
      <c r="B24" t="s">
        <v>20</v>
      </c>
      <c r="C24" t="s">
        <v>9</v>
      </c>
      <c r="D24">
        <v>0.1625048311763011</v>
      </c>
      <c r="E24" t="s">
        <v>6</v>
      </c>
      <c r="G24" t="s">
        <v>21</v>
      </c>
      <c r="H24" t="s">
        <v>9</v>
      </c>
      <c r="I24">
        <v>0.12050314837418126</v>
      </c>
      <c r="J24" t="s">
        <v>6</v>
      </c>
      <c r="L24" t="s">
        <v>22</v>
      </c>
      <c r="M24" t="s">
        <v>9</v>
      </c>
      <c r="N24">
        <v>9.5279698771562393E-2</v>
      </c>
      <c r="O24" t="s">
        <v>6</v>
      </c>
    </row>
    <row r="25" spans="2:15" x14ac:dyDescent="0.45">
      <c r="B25" t="s">
        <v>20</v>
      </c>
      <c r="C25" t="s">
        <v>10</v>
      </c>
      <c r="D25">
        <v>3.3460610519943125E-3</v>
      </c>
      <c r="E25" t="s">
        <v>6</v>
      </c>
      <c r="G25" t="s">
        <v>21</v>
      </c>
      <c r="H25" t="s">
        <v>10</v>
      </c>
      <c r="I25">
        <v>8.8032064683158787E-2</v>
      </c>
      <c r="J25" t="s">
        <v>6</v>
      </c>
      <c r="L25" t="s">
        <v>22</v>
      </c>
      <c r="M25" t="s">
        <v>10</v>
      </c>
      <c r="N25">
        <v>5.7907354568305258E-2</v>
      </c>
      <c r="O25" t="s">
        <v>6</v>
      </c>
    </row>
    <row r="26" spans="2:15" x14ac:dyDescent="0.45">
      <c r="B26" t="s">
        <v>20</v>
      </c>
      <c r="C26" t="s">
        <v>11</v>
      </c>
      <c r="D26">
        <v>5.5697900615458572E-4</v>
      </c>
      <c r="E26" t="s">
        <v>6</v>
      </c>
      <c r="G26" t="s">
        <v>21</v>
      </c>
      <c r="H26" t="s">
        <v>11</v>
      </c>
      <c r="I26">
        <v>7.4082473076198641E-2</v>
      </c>
      <c r="J26" t="s">
        <v>6</v>
      </c>
      <c r="L26" t="s">
        <v>22</v>
      </c>
      <c r="M26" t="s">
        <v>11</v>
      </c>
      <c r="N26">
        <v>0.11587277700815328</v>
      </c>
      <c r="O26" t="s">
        <v>6</v>
      </c>
    </row>
    <row r="27" spans="2:15" x14ac:dyDescent="0.45">
      <c r="B27" t="s">
        <v>20</v>
      </c>
      <c r="C27" t="s">
        <v>12</v>
      </c>
      <c r="D27">
        <v>0.27247210470754152</v>
      </c>
      <c r="E27" t="s">
        <v>6</v>
      </c>
      <c r="G27" t="s">
        <v>21</v>
      </c>
      <c r="H27" t="s">
        <v>12</v>
      </c>
      <c r="I27">
        <v>8.4289212033253028E-2</v>
      </c>
      <c r="J27" t="s">
        <v>6</v>
      </c>
      <c r="L27" t="s">
        <v>22</v>
      </c>
      <c r="M27" t="s">
        <v>12</v>
      </c>
      <c r="N27">
        <v>0.14291114141685765</v>
      </c>
      <c r="O27" t="s">
        <v>6</v>
      </c>
    </row>
    <row r="28" spans="2:15" x14ac:dyDescent="0.45">
      <c r="B28" t="s">
        <v>20</v>
      </c>
      <c r="C28" t="s">
        <v>13</v>
      </c>
      <c r="D28">
        <v>2.0057107910568712E-2</v>
      </c>
      <c r="E28" t="s">
        <v>6</v>
      </c>
      <c r="G28" t="s">
        <v>21</v>
      </c>
      <c r="H28" t="s">
        <v>13</v>
      </c>
      <c r="I28">
        <v>5.7235723543365889E-2</v>
      </c>
      <c r="J28" t="s">
        <v>6</v>
      </c>
      <c r="L28" t="s">
        <v>22</v>
      </c>
      <c r="M28" t="s">
        <v>13</v>
      </c>
      <c r="N28">
        <v>8.2539867381430612E-2</v>
      </c>
      <c r="O28" t="s">
        <v>6</v>
      </c>
    </row>
    <row r="29" spans="2:15" x14ac:dyDescent="0.45">
      <c r="B29" t="s">
        <v>20</v>
      </c>
      <c r="C29" t="s">
        <v>14</v>
      </c>
      <c r="D29">
        <v>1.3128676929975414E-3</v>
      </c>
      <c r="E29" t="s">
        <v>6</v>
      </c>
      <c r="G29" t="s">
        <v>21</v>
      </c>
      <c r="H29" t="s">
        <v>14</v>
      </c>
      <c r="I29">
        <v>5.0909828624277911E-2</v>
      </c>
      <c r="J29" t="s">
        <v>6</v>
      </c>
      <c r="L29" t="s">
        <v>22</v>
      </c>
      <c r="M29" t="s">
        <v>14</v>
      </c>
      <c r="N29">
        <v>3.2287563103108048E-2</v>
      </c>
      <c r="O29" t="s">
        <v>6</v>
      </c>
    </row>
    <row r="30" spans="2:15" x14ac:dyDescent="0.45">
      <c r="B30" t="s">
        <v>20</v>
      </c>
      <c r="C30" t="s">
        <v>15</v>
      </c>
      <c r="D30">
        <v>0.31128338891444468</v>
      </c>
      <c r="E30" t="s">
        <v>6</v>
      </c>
      <c r="G30" t="s">
        <v>21</v>
      </c>
      <c r="H30" t="s">
        <v>15</v>
      </c>
      <c r="I30">
        <v>5.2224662574642429E-2</v>
      </c>
      <c r="J30" t="s">
        <v>6</v>
      </c>
      <c r="L30" t="s">
        <v>22</v>
      </c>
      <c r="M30" t="s">
        <v>15</v>
      </c>
      <c r="N30">
        <v>4.1061081610513479E-2</v>
      </c>
      <c r="O30" t="s">
        <v>6</v>
      </c>
    </row>
    <row r="31" spans="2:15" x14ac:dyDescent="0.45">
      <c r="B31" t="s">
        <v>20</v>
      </c>
      <c r="C31" t="s">
        <v>16</v>
      </c>
      <c r="D31">
        <v>2.991361019883134E-2</v>
      </c>
      <c r="E31" t="s">
        <v>6</v>
      </c>
      <c r="G31" t="s">
        <v>21</v>
      </c>
      <c r="H31" t="s">
        <v>16</v>
      </c>
      <c r="I31">
        <v>4.087631186026728E-2</v>
      </c>
      <c r="J31" t="s">
        <v>6</v>
      </c>
      <c r="L31" t="s">
        <v>22</v>
      </c>
      <c r="M31" t="s">
        <v>16</v>
      </c>
      <c r="N31">
        <v>2.9103150715505711E-2</v>
      </c>
      <c r="O31" t="s">
        <v>6</v>
      </c>
    </row>
    <row r="32" spans="2:15" x14ac:dyDescent="0.45">
      <c r="B32" t="s">
        <v>20</v>
      </c>
      <c r="C32" t="s">
        <v>17</v>
      </c>
      <c r="D32">
        <v>0</v>
      </c>
      <c r="E32" t="s">
        <v>6</v>
      </c>
      <c r="G32" t="s">
        <v>21</v>
      </c>
      <c r="H32" t="s">
        <v>17</v>
      </c>
      <c r="I32">
        <v>0.11150381812027012</v>
      </c>
      <c r="J32" t="s">
        <v>6</v>
      </c>
      <c r="L32" t="s">
        <v>22</v>
      </c>
      <c r="M32" t="s">
        <v>17</v>
      </c>
      <c r="N32">
        <v>0.10877072762913163</v>
      </c>
      <c r="O32" t="s">
        <v>6</v>
      </c>
    </row>
    <row r="33" spans="2:15" x14ac:dyDescent="0.45">
      <c r="B33" t="s">
        <v>20</v>
      </c>
      <c r="C33" t="s">
        <v>18</v>
      </c>
      <c r="D33">
        <v>0.19219877615762748</v>
      </c>
      <c r="E33" t="s">
        <v>6</v>
      </c>
      <c r="G33" t="s">
        <v>21</v>
      </c>
      <c r="H33" t="s">
        <v>18</v>
      </c>
      <c r="I33">
        <v>0.13070251961008869</v>
      </c>
      <c r="J33" t="s">
        <v>6</v>
      </c>
      <c r="L33" t="s">
        <v>22</v>
      </c>
      <c r="M33" t="s">
        <v>18</v>
      </c>
      <c r="N33">
        <v>0.13033442683564145</v>
      </c>
      <c r="O33" t="s">
        <v>6</v>
      </c>
    </row>
    <row r="34" spans="2:15" x14ac:dyDescent="0.45">
      <c r="B34" t="s">
        <v>20</v>
      </c>
      <c r="C34" t="s">
        <v>19</v>
      </c>
      <c r="D34">
        <v>6.3542731835365624E-3</v>
      </c>
      <c r="E34" t="s">
        <v>6</v>
      </c>
      <c r="G34" t="s">
        <v>21</v>
      </c>
      <c r="H34" t="s">
        <v>19</v>
      </c>
      <c r="I34">
        <v>8.0620562908436388E-2</v>
      </c>
      <c r="J34" t="s">
        <v>6</v>
      </c>
      <c r="L34" t="s">
        <v>22</v>
      </c>
      <c r="M34" t="s">
        <v>19</v>
      </c>
      <c r="N34">
        <v>8.4862211386201453E-2</v>
      </c>
      <c r="O34" t="s">
        <v>6</v>
      </c>
    </row>
    <row r="35" spans="2:15" x14ac:dyDescent="0.45">
      <c r="B35" t="s">
        <v>23</v>
      </c>
      <c r="C35" t="s">
        <v>5</v>
      </c>
      <c r="D35">
        <v>0</v>
      </c>
      <c r="E35" t="s">
        <v>6</v>
      </c>
      <c r="G35" t="s">
        <v>24</v>
      </c>
      <c r="H35" t="s">
        <v>5</v>
      </c>
      <c r="I35">
        <v>0.10319932345382909</v>
      </c>
      <c r="J35" t="s">
        <v>6</v>
      </c>
      <c r="L35" t="s">
        <v>25</v>
      </c>
      <c r="M35" t="s">
        <v>5</v>
      </c>
      <c r="N35">
        <v>8.4309739233498451E-2</v>
      </c>
      <c r="O35" t="s">
        <v>6</v>
      </c>
    </row>
    <row r="36" spans="2:15" x14ac:dyDescent="0.45">
      <c r="B36" t="s">
        <v>23</v>
      </c>
      <c r="C36" t="s">
        <v>9</v>
      </c>
      <c r="D36">
        <v>0.15185377073871259</v>
      </c>
      <c r="E36" t="s">
        <v>6</v>
      </c>
      <c r="G36" t="s">
        <v>24</v>
      </c>
      <c r="H36" t="s">
        <v>9</v>
      </c>
      <c r="I36">
        <v>0.11560255225035</v>
      </c>
      <c r="J36" t="s">
        <v>6</v>
      </c>
      <c r="L36" t="s">
        <v>25</v>
      </c>
      <c r="M36" t="s">
        <v>9</v>
      </c>
      <c r="N36">
        <v>0.10743110744013401</v>
      </c>
      <c r="O36" t="s">
        <v>6</v>
      </c>
    </row>
    <row r="37" spans="2:15" x14ac:dyDescent="0.45">
      <c r="B37" t="s">
        <v>23</v>
      </c>
      <c r="C37" t="s">
        <v>10</v>
      </c>
      <c r="D37">
        <v>2.7840651105186247E-3</v>
      </c>
      <c r="E37" t="s">
        <v>6</v>
      </c>
      <c r="G37" t="s">
        <v>24</v>
      </c>
      <c r="H37" t="s">
        <v>10</v>
      </c>
      <c r="I37">
        <v>8.2079692403049617E-2</v>
      </c>
      <c r="J37" t="s">
        <v>6</v>
      </c>
      <c r="L37" t="s">
        <v>25</v>
      </c>
      <c r="M37" t="s">
        <v>10</v>
      </c>
      <c r="N37">
        <v>6.2319208779438383E-2</v>
      </c>
      <c r="O37" t="s">
        <v>6</v>
      </c>
    </row>
    <row r="38" spans="2:15" x14ac:dyDescent="0.45">
      <c r="B38" t="s">
        <v>23</v>
      </c>
      <c r="C38" t="s">
        <v>11</v>
      </c>
      <c r="D38">
        <v>7.4592401991750766E-4</v>
      </c>
      <c r="E38" t="s">
        <v>6</v>
      </c>
      <c r="G38" t="s">
        <v>24</v>
      </c>
      <c r="H38" t="s">
        <v>11</v>
      </c>
      <c r="I38">
        <v>8.2636938625851863E-2</v>
      </c>
      <c r="J38" t="s">
        <v>6</v>
      </c>
      <c r="L38" t="s">
        <v>25</v>
      </c>
      <c r="M38" t="s">
        <v>11</v>
      </c>
      <c r="N38">
        <v>0.10859811168025617</v>
      </c>
      <c r="O38" t="s">
        <v>6</v>
      </c>
    </row>
    <row r="39" spans="2:15" x14ac:dyDescent="0.45">
      <c r="B39" t="s">
        <v>23</v>
      </c>
      <c r="C39" t="s">
        <v>12</v>
      </c>
      <c r="D39">
        <v>0.27632604253028559</v>
      </c>
      <c r="E39" t="s">
        <v>6</v>
      </c>
      <c r="G39" t="s">
        <v>24</v>
      </c>
      <c r="H39" t="s">
        <v>12</v>
      </c>
      <c r="I39">
        <v>8.171682229244355E-2</v>
      </c>
      <c r="J39" t="s">
        <v>6</v>
      </c>
      <c r="L39" t="s">
        <v>25</v>
      </c>
      <c r="M39" t="s">
        <v>12</v>
      </c>
      <c r="N39">
        <v>0.13575322437568216</v>
      </c>
      <c r="O39" t="s">
        <v>6</v>
      </c>
    </row>
    <row r="40" spans="2:15" x14ac:dyDescent="0.45">
      <c r="B40" t="s">
        <v>23</v>
      </c>
      <c r="C40" t="s">
        <v>13</v>
      </c>
      <c r="D40">
        <v>1.8193948466297717E-2</v>
      </c>
      <c r="E40" t="s">
        <v>6</v>
      </c>
      <c r="G40" t="s">
        <v>24</v>
      </c>
      <c r="H40" t="s">
        <v>13</v>
      </c>
      <c r="I40">
        <v>6.1017553355163776E-2</v>
      </c>
      <c r="J40" t="s">
        <v>6</v>
      </c>
      <c r="L40" t="s">
        <v>25</v>
      </c>
      <c r="M40" t="s">
        <v>13</v>
      </c>
      <c r="N40">
        <v>8.1341999228852074E-2</v>
      </c>
      <c r="O40" t="s">
        <v>6</v>
      </c>
    </row>
    <row r="41" spans="2:15" x14ac:dyDescent="0.45">
      <c r="B41" t="s">
        <v>23</v>
      </c>
      <c r="C41" t="s">
        <v>14</v>
      </c>
      <c r="D41">
        <v>1.756396469665856E-3</v>
      </c>
      <c r="E41" t="s">
        <v>6</v>
      </c>
      <c r="G41" t="s">
        <v>24</v>
      </c>
      <c r="H41" t="s">
        <v>14</v>
      </c>
      <c r="I41">
        <v>5.8733516586208789E-2</v>
      </c>
      <c r="J41" t="s">
        <v>6</v>
      </c>
      <c r="L41" t="s">
        <v>25</v>
      </c>
      <c r="M41" t="s">
        <v>14</v>
      </c>
      <c r="N41">
        <v>3.7263015077003851E-2</v>
      </c>
      <c r="O41" t="s">
        <v>6</v>
      </c>
    </row>
    <row r="42" spans="2:15" x14ac:dyDescent="0.45">
      <c r="B42" t="s">
        <v>23</v>
      </c>
      <c r="C42" t="s">
        <v>15</v>
      </c>
      <c r="D42">
        <v>0.32525043665552794</v>
      </c>
      <c r="E42" t="s">
        <v>6</v>
      </c>
      <c r="G42" t="s">
        <v>24</v>
      </c>
      <c r="H42" t="s">
        <v>15</v>
      </c>
      <c r="I42">
        <v>5.4119046876985266E-2</v>
      </c>
      <c r="J42" t="s">
        <v>6</v>
      </c>
      <c r="L42" t="s">
        <v>25</v>
      </c>
      <c r="M42" t="s">
        <v>15</v>
      </c>
      <c r="N42">
        <v>4.4841838471591469E-2</v>
      </c>
      <c r="O42" t="s">
        <v>6</v>
      </c>
    </row>
    <row r="43" spans="2:15" x14ac:dyDescent="0.45">
      <c r="B43" t="s">
        <v>23</v>
      </c>
      <c r="C43" t="s">
        <v>16</v>
      </c>
      <c r="D43">
        <v>2.9194936193446677E-2</v>
      </c>
      <c r="E43" t="s">
        <v>6</v>
      </c>
      <c r="G43" t="s">
        <v>24</v>
      </c>
      <c r="H43" t="s">
        <v>16</v>
      </c>
      <c r="I43">
        <v>4.5869484563859662E-2</v>
      </c>
      <c r="J43" t="s">
        <v>6</v>
      </c>
      <c r="L43" t="s">
        <v>25</v>
      </c>
      <c r="M43" t="s">
        <v>16</v>
      </c>
      <c r="N43">
        <v>3.0939013336004774E-2</v>
      </c>
      <c r="O43" t="s">
        <v>6</v>
      </c>
    </row>
    <row r="44" spans="2:15" x14ac:dyDescent="0.45">
      <c r="B44" t="s">
        <v>23</v>
      </c>
      <c r="C44" t="s">
        <v>17</v>
      </c>
      <c r="D44">
        <v>1.7210456949186433E-6</v>
      </c>
      <c r="E44" t="s">
        <v>6</v>
      </c>
      <c r="G44" t="s">
        <v>24</v>
      </c>
      <c r="H44" t="s">
        <v>17</v>
      </c>
      <c r="I44">
        <v>0.11030024581004409</v>
      </c>
      <c r="J44" t="s">
        <v>6</v>
      </c>
      <c r="L44" t="s">
        <v>25</v>
      </c>
      <c r="M44" t="s">
        <v>17</v>
      </c>
      <c r="N44">
        <v>0.10517797593313216</v>
      </c>
      <c r="O44" t="s">
        <v>6</v>
      </c>
    </row>
    <row r="45" spans="2:15" x14ac:dyDescent="0.45">
      <c r="B45" t="s">
        <v>23</v>
      </c>
      <c r="C45" t="s">
        <v>18</v>
      </c>
      <c r="D45">
        <v>0.18860010852582279</v>
      </c>
      <c r="E45" t="s">
        <v>6</v>
      </c>
      <c r="G45" t="s">
        <v>24</v>
      </c>
      <c r="H45" t="s">
        <v>18</v>
      </c>
      <c r="I45">
        <v>0.12197073205295729</v>
      </c>
      <c r="J45" t="s">
        <v>6</v>
      </c>
      <c r="L45" t="s">
        <v>25</v>
      </c>
      <c r="M45" t="s">
        <v>18</v>
      </c>
      <c r="N45">
        <v>0.12022866132655378</v>
      </c>
      <c r="O45" t="s">
        <v>6</v>
      </c>
    </row>
    <row r="46" spans="2:15" x14ac:dyDescent="0.45">
      <c r="B46" t="s">
        <v>23</v>
      </c>
      <c r="C46" t="s">
        <v>19</v>
      </c>
      <c r="D46">
        <v>5.2926502441135092E-3</v>
      </c>
      <c r="E46" t="s">
        <v>6</v>
      </c>
      <c r="G46" t="s">
        <v>24</v>
      </c>
      <c r="H46" t="s">
        <v>19</v>
      </c>
      <c r="I46">
        <v>8.275409172925631E-2</v>
      </c>
      <c r="J46" t="s">
        <v>6</v>
      </c>
      <c r="L46" t="s">
        <v>25</v>
      </c>
      <c r="M46" t="s">
        <v>19</v>
      </c>
      <c r="N46">
        <v>8.179610511784928E-2</v>
      </c>
      <c r="O46" t="s">
        <v>6</v>
      </c>
    </row>
    <row r="47" spans="2:15" x14ac:dyDescent="0.45">
      <c r="B47" t="s">
        <v>26</v>
      </c>
      <c r="C47" t="s">
        <v>5</v>
      </c>
      <c r="D47">
        <v>0</v>
      </c>
      <c r="E47" t="s">
        <v>6</v>
      </c>
      <c r="G47" t="s">
        <v>27</v>
      </c>
      <c r="H47" t="s">
        <v>5</v>
      </c>
      <c r="I47">
        <v>9.6002525644348732E-2</v>
      </c>
      <c r="J47" t="s">
        <v>6</v>
      </c>
      <c r="L47" t="s">
        <v>28</v>
      </c>
      <c r="M47" t="s">
        <v>5</v>
      </c>
      <c r="N47">
        <v>8.3800400143967585E-2</v>
      </c>
      <c r="O47" t="s">
        <v>6</v>
      </c>
    </row>
    <row r="48" spans="2:15" x14ac:dyDescent="0.45">
      <c r="B48" t="s">
        <v>26</v>
      </c>
      <c r="C48" t="s">
        <v>9</v>
      </c>
      <c r="D48">
        <v>0.14205044680857981</v>
      </c>
      <c r="E48" t="s">
        <v>6</v>
      </c>
      <c r="G48" t="s">
        <v>27</v>
      </c>
      <c r="H48" t="s">
        <v>9</v>
      </c>
      <c r="I48">
        <v>0.11660474435889015</v>
      </c>
      <c r="J48" t="s">
        <v>6</v>
      </c>
      <c r="L48" t="s">
        <v>28</v>
      </c>
      <c r="M48" t="s">
        <v>9</v>
      </c>
      <c r="N48">
        <v>0.11414378825024327</v>
      </c>
      <c r="O48" t="s">
        <v>6</v>
      </c>
    </row>
    <row r="49" spans="2:15" x14ac:dyDescent="0.45">
      <c r="B49" t="s">
        <v>26</v>
      </c>
      <c r="C49" t="s">
        <v>10</v>
      </c>
      <c r="D49">
        <v>2.6989725696276541E-3</v>
      </c>
      <c r="E49" t="s">
        <v>6</v>
      </c>
      <c r="G49" t="s">
        <v>27</v>
      </c>
      <c r="H49" t="s">
        <v>10</v>
      </c>
      <c r="I49">
        <v>7.2595930772300879E-2</v>
      </c>
      <c r="J49" t="s">
        <v>6</v>
      </c>
      <c r="L49" t="s">
        <v>28</v>
      </c>
      <c r="M49" t="s">
        <v>10</v>
      </c>
      <c r="N49">
        <v>6.2751943826430442E-2</v>
      </c>
      <c r="O49" t="s">
        <v>6</v>
      </c>
    </row>
    <row r="50" spans="2:15" x14ac:dyDescent="0.45">
      <c r="B50" t="s">
        <v>26</v>
      </c>
      <c r="C50" t="s">
        <v>11</v>
      </c>
      <c r="D50">
        <v>6.8841752929432102E-4</v>
      </c>
      <c r="E50" t="s">
        <v>6</v>
      </c>
      <c r="G50" t="s">
        <v>27</v>
      </c>
      <c r="H50" t="s">
        <v>11</v>
      </c>
      <c r="I50">
        <v>8.8125583985826511E-2</v>
      </c>
      <c r="J50" t="s">
        <v>6</v>
      </c>
      <c r="L50" t="s">
        <v>28</v>
      </c>
      <c r="M50" t="s">
        <v>11</v>
      </c>
      <c r="N50">
        <v>0.10325146330456442</v>
      </c>
      <c r="O50" t="s">
        <v>6</v>
      </c>
    </row>
    <row r="51" spans="2:15" x14ac:dyDescent="0.45">
      <c r="B51" t="s">
        <v>26</v>
      </c>
      <c r="C51" t="s">
        <v>12</v>
      </c>
      <c r="D51">
        <v>0.27642009419229602</v>
      </c>
      <c r="E51" t="s">
        <v>6</v>
      </c>
      <c r="G51" t="s">
        <v>27</v>
      </c>
      <c r="H51" t="s">
        <v>12</v>
      </c>
      <c r="I51">
        <v>0.10759435238729444</v>
      </c>
      <c r="J51" t="s">
        <v>6</v>
      </c>
      <c r="L51" t="s">
        <v>28</v>
      </c>
      <c r="M51" t="s">
        <v>12</v>
      </c>
      <c r="N51">
        <v>0.12883501172151343</v>
      </c>
      <c r="O51" t="s">
        <v>6</v>
      </c>
    </row>
    <row r="52" spans="2:15" x14ac:dyDescent="0.45">
      <c r="B52" t="s">
        <v>26</v>
      </c>
      <c r="C52" t="s">
        <v>13</v>
      </c>
      <c r="D52">
        <v>1.9729491210951688E-2</v>
      </c>
      <c r="E52" t="s">
        <v>6</v>
      </c>
      <c r="G52" t="s">
        <v>27</v>
      </c>
      <c r="H52" t="s">
        <v>13</v>
      </c>
      <c r="I52">
        <v>6.9070382924341103E-2</v>
      </c>
      <c r="J52" t="s">
        <v>6</v>
      </c>
      <c r="L52" t="s">
        <v>28</v>
      </c>
      <c r="M52" t="s">
        <v>13</v>
      </c>
      <c r="N52">
        <v>7.7946764470981575E-2</v>
      </c>
      <c r="O52" t="s">
        <v>6</v>
      </c>
    </row>
    <row r="53" spans="2:15" x14ac:dyDescent="0.45">
      <c r="B53" t="s">
        <v>26</v>
      </c>
      <c r="C53" t="s">
        <v>14</v>
      </c>
      <c r="D53">
        <v>1.6273145299898124E-3</v>
      </c>
      <c r="E53" t="s">
        <v>6</v>
      </c>
      <c r="G53" t="s">
        <v>27</v>
      </c>
      <c r="H53" t="s">
        <v>14</v>
      </c>
      <c r="I53">
        <v>6.4309434088132666E-2</v>
      </c>
      <c r="J53" t="s">
        <v>6</v>
      </c>
      <c r="L53" t="s">
        <v>28</v>
      </c>
      <c r="M53" t="s">
        <v>14</v>
      </c>
      <c r="N53">
        <v>3.566681649906428E-2</v>
      </c>
      <c r="O53" t="s">
        <v>6</v>
      </c>
    </row>
    <row r="54" spans="2:15" x14ac:dyDescent="0.45">
      <c r="B54" t="s">
        <v>26</v>
      </c>
      <c r="C54" t="s">
        <v>15</v>
      </c>
      <c r="D54">
        <v>0.32079597502530877</v>
      </c>
      <c r="E54" t="s">
        <v>6</v>
      </c>
      <c r="G54" t="s">
        <v>27</v>
      </c>
      <c r="H54" t="s">
        <v>15</v>
      </c>
      <c r="I54">
        <v>7.5158868567155146E-2</v>
      </c>
      <c r="J54" t="s">
        <v>6</v>
      </c>
      <c r="L54" t="s">
        <v>28</v>
      </c>
      <c r="M54" t="s">
        <v>15</v>
      </c>
      <c r="N54">
        <v>4.4416461456477228E-2</v>
      </c>
      <c r="O54" t="s">
        <v>6</v>
      </c>
    </row>
    <row r="55" spans="2:15" x14ac:dyDescent="0.45">
      <c r="B55" t="s">
        <v>26</v>
      </c>
      <c r="C55" t="s">
        <v>16</v>
      </c>
      <c r="D55">
        <v>3.182864955183453E-2</v>
      </c>
      <c r="E55" t="s">
        <v>6</v>
      </c>
      <c r="G55" t="s">
        <v>27</v>
      </c>
      <c r="H55" t="s">
        <v>16</v>
      </c>
      <c r="I55">
        <v>5.2165673749456097E-2</v>
      </c>
      <c r="J55" t="s">
        <v>6</v>
      </c>
      <c r="L55" t="s">
        <v>28</v>
      </c>
      <c r="M55" t="s">
        <v>16</v>
      </c>
      <c r="N55">
        <v>2.6243085225914894E-2</v>
      </c>
      <c r="O55" t="s">
        <v>6</v>
      </c>
    </row>
    <row r="56" spans="2:15" x14ac:dyDescent="0.45">
      <c r="B56" t="s">
        <v>26</v>
      </c>
      <c r="C56" t="s">
        <v>17</v>
      </c>
      <c r="D56">
        <v>8.7540469158545391E-7</v>
      </c>
      <c r="E56" t="s">
        <v>6</v>
      </c>
      <c r="G56" t="s">
        <v>27</v>
      </c>
      <c r="H56" t="s">
        <v>17</v>
      </c>
      <c r="I56">
        <v>8.7053943138641871E-2</v>
      </c>
      <c r="J56" t="s">
        <v>6</v>
      </c>
      <c r="L56" t="s">
        <v>28</v>
      </c>
      <c r="M56" t="s">
        <v>17</v>
      </c>
      <c r="N56">
        <v>0.10057671578192656</v>
      </c>
      <c r="O56" t="s">
        <v>6</v>
      </c>
    </row>
    <row r="57" spans="2:15" x14ac:dyDescent="0.45">
      <c r="B57" t="s">
        <v>26</v>
      </c>
      <c r="C57" t="s">
        <v>18</v>
      </c>
      <c r="D57">
        <v>0.19792654528026032</v>
      </c>
      <c r="E57" t="s">
        <v>6</v>
      </c>
      <c r="G57" t="s">
        <v>27</v>
      </c>
      <c r="H57" t="s">
        <v>18</v>
      </c>
      <c r="I57">
        <v>0.10638961126061657</v>
      </c>
      <c r="J57" t="s">
        <v>6</v>
      </c>
      <c r="L57" t="s">
        <v>28</v>
      </c>
      <c r="M57" t="s">
        <v>18</v>
      </c>
      <c r="N57">
        <v>0.13500538745946883</v>
      </c>
      <c r="O57" t="s">
        <v>6</v>
      </c>
    </row>
    <row r="58" spans="2:15" x14ac:dyDescent="0.45">
      <c r="B58" t="s">
        <v>26</v>
      </c>
      <c r="C58" t="s">
        <v>19</v>
      </c>
      <c r="D58">
        <v>6.2332178971621173E-3</v>
      </c>
      <c r="E58" t="s">
        <v>6</v>
      </c>
      <c r="G58" t="s">
        <v>27</v>
      </c>
      <c r="H58" t="s">
        <v>19</v>
      </c>
      <c r="I58">
        <v>6.4928949122995086E-2</v>
      </c>
      <c r="J58" t="s">
        <v>6</v>
      </c>
      <c r="L58" t="s">
        <v>28</v>
      </c>
      <c r="M58" t="s">
        <v>19</v>
      </c>
      <c r="N58">
        <v>8.7362161859447493E-2</v>
      </c>
      <c r="O58" t="s">
        <v>6</v>
      </c>
    </row>
    <row r="59" spans="2:15" x14ac:dyDescent="0.45">
      <c r="B59" t="s">
        <v>29</v>
      </c>
      <c r="C59" t="s">
        <v>5</v>
      </c>
      <c r="D59">
        <v>0</v>
      </c>
      <c r="E59" t="s">
        <v>6</v>
      </c>
      <c r="G59" t="s">
        <v>30</v>
      </c>
      <c r="H59" t="s">
        <v>5</v>
      </c>
      <c r="I59">
        <v>0.10145954231702707</v>
      </c>
      <c r="J59" t="s">
        <v>6</v>
      </c>
      <c r="L59" t="s">
        <v>31</v>
      </c>
      <c r="M59" t="s">
        <v>5</v>
      </c>
      <c r="N59">
        <v>8.8345680299411394E-2</v>
      </c>
      <c r="O59" t="s">
        <v>6</v>
      </c>
    </row>
    <row r="60" spans="2:15" x14ac:dyDescent="0.45">
      <c r="B60" t="s">
        <v>29</v>
      </c>
      <c r="C60" t="s">
        <v>9</v>
      </c>
      <c r="D60">
        <v>0.13382740847016505</v>
      </c>
      <c r="E60" t="s">
        <v>6</v>
      </c>
      <c r="G60" t="s">
        <v>30</v>
      </c>
      <c r="H60" t="s">
        <v>9</v>
      </c>
      <c r="I60">
        <v>0.1172509919594856</v>
      </c>
      <c r="J60" t="s">
        <v>6</v>
      </c>
      <c r="L60" t="s">
        <v>31</v>
      </c>
      <c r="M60" t="s">
        <v>9</v>
      </c>
      <c r="N60">
        <v>0.10929048799485884</v>
      </c>
      <c r="O60" t="s">
        <v>6</v>
      </c>
    </row>
    <row r="61" spans="2:15" x14ac:dyDescent="0.45">
      <c r="B61" t="s">
        <v>29</v>
      </c>
      <c r="C61" t="s">
        <v>10</v>
      </c>
      <c r="D61">
        <v>1.726578490136304E-3</v>
      </c>
      <c r="E61" t="s">
        <v>6</v>
      </c>
      <c r="G61" t="s">
        <v>30</v>
      </c>
      <c r="H61" t="s">
        <v>10</v>
      </c>
      <c r="I61">
        <v>7.5530008547175051E-2</v>
      </c>
      <c r="J61" t="s">
        <v>6</v>
      </c>
      <c r="L61" t="s">
        <v>31</v>
      </c>
      <c r="M61" t="s">
        <v>10</v>
      </c>
      <c r="N61">
        <v>6.8370607779350251E-2</v>
      </c>
      <c r="O61" t="s">
        <v>6</v>
      </c>
    </row>
    <row r="62" spans="2:15" x14ac:dyDescent="0.45">
      <c r="B62" t="s">
        <v>29</v>
      </c>
      <c r="C62" t="s">
        <v>11</v>
      </c>
      <c r="D62">
        <v>1.0519625489346825E-3</v>
      </c>
      <c r="E62" t="s">
        <v>6</v>
      </c>
      <c r="G62" t="s">
        <v>30</v>
      </c>
      <c r="H62" t="s">
        <v>11</v>
      </c>
      <c r="I62">
        <v>8.6515668046961536E-2</v>
      </c>
      <c r="J62" t="s">
        <v>6</v>
      </c>
      <c r="L62" t="s">
        <v>31</v>
      </c>
      <c r="M62" t="s">
        <v>11</v>
      </c>
      <c r="N62">
        <v>9.101019137666512E-2</v>
      </c>
      <c r="O62" t="s">
        <v>6</v>
      </c>
    </row>
    <row r="63" spans="2:15" x14ac:dyDescent="0.45">
      <c r="B63" t="s">
        <v>29</v>
      </c>
      <c r="C63" t="s">
        <v>12</v>
      </c>
      <c r="D63">
        <v>0.27836956245972189</v>
      </c>
      <c r="E63" t="s">
        <v>6</v>
      </c>
      <c r="G63" t="s">
        <v>30</v>
      </c>
      <c r="H63" t="s">
        <v>12</v>
      </c>
      <c r="I63">
        <v>0.10245658316149032</v>
      </c>
      <c r="J63" t="s">
        <v>6</v>
      </c>
      <c r="L63" t="s">
        <v>31</v>
      </c>
      <c r="M63" t="s">
        <v>12</v>
      </c>
      <c r="N63">
        <v>0.13258062011318908</v>
      </c>
      <c r="O63" t="s">
        <v>6</v>
      </c>
    </row>
    <row r="64" spans="2:15" x14ac:dyDescent="0.45">
      <c r="B64" t="s">
        <v>29</v>
      </c>
      <c r="C64" t="s">
        <v>13</v>
      </c>
      <c r="D64">
        <v>1.6667951043554188E-2</v>
      </c>
      <c r="E64" t="s">
        <v>6</v>
      </c>
      <c r="G64" t="s">
        <v>30</v>
      </c>
      <c r="H64" t="s">
        <v>13</v>
      </c>
      <c r="I64">
        <v>6.7196175086776694E-2</v>
      </c>
      <c r="J64" t="s">
        <v>6</v>
      </c>
      <c r="L64" t="s">
        <v>31</v>
      </c>
      <c r="M64" t="s">
        <v>13</v>
      </c>
      <c r="N64">
        <v>8.0576914116032877E-2</v>
      </c>
      <c r="O64" t="s">
        <v>6</v>
      </c>
    </row>
    <row r="65" spans="2:15" x14ac:dyDescent="0.45">
      <c r="B65" t="s">
        <v>29</v>
      </c>
      <c r="C65" t="s">
        <v>14</v>
      </c>
      <c r="D65">
        <v>2.3756704418054792E-3</v>
      </c>
      <c r="E65" t="s">
        <v>6</v>
      </c>
      <c r="G65" t="s">
        <v>30</v>
      </c>
      <c r="H65" t="s">
        <v>14</v>
      </c>
      <c r="I65">
        <v>6.2946280981114697E-2</v>
      </c>
      <c r="J65" t="s">
        <v>6</v>
      </c>
      <c r="L65" t="s">
        <v>31</v>
      </c>
      <c r="M65" t="s">
        <v>14</v>
      </c>
      <c r="N65">
        <v>4.5622092544638483E-2</v>
      </c>
      <c r="O65" t="s">
        <v>6</v>
      </c>
    </row>
    <row r="66" spans="2:15" x14ac:dyDescent="0.45">
      <c r="B66" t="s">
        <v>29</v>
      </c>
      <c r="C66" t="s">
        <v>15</v>
      </c>
      <c r="D66">
        <v>0.34230495683208018</v>
      </c>
      <c r="E66" t="s">
        <v>6</v>
      </c>
      <c r="G66" t="s">
        <v>30</v>
      </c>
      <c r="H66" t="s">
        <v>15</v>
      </c>
      <c r="I66">
        <v>6.7207423713438963E-2</v>
      </c>
      <c r="J66" t="s">
        <v>6</v>
      </c>
      <c r="L66" t="s">
        <v>31</v>
      </c>
      <c r="M66" t="s">
        <v>15</v>
      </c>
      <c r="N66">
        <v>6.1863571014888187E-2</v>
      </c>
      <c r="O66" t="s">
        <v>6</v>
      </c>
    </row>
    <row r="67" spans="2:15" x14ac:dyDescent="0.45">
      <c r="B67" t="s">
        <v>29</v>
      </c>
      <c r="C67" t="s">
        <v>16</v>
      </c>
      <c r="D67">
        <v>2.7680410988249783E-2</v>
      </c>
      <c r="E67" t="s">
        <v>6</v>
      </c>
      <c r="G67" t="s">
        <v>30</v>
      </c>
      <c r="H67" t="s">
        <v>16</v>
      </c>
      <c r="I67">
        <v>5.1011122907561393E-2</v>
      </c>
      <c r="J67" t="s">
        <v>6</v>
      </c>
      <c r="L67" t="s">
        <v>31</v>
      </c>
      <c r="M67" t="s">
        <v>16</v>
      </c>
      <c r="N67">
        <v>4.2649807929593338E-2</v>
      </c>
      <c r="O67" t="s">
        <v>6</v>
      </c>
    </row>
    <row r="68" spans="2:15" x14ac:dyDescent="0.45">
      <c r="B68" t="s">
        <v>29</v>
      </c>
      <c r="C68" t="s">
        <v>17</v>
      </c>
      <c r="D68">
        <v>1.2743406778533441E-5</v>
      </c>
      <c r="E68" t="s">
        <v>6</v>
      </c>
      <c r="G68" t="s">
        <v>30</v>
      </c>
      <c r="H68" t="s">
        <v>17</v>
      </c>
      <c r="I68">
        <v>9.0316452784200835E-2</v>
      </c>
      <c r="J68" t="s">
        <v>6</v>
      </c>
      <c r="L68" t="s">
        <v>31</v>
      </c>
      <c r="M68" t="s">
        <v>17</v>
      </c>
      <c r="N68">
        <v>9.3063407651115565E-2</v>
      </c>
      <c r="O68" t="s">
        <v>6</v>
      </c>
    </row>
    <row r="69" spans="2:15" x14ac:dyDescent="0.45">
      <c r="B69" t="s">
        <v>29</v>
      </c>
      <c r="C69" t="s">
        <v>18</v>
      </c>
      <c r="D69">
        <v>0.19159422033946019</v>
      </c>
      <c r="E69" t="s">
        <v>6</v>
      </c>
      <c r="G69" t="s">
        <v>30</v>
      </c>
      <c r="H69" t="s">
        <v>18</v>
      </c>
      <c r="I69">
        <v>0.10864892797258378</v>
      </c>
      <c r="J69" t="s">
        <v>6</v>
      </c>
      <c r="L69" t="s">
        <v>31</v>
      </c>
      <c r="M69" t="s">
        <v>18</v>
      </c>
      <c r="N69">
        <v>0.11320396610934648</v>
      </c>
      <c r="O69" t="s">
        <v>6</v>
      </c>
    </row>
    <row r="70" spans="2:15" x14ac:dyDescent="0.45">
      <c r="B70" t="s">
        <v>29</v>
      </c>
      <c r="C70" t="s">
        <v>19</v>
      </c>
      <c r="D70">
        <v>4.3885349791138702E-3</v>
      </c>
      <c r="E70" t="s">
        <v>6</v>
      </c>
      <c r="G70" t="s">
        <v>30</v>
      </c>
      <c r="H70" t="s">
        <v>19</v>
      </c>
      <c r="I70">
        <v>6.9460822522186133E-2</v>
      </c>
      <c r="J70" t="s">
        <v>6</v>
      </c>
      <c r="L70" t="s">
        <v>31</v>
      </c>
      <c r="M70" t="s">
        <v>19</v>
      </c>
      <c r="N70">
        <v>7.3422653070909699E-2</v>
      </c>
      <c r="O70" t="s">
        <v>6</v>
      </c>
    </row>
    <row r="71" spans="2:15" x14ac:dyDescent="0.45">
      <c r="B71" t="s">
        <v>32</v>
      </c>
      <c r="C71" t="s">
        <v>5</v>
      </c>
      <c r="D71">
        <v>0</v>
      </c>
      <c r="E71" t="s">
        <v>6</v>
      </c>
      <c r="G71" t="s">
        <v>33</v>
      </c>
      <c r="H71" t="s">
        <v>5</v>
      </c>
      <c r="I71">
        <v>0.11007888739169169</v>
      </c>
      <c r="J71" t="s">
        <v>6</v>
      </c>
      <c r="L71" t="s">
        <v>34</v>
      </c>
      <c r="M71" t="s">
        <v>5</v>
      </c>
      <c r="N71">
        <v>9.2153544756179068E-2</v>
      </c>
      <c r="O71" t="s">
        <v>6</v>
      </c>
    </row>
    <row r="72" spans="2:15" x14ac:dyDescent="0.45">
      <c r="B72" t="s">
        <v>32</v>
      </c>
      <c r="C72" t="s">
        <v>9</v>
      </c>
      <c r="D72">
        <v>0.12765312555020628</v>
      </c>
      <c r="E72" t="s">
        <v>6</v>
      </c>
      <c r="G72" t="s">
        <v>33</v>
      </c>
      <c r="H72" t="s">
        <v>9</v>
      </c>
      <c r="I72">
        <v>0.12748109458845683</v>
      </c>
      <c r="J72" t="s">
        <v>6</v>
      </c>
      <c r="L72" t="s">
        <v>34</v>
      </c>
      <c r="M72" t="s">
        <v>9</v>
      </c>
      <c r="N72">
        <v>0.11555688662742757</v>
      </c>
      <c r="O72" t="s">
        <v>6</v>
      </c>
    </row>
    <row r="73" spans="2:15" x14ac:dyDescent="0.45">
      <c r="B73" t="s">
        <v>32</v>
      </c>
      <c r="C73" t="s">
        <v>10</v>
      </c>
      <c r="D73">
        <v>1.397077614317972E-3</v>
      </c>
      <c r="E73" t="s">
        <v>6</v>
      </c>
      <c r="G73" t="s">
        <v>33</v>
      </c>
      <c r="H73" t="s">
        <v>10</v>
      </c>
      <c r="I73">
        <v>8.1953741419703949E-2</v>
      </c>
      <c r="J73" t="s">
        <v>6</v>
      </c>
      <c r="L73" t="s">
        <v>34</v>
      </c>
      <c r="M73" t="s">
        <v>10</v>
      </c>
      <c r="N73">
        <v>7.2801778346118812E-2</v>
      </c>
      <c r="O73" t="s">
        <v>6</v>
      </c>
    </row>
    <row r="74" spans="2:15" x14ac:dyDescent="0.45">
      <c r="B74" t="s">
        <v>32</v>
      </c>
      <c r="C74" t="s">
        <v>11</v>
      </c>
      <c r="D74">
        <v>1.2485083205293274E-3</v>
      </c>
      <c r="E74" t="s">
        <v>6</v>
      </c>
      <c r="G74" t="s">
        <v>33</v>
      </c>
      <c r="H74" t="s">
        <v>11</v>
      </c>
      <c r="I74">
        <v>8.3806991718380283E-2</v>
      </c>
      <c r="J74" t="s">
        <v>6</v>
      </c>
      <c r="L74" t="s">
        <v>34</v>
      </c>
      <c r="M74" t="s">
        <v>11</v>
      </c>
      <c r="N74">
        <v>8.6023757988034036E-2</v>
      </c>
      <c r="O74" t="s">
        <v>6</v>
      </c>
    </row>
    <row r="75" spans="2:15" x14ac:dyDescent="0.45">
      <c r="B75" t="s">
        <v>32</v>
      </c>
      <c r="C75" t="s">
        <v>12</v>
      </c>
      <c r="D75">
        <v>0.28233750690829279</v>
      </c>
      <c r="E75" t="s">
        <v>6</v>
      </c>
      <c r="G75" t="s">
        <v>33</v>
      </c>
      <c r="H75" t="s">
        <v>12</v>
      </c>
      <c r="I75">
        <v>9.0077925598247385E-2</v>
      </c>
      <c r="J75" t="s">
        <v>6</v>
      </c>
      <c r="L75" t="s">
        <v>34</v>
      </c>
      <c r="M75" t="s">
        <v>12</v>
      </c>
      <c r="N75">
        <v>0.14170031099856381</v>
      </c>
      <c r="O75" t="s">
        <v>6</v>
      </c>
    </row>
    <row r="76" spans="2:15" x14ac:dyDescent="0.45">
      <c r="B76" t="s">
        <v>32</v>
      </c>
      <c r="C76" t="s">
        <v>13</v>
      </c>
      <c r="D76">
        <v>1.6209988841060011E-2</v>
      </c>
      <c r="E76" t="s">
        <v>6</v>
      </c>
      <c r="G76" t="s">
        <v>33</v>
      </c>
      <c r="H76" t="s">
        <v>13</v>
      </c>
      <c r="I76">
        <v>6.2629587556270461E-2</v>
      </c>
      <c r="J76" t="s">
        <v>6</v>
      </c>
      <c r="L76" t="s">
        <v>34</v>
      </c>
      <c r="M76" t="s">
        <v>13</v>
      </c>
      <c r="N76">
        <v>7.7107757066305196E-2</v>
      </c>
      <c r="O76" t="s">
        <v>6</v>
      </c>
    </row>
    <row r="77" spans="2:15" x14ac:dyDescent="0.45">
      <c r="B77" t="s">
        <v>32</v>
      </c>
      <c r="C77" t="s">
        <v>14</v>
      </c>
      <c r="D77">
        <v>2.6853135451527723E-3</v>
      </c>
      <c r="E77" t="s">
        <v>6</v>
      </c>
      <c r="G77" t="s">
        <v>33</v>
      </c>
      <c r="H77" t="s">
        <v>14</v>
      </c>
      <c r="I77">
        <v>5.6643906374508855E-2</v>
      </c>
      <c r="J77" t="s">
        <v>6</v>
      </c>
      <c r="L77" t="s">
        <v>34</v>
      </c>
      <c r="M77" t="s">
        <v>14</v>
      </c>
      <c r="N77">
        <v>3.9209412550109318E-2</v>
      </c>
      <c r="O77" t="s">
        <v>6</v>
      </c>
    </row>
    <row r="78" spans="2:15" x14ac:dyDescent="0.45">
      <c r="B78" t="s">
        <v>32</v>
      </c>
      <c r="C78" t="s">
        <v>15</v>
      </c>
      <c r="D78">
        <v>0.34462887938397446</v>
      </c>
      <c r="E78" t="s">
        <v>6</v>
      </c>
      <c r="G78" t="s">
        <v>33</v>
      </c>
      <c r="H78" t="s">
        <v>15</v>
      </c>
      <c r="I78">
        <v>5.7418344637202724E-2</v>
      </c>
      <c r="J78" t="s">
        <v>6</v>
      </c>
      <c r="L78" t="s">
        <v>34</v>
      </c>
      <c r="M78" t="s">
        <v>15</v>
      </c>
      <c r="N78">
        <v>7.3785424598172611E-2</v>
      </c>
      <c r="O78" t="s">
        <v>6</v>
      </c>
    </row>
    <row r="79" spans="2:15" x14ac:dyDescent="0.45">
      <c r="B79" t="s">
        <v>32</v>
      </c>
      <c r="C79" t="s">
        <v>16</v>
      </c>
      <c r="D79">
        <v>2.7706043122881507E-2</v>
      </c>
      <c r="E79" t="s">
        <v>6</v>
      </c>
      <c r="G79" t="s">
        <v>33</v>
      </c>
      <c r="H79" t="s">
        <v>16</v>
      </c>
      <c r="I79">
        <v>4.4007170640359139E-2</v>
      </c>
      <c r="J79" t="s">
        <v>6</v>
      </c>
      <c r="L79" t="s">
        <v>34</v>
      </c>
      <c r="M79" t="s">
        <v>16</v>
      </c>
      <c r="N79">
        <v>4.6072348738399445E-2</v>
      </c>
      <c r="O79" t="s">
        <v>6</v>
      </c>
    </row>
    <row r="80" spans="2:15" x14ac:dyDescent="0.45">
      <c r="B80" t="s">
        <v>32</v>
      </c>
      <c r="C80" t="s">
        <v>17</v>
      </c>
      <c r="D80">
        <v>2.2056557947246226E-5</v>
      </c>
      <c r="E80" t="s">
        <v>6</v>
      </c>
      <c r="G80" t="s">
        <v>33</v>
      </c>
      <c r="H80" t="s">
        <v>17</v>
      </c>
      <c r="I80">
        <v>9.8902231116369976E-2</v>
      </c>
      <c r="J80" t="s">
        <v>6</v>
      </c>
      <c r="L80" t="s">
        <v>34</v>
      </c>
      <c r="M80" t="s">
        <v>17</v>
      </c>
      <c r="N80">
        <v>8.0995763990851649E-2</v>
      </c>
      <c r="O80" t="s">
        <v>6</v>
      </c>
    </row>
    <row r="81" spans="2:15" x14ac:dyDescent="0.45">
      <c r="B81" t="s">
        <v>32</v>
      </c>
      <c r="C81" t="s">
        <v>18</v>
      </c>
      <c r="D81">
        <v>0.1919182285557009</v>
      </c>
      <c r="E81" t="s">
        <v>6</v>
      </c>
      <c r="G81" t="s">
        <v>33</v>
      </c>
      <c r="H81" t="s">
        <v>18</v>
      </c>
      <c r="I81">
        <v>0.11170288325388882</v>
      </c>
      <c r="J81" t="s">
        <v>6</v>
      </c>
      <c r="L81" t="s">
        <v>34</v>
      </c>
      <c r="M81" t="s">
        <v>18</v>
      </c>
      <c r="N81">
        <v>0.10741331239231715</v>
      </c>
      <c r="O81" t="s">
        <v>6</v>
      </c>
    </row>
    <row r="82" spans="2:15" x14ac:dyDescent="0.45">
      <c r="B82" t="s">
        <v>32</v>
      </c>
      <c r="C82" t="s">
        <v>19</v>
      </c>
      <c r="D82">
        <v>4.1932715999356005E-3</v>
      </c>
      <c r="E82" t="s">
        <v>6</v>
      </c>
      <c r="G82" t="s">
        <v>33</v>
      </c>
      <c r="H82" t="s">
        <v>19</v>
      </c>
      <c r="I82">
        <v>7.5297235704911675E-2</v>
      </c>
      <c r="J82" t="s">
        <v>6</v>
      </c>
      <c r="L82" t="s">
        <v>34</v>
      </c>
      <c r="M82" t="s">
        <v>19</v>
      </c>
      <c r="N82">
        <v>6.7179701947521347E-2</v>
      </c>
      <c r="O82" t="s">
        <v>6</v>
      </c>
    </row>
    <row r="83" spans="2:15" x14ac:dyDescent="0.45">
      <c r="B83" t="s">
        <v>35</v>
      </c>
      <c r="C83" t="s">
        <v>5</v>
      </c>
      <c r="D83">
        <v>0</v>
      </c>
      <c r="E83" t="s">
        <v>6</v>
      </c>
      <c r="G83" t="s">
        <v>36</v>
      </c>
      <c r="H83" t="s">
        <v>5</v>
      </c>
      <c r="I83">
        <v>0.1052161361456027</v>
      </c>
      <c r="J83" t="s">
        <v>6</v>
      </c>
      <c r="L83" t="s">
        <v>37</v>
      </c>
      <c r="M83" t="s">
        <v>5</v>
      </c>
      <c r="N83">
        <v>8.8735980517810523E-2</v>
      </c>
      <c r="O83" t="s">
        <v>6</v>
      </c>
    </row>
    <row r="84" spans="2:15" x14ac:dyDescent="0.45">
      <c r="B84" t="s">
        <v>35</v>
      </c>
      <c r="C84" t="s">
        <v>9</v>
      </c>
      <c r="D84">
        <v>0.13041520237234319</v>
      </c>
      <c r="E84" t="s">
        <v>6</v>
      </c>
      <c r="G84" t="s">
        <v>36</v>
      </c>
      <c r="H84" t="s">
        <v>9</v>
      </c>
      <c r="I84">
        <v>0.11880843654508423</v>
      </c>
      <c r="J84" t="s">
        <v>6</v>
      </c>
      <c r="L84" t="s">
        <v>37</v>
      </c>
      <c r="M84" t="s">
        <v>9</v>
      </c>
      <c r="N84">
        <v>0.11294562698274146</v>
      </c>
      <c r="O84" t="s">
        <v>6</v>
      </c>
    </row>
    <row r="85" spans="2:15" x14ac:dyDescent="0.45">
      <c r="B85" t="s">
        <v>35</v>
      </c>
      <c r="C85" t="s">
        <v>10</v>
      </c>
      <c r="D85">
        <v>1.0191857704062324E-3</v>
      </c>
      <c r="E85" t="s">
        <v>6</v>
      </c>
      <c r="G85" t="s">
        <v>36</v>
      </c>
      <c r="H85" t="s">
        <v>10</v>
      </c>
      <c r="I85">
        <v>8.096480134119402E-2</v>
      </c>
      <c r="J85" t="s">
        <v>6</v>
      </c>
      <c r="L85" t="s">
        <v>37</v>
      </c>
      <c r="M85" t="s">
        <v>10</v>
      </c>
      <c r="N85">
        <v>6.8234211704801428E-2</v>
      </c>
      <c r="O85" t="s">
        <v>6</v>
      </c>
    </row>
    <row r="86" spans="2:15" x14ac:dyDescent="0.45">
      <c r="B86" t="s">
        <v>35</v>
      </c>
      <c r="C86" t="s">
        <v>11</v>
      </c>
      <c r="D86">
        <v>1.5331076279916987E-3</v>
      </c>
      <c r="E86" t="s">
        <v>6</v>
      </c>
      <c r="G86" t="s">
        <v>36</v>
      </c>
      <c r="H86" t="s">
        <v>11</v>
      </c>
      <c r="I86">
        <v>8.6099304736701326E-2</v>
      </c>
      <c r="J86" t="s">
        <v>6</v>
      </c>
      <c r="L86" t="s">
        <v>37</v>
      </c>
      <c r="M86" t="s">
        <v>11</v>
      </c>
      <c r="N86">
        <v>0.1045072850260767</v>
      </c>
      <c r="O86" t="s">
        <v>6</v>
      </c>
    </row>
    <row r="87" spans="2:15" x14ac:dyDescent="0.45">
      <c r="B87" t="s">
        <v>35</v>
      </c>
      <c r="C87" t="s">
        <v>12</v>
      </c>
      <c r="D87">
        <v>0.28245934230790787</v>
      </c>
      <c r="E87" t="s">
        <v>6</v>
      </c>
      <c r="G87" t="s">
        <v>36</v>
      </c>
      <c r="H87" t="s">
        <v>12</v>
      </c>
      <c r="I87">
        <v>8.8746275078552858E-2</v>
      </c>
      <c r="J87" t="s">
        <v>6</v>
      </c>
      <c r="L87" t="s">
        <v>37</v>
      </c>
      <c r="M87" t="s">
        <v>12</v>
      </c>
      <c r="N87">
        <v>0.14138653460320308</v>
      </c>
      <c r="O87" t="s">
        <v>6</v>
      </c>
    </row>
    <row r="88" spans="2:15" x14ac:dyDescent="0.45">
      <c r="B88" t="s">
        <v>35</v>
      </c>
      <c r="C88" t="s">
        <v>13</v>
      </c>
      <c r="D88">
        <v>1.5451201782846096E-2</v>
      </c>
      <c r="E88" t="s">
        <v>6</v>
      </c>
      <c r="G88" t="s">
        <v>36</v>
      </c>
      <c r="H88" t="s">
        <v>13</v>
      </c>
      <c r="I88">
        <v>6.3931854424104331E-2</v>
      </c>
      <c r="J88" t="s">
        <v>6</v>
      </c>
      <c r="L88" t="s">
        <v>37</v>
      </c>
      <c r="M88" t="s">
        <v>13</v>
      </c>
      <c r="N88">
        <v>8.2478484319122011E-2</v>
      </c>
      <c r="O88" t="s">
        <v>6</v>
      </c>
    </row>
    <row r="89" spans="2:15" x14ac:dyDescent="0.45">
      <c r="B89" t="s">
        <v>35</v>
      </c>
      <c r="C89" t="s">
        <v>14</v>
      </c>
      <c r="D89">
        <v>3.5027582709427551E-3</v>
      </c>
      <c r="E89" t="s">
        <v>6</v>
      </c>
      <c r="G89" t="s">
        <v>36</v>
      </c>
      <c r="H89" t="s">
        <v>14</v>
      </c>
      <c r="I89">
        <v>6.4498492918551295E-2</v>
      </c>
      <c r="J89" t="s">
        <v>6</v>
      </c>
      <c r="L89" t="s">
        <v>37</v>
      </c>
      <c r="M89" t="s">
        <v>14</v>
      </c>
      <c r="N89">
        <v>3.7502209275001669E-2</v>
      </c>
      <c r="O89" t="s">
        <v>6</v>
      </c>
    </row>
    <row r="90" spans="2:15" x14ac:dyDescent="0.45">
      <c r="B90" t="s">
        <v>35</v>
      </c>
      <c r="C90" t="s">
        <v>15</v>
      </c>
      <c r="D90">
        <v>0.34346962296416544</v>
      </c>
      <c r="E90" t="s">
        <v>6</v>
      </c>
      <c r="G90" t="s">
        <v>36</v>
      </c>
      <c r="H90" t="s">
        <v>15</v>
      </c>
      <c r="I90">
        <v>5.7306799685926071E-2</v>
      </c>
      <c r="J90" t="s">
        <v>6</v>
      </c>
      <c r="L90" t="s">
        <v>37</v>
      </c>
      <c r="M90" t="s">
        <v>15</v>
      </c>
      <c r="N90">
        <v>5.1555767935622152E-2</v>
      </c>
      <c r="O90" t="s">
        <v>6</v>
      </c>
    </row>
    <row r="91" spans="2:15" x14ac:dyDescent="0.45">
      <c r="B91" t="s">
        <v>35</v>
      </c>
      <c r="C91" t="s">
        <v>16</v>
      </c>
      <c r="D91">
        <v>2.7287052095723106E-2</v>
      </c>
      <c r="E91" t="s">
        <v>6</v>
      </c>
      <c r="G91" t="s">
        <v>36</v>
      </c>
      <c r="H91" t="s">
        <v>16</v>
      </c>
      <c r="I91">
        <v>4.754281239040159E-2</v>
      </c>
      <c r="J91" t="s">
        <v>6</v>
      </c>
      <c r="L91" t="s">
        <v>37</v>
      </c>
      <c r="M91" t="s">
        <v>16</v>
      </c>
      <c r="N91">
        <v>3.3411370046503533E-2</v>
      </c>
      <c r="O91" t="s">
        <v>6</v>
      </c>
    </row>
    <row r="92" spans="2:15" x14ac:dyDescent="0.45">
      <c r="B92" t="s">
        <v>35</v>
      </c>
      <c r="C92" t="s">
        <v>17</v>
      </c>
      <c r="D92">
        <v>4.2779558163201814E-5</v>
      </c>
      <c r="E92" t="s">
        <v>6</v>
      </c>
      <c r="G92" t="s">
        <v>36</v>
      </c>
      <c r="H92" t="s">
        <v>17</v>
      </c>
      <c r="I92">
        <v>9.8139798934423483E-2</v>
      </c>
      <c r="J92" t="s">
        <v>6</v>
      </c>
      <c r="L92" t="s">
        <v>37</v>
      </c>
      <c r="M92" t="s">
        <v>17</v>
      </c>
      <c r="N92">
        <v>8.9551445844765917E-2</v>
      </c>
      <c r="O92" t="s">
        <v>6</v>
      </c>
    </row>
    <row r="93" spans="2:15" x14ac:dyDescent="0.45">
      <c r="B93" t="s">
        <v>35</v>
      </c>
      <c r="C93" t="s">
        <v>18</v>
      </c>
      <c r="D93">
        <v>0.19142027917221838</v>
      </c>
      <c r="E93" t="s">
        <v>6</v>
      </c>
      <c r="G93" t="s">
        <v>36</v>
      </c>
      <c r="H93" t="s">
        <v>18</v>
      </c>
      <c r="I93">
        <v>0.11063553341157026</v>
      </c>
      <c r="J93" t="s">
        <v>6</v>
      </c>
      <c r="L93" t="s">
        <v>37</v>
      </c>
      <c r="M93" t="s">
        <v>18</v>
      </c>
      <c r="N93">
        <v>0.11846031787185055</v>
      </c>
      <c r="O93" t="s">
        <v>6</v>
      </c>
    </row>
    <row r="94" spans="2:15" x14ac:dyDescent="0.45">
      <c r="B94" t="s">
        <v>35</v>
      </c>
      <c r="C94" t="s">
        <v>19</v>
      </c>
      <c r="D94">
        <v>3.3994680772927981E-3</v>
      </c>
      <c r="E94" t="s">
        <v>6</v>
      </c>
      <c r="G94" t="s">
        <v>36</v>
      </c>
      <c r="H94" t="s">
        <v>19</v>
      </c>
      <c r="I94">
        <v>7.8109754387887836E-2</v>
      </c>
      <c r="J94" t="s">
        <v>6</v>
      </c>
      <c r="L94" t="s">
        <v>37</v>
      </c>
      <c r="M94" t="s">
        <v>19</v>
      </c>
      <c r="N94">
        <v>7.1230765872501711E-2</v>
      </c>
      <c r="O94" t="s">
        <v>6</v>
      </c>
    </row>
    <row r="95" spans="2:15" x14ac:dyDescent="0.45">
      <c r="B95" t="s">
        <v>38</v>
      </c>
      <c r="C95" t="s">
        <v>5</v>
      </c>
      <c r="D95">
        <v>0</v>
      </c>
      <c r="E95" t="s">
        <v>6</v>
      </c>
      <c r="G95" t="s">
        <v>39</v>
      </c>
      <c r="H95" t="s">
        <v>5</v>
      </c>
      <c r="I95">
        <v>0.10329332601251816</v>
      </c>
      <c r="J95" t="s">
        <v>6</v>
      </c>
      <c r="L95" t="s">
        <v>40</v>
      </c>
      <c r="M95" t="s">
        <v>5</v>
      </c>
      <c r="N95">
        <v>8.9163661290042787E-2</v>
      </c>
      <c r="O95" t="s">
        <v>6</v>
      </c>
    </row>
    <row r="96" spans="2:15" x14ac:dyDescent="0.45">
      <c r="B96" t="s">
        <v>38</v>
      </c>
      <c r="C96" t="s">
        <v>9</v>
      </c>
      <c r="D96">
        <v>0.13137397853667995</v>
      </c>
      <c r="E96" t="s">
        <v>6</v>
      </c>
      <c r="G96" t="s">
        <v>39</v>
      </c>
      <c r="H96" t="s">
        <v>9</v>
      </c>
      <c r="I96">
        <v>0.11928460739850646</v>
      </c>
      <c r="J96" t="s">
        <v>6</v>
      </c>
      <c r="L96" t="s">
        <v>40</v>
      </c>
      <c r="M96" t="s">
        <v>9</v>
      </c>
      <c r="N96">
        <v>0.12230688459655256</v>
      </c>
      <c r="O96" t="s">
        <v>6</v>
      </c>
    </row>
    <row r="97" spans="2:15" x14ac:dyDescent="0.45">
      <c r="B97" t="s">
        <v>38</v>
      </c>
      <c r="C97" t="s">
        <v>10</v>
      </c>
      <c r="D97">
        <v>1.4056150296393231E-3</v>
      </c>
      <c r="E97" t="s">
        <v>6</v>
      </c>
      <c r="G97" t="s">
        <v>39</v>
      </c>
      <c r="H97" t="s">
        <v>10</v>
      </c>
      <c r="I97">
        <v>7.9303101259801723E-2</v>
      </c>
      <c r="J97" t="s">
        <v>6</v>
      </c>
      <c r="L97" t="s">
        <v>40</v>
      </c>
      <c r="M97" t="s">
        <v>10</v>
      </c>
      <c r="N97">
        <v>7.1281656112624811E-2</v>
      </c>
      <c r="O97" t="s">
        <v>6</v>
      </c>
    </row>
    <row r="98" spans="2:15" x14ac:dyDescent="0.45">
      <c r="B98" t="s">
        <v>38</v>
      </c>
      <c r="C98" t="s">
        <v>11</v>
      </c>
      <c r="D98">
        <v>1.2015722406489887E-3</v>
      </c>
      <c r="E98" t="s">
        <v>6</v>
      </c>
      <c r="G98" t="s">
        <v>39</v>
      </c>
      <c r="H98" t="s">
        <v>11</v>
      </c>
      <c r="I98">
        <v>8.5202125898108799E-2</v>
      </c>
      <c r="J98" t="s">
        <v>6</v>
      </c>
      <c r="L98" t="s">
        <v>40</v>
      </c>
      <c r="M98" t="s">
        <v>11</v>
      </c>
      <c r="N98">
        <v>0.10317411107207404</v>
      </c>
      <c r="O98" t="s">
        <v>6</v>
      </c>
    </row>
    <row r="99" spans="2:15" x14ac:dyDescent="0.45">
      <c r="B99" t="s">
        <v>38</v>
      </c>
      <c r="C99" t="s">
        <v>12</v>
      </c>
      <c r="D99">
        <v>0.28663894399517997</v>
      </c>
      <c r="E99" t="s">
        <v>6</v>
      </c>
      <c r="G99" t="s">
        <v>39</v>
      </c>
      <c r="H99" t="s">
        <v>12</v>
      </c>
      <c r="I99">
        <v>9.7884171897697422E-2</v>
      </c>
      <c r="J99" t="s">
        <v>6</v>
      </c>
      <c r="L99" t="s">
        <v>40</v>
      </c>
      <c r="M99" t="s">
        <v>12</v>
      </c>
      <c r="N99">
        <v>0.13273916619857259</v>
      </c>
      <c r="O99" t="s">
        <v>6</v>
      </c>
    </row>
    <row r="100" spans="2:15" x14ac:dyDescent="0.45">
      <c r="B100" t="s">
        <v>38</v>
      </c>
      <c r="C100" t="s">
        <v>13</v>
      </c>
      <c r="D100">
        <v>1.8068006728408983E-2</v>
      </c>
      <c r="E100" t="s">
        <v>6</v>
      </c>
      <c r="G100" t="s">
        <v>39</v>
      </c>
      <c r="H100" t="s">
        <v>13</v>
      </c>
      <c r="I100">
        <v>6.2393270548244756E-2</v>
      </c>
      <c r="J100" t="s">
        <v>6</v>
      </c>
      <c r="L100" t="s">
        <v>40</v>
      </c>
      <c r="M100" t="s">
        <v>13</v>
      </c>
      <c r="N100">
        <v>8.0648396815798884E-2</v>
      </c>
      <c r="O100" t="s">
        <v>6</v>
      </c>
    </row>
    <row r="101" spans="2:15" x14ac:dyDescent="0.45">
      <c r="B101" t="s">
        <v>38</v>
      </c>
      <c r="C101" t="s">
        <v>14</v>
      </c>
      <c r="D101">
        <v>2.7700126326089098E-3</v>
      </c>
      <c r="E101" t="s">
        <v>6</v>
      </c>
      <c r="G101" t="s">
        <v>39</v>
      </c>
      <c r="H101" t="s">
        <v>14</v>
      </c>
      <c r="I101">
        <v>6.414215699940487E-2</v>
      </c>
      <c r="J101" t="s">
        <v>6</v>
      </c>
      <c r="L101" t="s">
        <v>40</v>
      </c>
      <c r="M101" t="s">
        <v>14</v>
      </c>
      <c r="N101">
        <v>3.2950793726922209E-2</v>
      </c>
      <c r="O101" t="s">
        <v>6</v>
      </c>
    </row>
    <row r="102" spans="2:15" x14ac:dyDescent="0.45">
      <c r="B102" t="s">
        <v>38</v>
      </c>
      <c r="C102" t="s">
        <v>15</v>
      </c>
      <c r="D102">
        <v>0.3396411874623243</v>
      </c>
      <c r="E102" t="s">
        <v>6</v>
      </c>
      <c r="G102" t="s">
        <v>39</v>
      </c>
      <c r="H102" t="s">
        <v>15</v>
      </c>
      <c r="I102">
        <v>6.5231208567923887E-2</v>
      </c>
      <c r="J102" t="s">
        <v>6</v>
      </c>
      <c r="L102" t="s">
        <v>40</v>
      </c>
      <c r="M102" t="s">
        <v>15</v>
      </c>
      <c r="N102">
        <v>5.2999873648716209E-2</v>
      </c>
      <c r="O102" t="s">
        <v>6</v>
      </c>
    </row>
    <row r="103" spans="2:15" x14ac:dyDescent="0.45">
      <c r="B103" t="s">
        <v>38</v>
      </c>
      <c r="C103" t="s">
        <v>16</v>
      </c>
      <c r="D103">
        <v>3.0054620302348893E-2</v>
      </c>
      <c r="E103" t="s">
        <v>6</v>
      </c>
      <c r="G103" t="s">
        <v>39</v>
      </c>
      <c r="H103" t="s">
        <v>16</v>
      </c>
      <c r="I103">
        <v>5.0745159538956149E-2</v>
      </c>
      <c r="J103" t="s">
        <v>6</v>
      </c>
      <c r="L103" t="s">
        <v>40</v>
      </c>
      <c r="M103" t="s">
        <v>16</v>
      </c>
      <c r="N103">
        <v>2.7743440310999207E-2</v>
      </c>
      <c r="O103" t="s">
        <v>6</v>
      </c>
    </row>
    <row r="104" spans="2:15" x14ac:dyDescent="0.45">
      <c r="B104" t="s">
        <v>38</v>
      </c>
      <c r="C104" t="s">
        <v>17</v>
      </c>
      <c r="D104">
        <v>2.0933991163403394E-5</v>
      </c>
      <c r="E104" t="s">
        <v>6</v>
      </c>
      <c r="G104" t="s">
        <v>39</v>
      </c>
      <c r="H104" t="s">
        <v>17</v>
      </c>
      <c r="I104">
        <v>9.1219808977259259E-2</v>
      </c>
      <c r="J104" t="s">
        <v>6</v>
      </c>
      <c r="L104" t="s">
        <v>40</v>
      </c>
      <c r="M104" t="s">
        <v>17</v>
      </c>
      <c r="N104">
        <v>9.309973118446066E-2</v>
      </c>
      <c r="O104" t="s">
        <v>6</v>
      </c>
    </row>
    <row r="105" spans="2:15" x14ac:dyDescent="0.45">
      <c r="B105" t="s">
        <v>38</v>
      </c>
      <c r="C105" t="s">
        <v>18</v>
      </c>
      <c r="D105">
        <v>0.18442706147231558</v>
      </c>
      <c r="E105" t="s">
        <v>6</v>
      </c>
      <c r="G105" t="s">
        <v>39</v>
      </c>
      <c r="H105" t="s">
        <v>18</v>
      </c>
      <c r="I105">
        <v>0.10906241059123564</v>
      </c>
      <c r="J105" t="s">
        <v>6</v>
      </c>
      <c r="L105" t="s">
        <v>40</v>
      </c>
      <c r="M105" t="s">
        <v>18</v>
      </c>
      <c r="N105">
        <v>0.11800156069729385</v>
      </c>
      <c r="O105" t="s">
        <v>6</v>
      </c>
    </row>
    <row r="106" spans="2:15" x14ac:dyDescent="0.45">
      <c r="B106" t="s">
        <v>38</v>
      </c>
      <c r="C106" t="s">
        <v>19</v>
      </c>
      <c r="D106">
        <v>4.3980676086825448E-3</v>
      </c>
      <c r="E106" t="s">
        <v>6</v>
      </c>
      <c r="G106" t="s">
        <v>39</v>
      </c>
      <c r="H106" t="s">
        <v>19</v>
      </c>
      <c r="I106">
        <v>7.2238652310341558E-2</v>
      </c>
      <c r="J106" t="s">
        <v>6</v>
      </c>
      <c r="L106" t="s">
        <v>40</v>
      </c>
      <c r="M106" t="s">
        <v>19</v>
      </c>
      <c r="N106">
        <v>7.5890724345942184E-2</v>
      </c>
      <c r="O106" t="s">
        <v>6</v>
      </c>
    </row>
    <row r="107" spans="2:15" x14ac:dyDescent="0.45">
      <c r="B107" t="s">
        <v>41</v>
      </c>
      <c r="C107" t="s">
        <v>5</v>
      </c>
      <c r="D107">
        <v>0</v>
      </c>
      <c r="E107" t="s">
        <v>6</v>
      </c>
      <c r="G107" t="s">
        <v>42</v>
      </c>
      <c r="H107" t="s">
        <v>5</v>
      </c>
      <c r="I107">
        <v>0.10655817085652801</v>
      </c>
      <c r="J107" t="s">
        <v>6</v>
      </c>
      <c r="L107" t="s">
        <v>43</v>
      </c>
      <c r="M107" t="s">
        <v>5</v>
      </c>
      <c r="N107">
        <v>0.10755105701484513</v>
      </c>
      <c r="O107" t="s">
        <v>6</v>
      </c>
    </row>
    <row r="108" spans="2:15" x14ac:dyDescent="0.45">
      <c r="B108" t="s">
        <v>41</v>
      </c>
      <c r="C108" t="s">
        <v>9</v>
      </c>
      <c r="D108">
        <v>0.13278130364150717</v>
      </c>
      <c r="E108" t="s">
        <v>6</v>
      </c>
      <c r="G108" t="s">
        <v>42</v>
      </c>
      <c r="H108" t="s">
        <v>9</v>
      </c>
      <c r="I108">
        <v>0.1192572216307372</v>
      </c>
      <c r="J108" t="s">
        <v>6</v>
      </c>
      <c r="L108" t="s">
        <v>43</v>
      </c>
      <c r="M108" t="s">
        <v>9</v>
      </c>
      <c r="N108">
        <v>0.11915784724402181</v>
      </c>
      <c r="O108" t="s">
        <v>6</v>
      </c>
    </row>
    <row r="109" spans="2:15" x14ac:dyDescent="0.45">
      <c r="B109" t="s">
        <v>41</v>
      </c>
      <c r="C109" t="s">
        <v>10</v>
      </c>
      <c r="D109">
        <v>3.3775907142228139E-3</v>
      </c>
      <c r="E109" t="s">
        <v>6</v>
      </c>
      <c r="G109" t="s">
        <v>42</v>
      </c>
      <c r="H109" t="s">
        <v>10</v>
      </c>
      <c r="I109">
        <v>8.0932832416070702E-2</v>
      </c>
      <c r="J109" t="s">
        <v>6</v>
      </c>
      <c r="L109" t="s">
        <v>43</v>
      </c>
      <c r="M109" t="s">
        <v>10</v>
      </c>
      <c r="N109">
        <v>7.8668064500933416E-2</v>
      </c>
      <c r="O109" t="s">
        <v>6</v>
      </c>
    </row>
    <row r="110" spans="2:15" x14ac:dyDescent="0.45">
      <c r="B110" t="s">
        <v>41</v>
      </c>
      <c r="C110" t="s">
        <v>11</v>
      </c>
      <c r="D110">
        <v>5.3617586259794865E-4</v>
      </c>
      <c r="E110" t="s">
        <v>6</v>
      </c>
      <c r="G110" t="s">
        <v>42</v>
      </c>
      <c r="H110" t="s">
        <v>11</v>
      </c>
      <c r="I110">
        <v>8.5576227040720265E-2</v>
      </c>
      <c r="J110" t="s">
        <v>6</v>
      </c>
      <c r="L110" t="s">
        <v>43</v>
      </c>
      <c r="M110" t="s">
        <v>11</v>
      </c>
      <c r="N110">
        <v>9.0039997029745245E-2</v>
      </c>
      <c r="O110" t="s">
        <v>6</v>
      </c>
    </row>
    <row r="111" spans="2:15" x14ac:dyDescent="0.45">
      <c r="B111" t="s">
        <v>41</v>
      </c>
      <c r="C111" t="s">
        <v>12</v>
      </c>
      <c r="D111">
        <v>0.28075035274778865</v>
      </c>
      <c r="E111" t="s">
        <v>6</v>
      </c>
      <c r="G111" t="s">
        <v>42</v>
      </c>
      <c r="H111" t="s">
        <v>12</v>
      </c>
      <c r="I111">
        <v>9.3195412678310191E-2</v>
      </c>
      <c r="J111" t="s">
        <v>6</v>
      </c>
      <c r="L111" t="s">
        <v>43</v>
      </c>
      <c r="M111" t="s">
        <v>12</v>
      </c>
      <c r="N111">
        <v>0.10931517814845669</v>
      </c>
      <c r="O111" t="s">
        <v>6</v>
      </c>
    </row>
    <row r="112" spans="2:15" x14ac:dyDescent="0.45">
      <c r="B112" t="s">
        <v>41</v>
      </c>
      <c r="C112" t="s">
        <v>13</v>
      </c>
      <c r="D112">
        <v>2.4133435307087676E-2</v>
      </c>
      <c r="E112" t="s">
        <v>6</v>
      </c>
      <c r="G112" t="s">
        <v>42</v>
      </c>
      <c r="H112" t="s">
        <v>13</v>
      </c>
      <c r="I112">
        <v>6.2138742808881958E-2</v>
      </c>
      <c r="J112" t="s">
        <v>6</v>
      </c>
      <c r="L112" t="s">
        <v>43</v>
      </c>
      <c r="M112" t="s">
        <v>13</v>
      </c>
      <c r="N112">
        <v>6.6881529201717679E-2</v>
      </c>
      <c r="O112" t="s">
        <v>6</v>
      </c>
    </row>
    <row r="113" spans="2:15" x14ac:dyDescent="0.45">
      <c r="B113" t="s">
        <v>41</v>
      </c>
      <c r="C113" t="s">
        <v>14</v>
      </c>
      <c r="D113">
        <v>1.2887050166556239E-3</v>
      </c>
      <c r="E113" t="s">
        <v>6</v>
      </c>
      <c r="G113" t="s">
        <v>42</v>
      </c>
      <c r="H113" t="s">
        <v>14</v>
      </c>
      <c r="I113">
        <v>6.42615632791705E-2</v>
      </c>
      <c r="J113" t="s">
        <v>6</v>
      </c>
      <c r="L113" t="s">
        <v>43</v>
      </c>
      <c r="M113" t="s">
        <v>14</v>
      </c>
      <c r="N113">
        <v>4.5399721177374286E-2</v>
      </c>
      <c r="O113" t="s">
        <v>6</v>
      </c>
    </row>
    <row r="114" spans="2:15" x14ac:dyDescent="0.45">
      <c r="B114" t="s">
        <v>41</v>
      </c>
      <c r="C114" t="s">
        <v>15</v>
      </c>
      <c r="D114">
        <v>0.31718781759261433</v>
      </c>
      <c r="E114" t="s">
        <v>6</v>
      </c>
      <c r="G114" t="s">
        <v>42</v>
      </c>
      <c r="H114" t="s">
        <v>15</v>
      </c>
      <c r="I114">
        <v>5.792770634674476E-2</v>
      </c>
      <c r="J114" t="s">
        <v>6</v>
      </c>
      <c r="L114" t="s">
        <v>43</v>
      </c>
      <c r="M114" t="s">
        <v>15</v>
      </c>
      <c r="N114">
        <v>6.0915285404882211E-2</v>
      </c>
      <c r="O114" t="s">
        <v>6</v>
      </c>
    </row>
    <row r="115" spans="2:15" x14ac:dyDescent="0.45">
      <c r="B115" t="s">
        <v>41</v>
      </c>
      <c r="C115" t="s">
        <v>16</v>
      </c>
      <c r="D115">
        <v>3.5943060091108696E-2</v>
      </c>
      <c r="E115" t="s">
        <v>6</v>
      </c>
      <c r="G115" t="s">
        <v>42</v>
      </c>
      <c r="H115" t="s">
        <v>16</v>
      </c>
      <c r="I115">
        <v>4.5259284338331061E-2</v>
      </c>
      <c r="J115" t="s">
        <v>6</v>
      </c>
      <c r="L115" t="s">
        <v>43</v>
      </c>
      <c r="M115" t="s">
        <v>16</v>
      </c>
      <c r="N115">
        <v>5.2427995669531033E-2</v>
      </c>
      <c r="O115" t="s">
        <v>6</v>
      </c>
    </row>
    <row r="116" spans="2:15" x14ac:dyDescent="0.45">
      <c r="B116" t="s">
        <v>41</v>
      </c>
      <c r="C116" t="s">
        <v>17</v>
      </c>
      <c r="D116">
        <v>0</v>
      </c>
      <c r="E116" t="s">
        <v>6</v>
      </c>
      <c r="G116" t="s">
        <v>42</v>
      </c>
      <c r="H116" t="s">
        <v>17</v>
      </c>
      <c r="I116">
        <v>9.6727192866573108E-2</v>
      </c>
      <c r="J116" t="s">
        <v>6</v>
      </c>
      <c r="L116" t="s">
        <v>43</v>
      </c>
      <c r="M116" t="s">
        <v>17</v>
      </c>
      <c r="N116">
        <v>8.9419052848076747E-2</v>
      </c>
      <c r="O116" t="s">
        <v>6</v>
      </c>
    </row>
    <row r="117" spans="2:15" x14ac:dyDescent="0.45">
      <c r="B117" t="s">
        <v>41</v>
      </c>
      <c r="C117" t="s">
        <v>18</v>
      </c>
      <c r="D117">
        <v>0.19616391290612725</v>
      </c>
      <c r="E117" t="s">
        <v>6</v>
      </c>
      <c r="G117" t="s">
        <v>42</v>
      </c>
      <c r="H117" t="s">
        <v>18</v>
      </c>
      <c r="I117">
        <v>0.11058621836337354</v>
      </c>
      <c r="J117" t="s">
        <v>6</v>
      </c>
      <c r="L117" t="s">
        <v>43</v>
      </c>
      <c r="M117" t="s">
        <v>18</v>
      </c>
      <c r="N117">
        <v>0.10822599056840704</v>
      </c>
      <c r="O117" t="s">
        <v>6</v>
      </c>
    </row>
    <row r="118" spans="2:15" x14ac:dyDescent="0.45">
      <c r="B118" t="s">
        <v>41</v>
      </c>
      <c r="C118" t="s">
        <v>19</v>
      </c>
      <c r="D118">
        <v>7.8376461202941984E-3</v>
      </c>
      <c r="E118" t="s">
        <v>6</v>
      </c>
      <c r="G118" t="s">
        <v>42</v>
      </c>
      <c r="H118" t="s">
        <v>19</v>
      </c>
      <c r="I118">
        <v>7.7579427374556142E-2</v>
      </c>
      <c r="J118" t="s">
        <v>6</v>
      </c>
      <c r="L118" t="s">
        <v>43</v>
      </c>
      <c r="M118" t="s">
        <v>19</v>
      </c>
      <c r="N118">
        <v>7.1998281192006297E-2</v>
      </c>
      <c r="O118" t="s">
        <v>6</v>
      </c>
    </row>
    <row r="119" spans="2:15" x14ac:dyDescent="0.45">
      <c r="B119" t="s">
        <v>44</v>
      </c>
      <c r="C119" t="s">
        <v>5</v>
      </c>
      <c r="D119">
        <v>0</v>
      </c>
      <c r="E119" t="s">
        <v>6</v>
      </c>
      <c r="G119" t="s">
        <v>45</v>
      </c>
      <c r="H119" t="s">
        <v>5</v>
      </c>
      <c r="I119">
        <v>0.1075298968425667</v>
      </c>
      <c r="J119" t="s">
        <v>6</v>
      </c>
      <c r="L119" t="s">
        <v>46</v>
      </c>
      <c r="M119" t="s">
        <v>5</v>
      </c>
      <c r="N119">
        <v>0.12611891163995925</v>
      </c>
      <c r="O119" t="s">
        <v>6</v>
      </c>
    </row>
    <row r="120" spans="2:15" x14ac:dyDescent="0.45">
      <c r="B120" t="s">
        <v>44</v>
      </c>
      <c r="C120" t="s">
        <v>9</v>
      </c>
      <c r="D120">
        <v>0.13239803490453544</v>
      </c>
      <c r="E120" t="s">
        <v>6</v>
      </c>
      <c r="G120" t="s">
        <v>45</v>
      </c>
      <c r="H120" t="s">
        <v>9</v>
      </c>
      <c r="I120">
        <v>0.11977994352031578</v>
      </c>
      <c r="J120" t="s">
        <v>6</v>
      </c>
      <c r="L120" t="s">
        <v>46</v>
      </c>
      <c r="M120" t="s">
        <v>9</v>
      </c>
      <c r="N120">
        <v>0.14069098920322234</v>
      </c>
      <c r="O120" t="s">
        <v>6</v>
      </c>
    </row>
    <row r="121" spans="2:15" x14ac:dyDescent="0.45">
      <c r="B121" t="s">
        <v>44</v>
      </c>
      <c r="C121" t="s">
        <v>10</v>
      </c>
      <c r="D121">
        <v>2.0928822185730038E-3</v>
      </c>
      <c r="E121" t="s">
        <v>6</v>
      </c>
      <c r="G121" t="s">
        <v>45</v>
      </c>
      <c r="H121" t="s">
        <v>10</v>
      </c>
      <c r="I121">
        <v>8.1437076165284089E-2</v>
      </c>
      <c r="J121" t="s">
        <v>6</v>
      </c>
      <c r="L121" t="s">
        <v>46</v>
      </c>
      <c r="M121" t="s">
        <v>10</v>
      </c>
      <c r="N121">
        <v>8.2583896373169929E-2</v>
      </c>
      <c r="O121" t="s">
        <v>6</v>
      </c>
    </row>
    <row r="122" spans="2:15" x14ac:dyDescent="0.45">
      <c r="B122" t="s">
        <v>44</v>
      </c>
      <c r="C122" t="s">
        <v>11</v>
      </c>
      <c r="D122">
        <v>8.8173479897892947E-4</v>
      </c>
      <c r="E122" t="s">
        <v>6</v>
      </c>
      <c r="G122" t="s">
        <v>45</v>
      </c>
      <c r="H122" t="s">
        <v>11</v>
      </c>
      <c r="I122">
        <v>8.999251069086292E-2</v>
      </c>
      <c r="J122" t="s">
        <v>6</v>
      </c>
      <c r="L122" t="s">
        <v>46</v>
      </c>
      <c r="M122" t="s">
        <v>11</v>
      </c>
      <c r="N122">
        <v>9.2350832193985918E-2</v>
      </c>
      <c r="O122" t="s">
        <v>6</v>
      </c>
    </row>
    <row r="123" spans="2:15" x14ac:dyDescent="0.45">
      <c r="B123" t="s">
        <v>44</v>
      </c>
      <c r="C123" t="s">
        <v>12</v>
      </c>
      <c r="D123">
        <v>0.28330713286912718</v>
      </c>
      <c r="E123" t="s">
        <v>6</v>
      </c>
      <c r="G123" t="s">
        <v>45</v>
      </c>
      <c r="H123" t="s">
        <v>12</v>
      </c>
      <c r="I123">
        <v>9.2395633330071364E-2</v>
      </c>
      <c r="J123" t="s">
        <v>6</v>
      </c>
      <c r="L123" t="s">
        <v>46</v>
      </c>
      <c r="M123" t="s">
        <v>12</v>
      </c>
      <c r="N123">
        <v>0.12486359821502571</v>
      </c>
      <c r="O123" t="s">
        <v>6</v>
      </c>
    </row>
    <row r="124" spans="2:15" x14ac:dyDescent="0.45">
      <c r="B124" t="s">
        <v>44</v>
      </c>
      <c r="C124" t="s">
        <v>13</v>
      </c>
      <c r="D124">
        <v>2.0334790837170092E-2</v>
      </c>
      <c r="E124" t="s">
        <v>6</v>
      </c>
      <c r="G124" t="s">
        <v>45</v>
      </c>
      <c r="H124" t="s">
        <v>13</v>
      </c>
      <c r="I124">
        <v>6.2754471582369561E-2</v>
      </c>
      <c r="J124" t="s">
        <v>6</v>
      </c>
      <c r="L124" t="s">
        <v>46</v>
      </c>
      <c r="M124" t="s">
        <v>13</v>
      </c>
      <c r="N124">
        <v>6.8285792341729795E-2</v>
      </c>
      <c r="O124" t="s">
        <v>6</v>
      </c>
    </row>
    <row r="125" spans="2:15" x14ac:dyDescent="0.45">
      <c r="B125" t="s">
        <v>44</v>
      </c>
      <c r="C125" t="s">
        <v>14</v>
      </c>
      <c r="D125">
        <v>2.0588469908228257E-3</v>
      </c>
      <c r="E125" t="s">
        <v>6</v>
      </c>
      <c r="G125" t="s">
        <v>45</v>
      </c>
      <c r="H125" t="s">
        <v>14</v>
      </c>
      <c r="I125">
        <v>6.2471296846509289E-2</v>
      </c>
      <c r="J125" t="s">
        <v>6</v>
      </c>
      <c r="L125" t="s">
        <v>46</v>
      </c>
      <c r="M125" t="s">
        <v>14</v>
      </c>
      <c r="N125">
        <v>3.1923318323309996E-2</v>
      </c>
      <c r="O125" t="s">
        <v>6</v>
      </c>
    </row>
    <row r="126" spans="2:15" x14ac:dyDescent="0.45">
      <c r="B126" t="s">
        <v>44</v>
      </c>
      <c r="C126" t="s">
        <v>15</v>
      </c>
      <c r="D126">
        <v>0.33122875755128883</v>
      </c>
      <c r="E126" t="s">
        <v>6</v>
      </c>
      <c r="G126" t="s">
        <v>45</v>
      </c>
      <c r="H126" t="s">
        <v>15</v>
      </c>
      <c r="I126">
        <v>5.3591034146291773E-2</v>
      </c>
      <c r="J126" t="s">
        <v>6</v>
      </c>
      <c r="L126" t="s">
        <v>46</v>
      </c>
      <c r="M126" t="s">
        <v>15</v>
      </c>
      <c r="N126">
        <v>5.8009638372731369E-2</v>
      </c>
      <c r="O126" t="s">
        <v>6</v>
      </c>
    </row>
    <row r="127" spans="2:15" x14ac:dyDescent="0.45">
      <c r="B127" t="s">
        <v>44</v>
      </c>
      <c r="C127" t="s">
        <v>16</v>
      </c>
      <c r="D127">
        <v>3.2387483800934876E-2</v>
      </c>
      <c r="E127" t="s">
        <v>6</v>
      </c>
      <c r="G127" t="s">
        <v>45</v>
      </c>
      <c r="H127" t="s">
        <v>16</v>
      </c>
      <c r="I127">
        <v>4.3848230249703912E-2</v>
      </c>
      <c r="J127" t="s">
        <v>6</v>
      </c>
      <c r="L127" t="s">
        <v>46</v>
      </c>
      <c r="M127" t="s">
        <v>16</v>
      </c>
      <c r="N127">
        <v>2.8326752909144371E-2</v>
      </c>
      <c r="O127" t="s">
        <v>6</v>
      </c>
    </row>
    <row r="128" spans="2:15" x14ac:dyDescent="0.45">
      <c r="B128" t="s">
        <v>44</v>
      </c>
      <c r="C128" t="s">
        <v>17</v>
      </c>
      <c r="D128">
        <v>2.871558495920904E-6</v>
      </c>
      <c r="E128" t="s">
        <v>6</v>
      </c>
      <c r="G128" t="s">
        <v>45</v>
      </c>
      <c r="H128" t="s">
        <v>17</v>
      </c>
      <c r="I128">
        <v>0.10080412982089512</v>
      </c>
      <c r="J128" t="s">
        <v>6</v>
      </c>
      <c r="L128" t="s">
        <v>46</v>
      </c>
      <c r="M128" t="s">
        <v>17</v>
      </c>
      <c r="N128">
        <v>8.1860743729870677E-2</v>
      </c>
      <c r="O128" t="s">
        <v>6</v>
      </c>
    </row>
    <row r="129" spans="2:15" x14ac:dyDescent="0.45">
      <c r="B129" t="s">
        <v>44</v>
      </c>
      <c r="C129" t="s">
        <v>18</v>
      </c>
      <c r="D129">
        <v>0.18932083807109809</v>
      </c>
      <c r="E129" t="s">
        <v>6</v>
      </c>
      <c r="G129" t="s">
        <v>45</v>
      </c>
      <c r="H129" t="s">
        <v>18</v>
      </c>
      <c r="I129">
        <v>0.10813557551054639</v>
      </c>
      <c r="J129" t="s">
        <v>6</v>
      </c>
      <c r="L129" t="s">
        <v>46</v>
      </c>
      <c r="M129" t="s">
        <v>18</v>
      </c>
      <c r="N129">
        <v>9.8302967490323592E-2</v>
      </c>
      <c r="O129" t="s">
        <v>6</v>
      </c>
    </row>
    <row r="130" spans="2:15" x14ac:dyDescent="0.45">
      <c r="B130" t="s">
        <v>44</v>
      </c>
      <c r="C130" t="s">
        <v>19</v>
      </c>
      <c r="D130">
        <v>5.986626398975293E-3</v>
      </c>
      <c r="E130" t="s">
        <v>6</v>
      </c>
      <c r="G130" t="s">
        <v>45</v>
      </c>
      <c r="H130" t="s">
        <v>19</v>
      </c>
      <c r="I130">
        <v>7.7260201294585426E-2</v>
      </c>
      <c r="J130" t="s">
        <v>6</v>
      </c>
      <c r="L130" t="s">
        <v>46</v>
      </c>
      <c r="M130" t="s">
        <v>19</v>
      </c>
      <c r="N130">
        <v>6.6682559207527026E-2</v>
      </c>
      <c r="O130" t="s">
        <v>6</v>
      </c>
    </row>
    <row r="131" spans="2:15" x14ac:dyDescent="0.45">
      <c r="B131" t="s">
        <v>47</v>
      </c>
      <c r="C131" t="s">
        <v>5</v>
      </c>
      <c r="D131">
        <v>0</v>
      </c>
      <c r="E131" t="s">
        <v>6</v>
      </c>
      <c r="G131" t="s">
        <v>48</v>
      </c>
      <c r="H131" t="s">
        <v>5</v>
      </c>
      <c r="I131">
        <v>8.1050637712141993E-2</v>
      </c>
      <c r="J131" t="s">
        <v>6</v>
      </c>
      <c r="L131" t="s">
        <v>49</v>
      </c>
      <c r="M131" t="s">
        <v>5</v>
      </c>
      <c r="N131">
        <v>0.10045471413896864</v>
      </c>
      <c r="O131" t="s">
        <v>6</v>
      </c>
    </row>
    <row r="132" spans="2:15" x14ac:dyDescent="0.45">
      <c r="B132" t="s">
        <v>47</v>
      </c>
      <c r="C132" t="s">
        <v>9</v>
      </c>
      <c r="D132">
        <v>0.12553677474597116</v>
      </c>
      <c r="E132" t="s">
        <v>6</v>
      </c>
      <c r="G132" t="s">
        <v>48</v>
      </c>
      <c r="H132" t="s">
        <v>9</v>
      </c>
      <c r="I132">
        <v>0.11239337881431324</v>
      </c>
      <c r="J132" t="s">
        <v>6</v>
      </c>
      <c r="L132" t="s">
        <v>49</v>
      </c>
      <c r="M132" t="s">
        <v>9</v>
      </c>
      <c r="N132">
        <v>0.11930442880665586</v>
      </c>
      <c r="O132" t="s">
        <v>6</v>
      </c>
    </row>
    <row r="133" spans="2:15" x14ac:dyDescent="0.45">
      <c r="B133" t="s">
        <v>47</v>
      </c>
      <c r="C133" t="s">
        <v>10</v>
      </c>
      <c r="D133">
        <v>1.9013889408405291E-3</v>
      </c>
      <c r="E133" t="s">
        <v>6</v>
      </c>
      <c r="G133" t="s">
        <v>48</v>
      </c>
      <c r="H133" t="s">
        <v>10</v>
      </c>
      <c r="I133">
        <v>6.4016003092098539E-2</v>
      </c>
      <c r="J133" t="s">
        <v>6</v>
      </c>
      <c r="L133" t="s">
        <v>49</v>
      </c>
      <c r="M133" t="s">
        <v>10</v>
      </c>
      <c r="N133">
        <v>7.7401112251223037E-2</v>
      </c>
      <c r="O133" t="s">
        <v>6</v>
      </c>
    </row>
    <row r="134" spans="2:15" x14ac:dyDescent="0.45">
      <c r="B134" t="s">
        <v>47</v>
      </c>
      <c r="C134" t="s">
        <v>11</v>
      </c>
      <c r="D134">
        <v>8.2138074776205185E-4</v>
      </c>
      <c r="E134" t="s">
        <v>6</v>
      </c>
      <c r="G134" t="s">
        <v>48</v>
      </c>
      <c r="H134" t="s">
        <v>11</v>
      </c>
      <c r="I134">
        <v>0.10834847175334378</v>
      </c>
      <c r="J134" t="s">
        <v>6</v>
      </c>
      <c r="L134" t="s">
        <v>49</v>
      </c>
      <c r="M134" t="s">
        <v>11</v>
      </c>
      <c r="N134">
        <v>9.1840283003027282E-2</v>
      </c>
      <c r="O134" t="s">
        <v>6</v>
      </c>
    </row>
    <row r="135" spans="2:15" x14ac:dyDescent="0.45">
      <c r="B135" t="s">
        <v>47</v>
      </c>
      <c r="C135" t="s">
        <v>12</v>
      </c>
      <c r="D135">
        <v>0.29201304461358113</v>
      </c>
      <c r="E135" t="s">
        <v>6</v>
      </c>
      <c r="G135" t="s">
        <v>48</v>
      </c>
      <c r="H135" t="s">
        <v>12</v>
      </c>
      <c r="I135">
        <v>0.14433674389542231</v>
      </c>
      <c r="J135" t="s">
        <v>6</v>
      </c>
      <c r="L135" t="s">
        <v>49</v>
      </c>
      <c r="M135" t="s">
        <v>12</v>
      </c>
      <c r="N135">
        <v>0.10694141376668564</v>
      </c>
      <c r="O135" t="s">
        <v>6</v>
      </c>
    </row>
    <row r="136" spans="2:15" x14ac:dyDescent="0.45">
      <c r="B136" t="s">
        <v>47</v>
      </c>
      <c r="C136" t="s">
        <v>13</v>
      </c>
      <c r="D136">
        <v>2.1990656388666957E-2</v>
      </c>
      <c r="E136" t="s">
        <v>6</v>
      </c>
      <c r="G136" t="s">
        <v>48</v>
      </c>
      <c r="H136" t="s">
        <v>13</v>
      </c>
      <c r="I136">
        <v>8.6439821853056834E-2</v>
      </c>
      <c r="J136" t="s">
        <v>6</v>
      </c>
      <c r="L136" t="s">
        <v>49</v>
      </c>
      <c r="M136" t="s">
        <v>13</v>
      </c>
      <c r="N136">
        <v>6.7373613477164584E-2</v>
      </c>
      <c r="O136" t="s">
        <v>6</v>
      </c>
    </row>
    <row r="137" spans="2:15" x14ac:dyDescent="0.45">
      <c r="B137" t="s">
        <v>47</v>
      </c>
      <c r="C137" t="s">
        <v>14</v>
      </c>
      <c r="D137">
        <v>1.9677309217313427E-3</v>
      </c>
      <c r="E137" t="s">
        <v>6</v>
      </c>
      <c r="G137" t="s">
        <v>48</v>
      </c>
      <c r="H137" t="s">
        <v>14</v>
      </c>
      <c r="I137">
        <v>3.575739643454677E-2</v>
      </c>
      <c r="J137" t="s">
        <v>6</v>
      </c>
      <c r="L137" t="s">
        <v>49</v>
      </c>
      <c r="M137" t="s">
        <v>14</v>
      </c>
      <c r="N137">
        <v>6.1467207817233846E-2</v>
      </c>
      <c r="O137" t="s">
        <v>6</v>
      </c>
    </row>
    <row r="138" spans="2:15" x14ac:dyDescent="0.45">
      <c r="B138" t="s">
        <v>47</v>
      </c>
      <c r="C138" t="s">
        <v>15</v>
      </c>
      <c r="D138">
        <v>0.33344943156179269</v>
      </c>
      <c r="E138" t="s">
        <v>6</v>
      </c>
      <c r="G138" t="s">
        <v>48</v>
      </c>
      <c r="H138" t="s">
        <v>15</v>
      </c>
      <c r="I138">
        <v>5.3293031314622874E-2</v>
      </c>
      <c r="J138" t="s">
        <v>6</v>
      </c>
      <c r="L138" t="s">
        <v>49</v>
      </c>
      <c r="M138" t="s">
        <v>15</v>
      </c>
      <c r="N138">
        <v>6.4749723813557772E-2</v>
      </c>
      <c r="O138" t="s">
        <v>6</v>
      </c>
    </row>
    <row r="139" spans="2:15" x14ac:dyDescent="0.45">
      <c r="B139" t="s">
        <v>47</v>
      </c>
      <c r="C139" t="s">
        <v>16</v>
      </c>
      <c r="D139">
        <v>3.4128082677993665E-2</v>
      </c>
      <c r="E139" t="s">
        <v>6</v>
      </c>
      <c r="G139" t="s">
        <v>48</v>
      </c>
      <c r="H139" t="s">
        <v>16</v>
      </c>
      <c r="I139">
        <v>2.9902002668038396E-2</v>
      </c>
      <c r="J139" t="s">
        <v>6</v>
      </c>
      <c r="L139" t="s">
        <v>49</v>
      </c>
      <c r="M139" t="s">
        <v>16</v>
      </c>
      <c r="N139">
        <v>4.6367892523837585E-2</v>
      </c>
      <c r="O139" t="s">
        <v>6</v>
      </c>
    </row>
    <row r="140" spans="2:15" x14ac:dyDescent="0.45">
      <c r="B140" t="s">
        <v>47</v>
      </c>
      <c r="C140" t="s">
        <v>17</v>
      </c>
      <c r="D140">
        <v>3.1087693642164102E-6</v>
      </c>
      <c r="E140" t="s">
        <v>6</v>
      </c>
      <c r="G140" t="s">
        <v>48</v>
      </c>
      <c r="H140" t="s">
        <v>17</v>
      </c>
      <c r="I140">
        <v>9.3162951679107833E-2</v>
      </c>
      <c r="J140" t="s">
        <v>6</v>
      </c>
      <c r="L140" t="s">
        <v>49</v>
      </c>
      <c r="M140" t="s">
        <v>17</v>
      </c>
      <c r="N140">
        <v>8.8116166322403683E-2</v>
      </c>
      <c r="O140" t="s">
        <v>6</v>
      </c>
    </row>
    <row r="141" spans="2:15" x14ac:dyDescent="0.45">
      <c r="B141" t="s">
        <v>47</v>
      </c>
      <c r="C141" t="s">
        <v>18</v>
      </c>
      <c r="D141">
        <v>0.18232429212929005</v>
      </c>
      <c r="E141" t="s">
        <v>6</v>
      </c>
      <c r="G141" t="s">
        <v>48</v>
      </c>
      <c r="H141" t="s">
        <v>18</v>
      </c>
      <c r="I141">
        <v>0.11839702698499543</v>
      </c>
      <c r="J141" t="s">
        <v>6</v>
      </c>
      <c r="L141" t="s">
        <v>49</v>
      </c>
      <c r="M141" t="s">
        <v>18</v>
      </c>
      <c r="N141">
        <v>0.10976419364067018</v>
      </c>
      <c r="O141" t="s">
        <v>6</v>
      </c>
    </row>
    <row r="142" spans="2:15" x14ac:dyDescent="0.45">
      <c r="B142" t="s">
        <v>47</v>
      </c>
      <c r="C142" t="s">
        <v>19</v>
      </c>
      <c r="D142">
        <v>5.8641085030081627E-3</v>
      </c>
      <c r="E142" t="s">
        <v>6</v>
      </c>
      <c r="G142" t="s">
        <v>48</v>
      </c>
      <c r="H142" t="s">
        <v>19</v>
      </c>
      <c r="I142">
        <v>7.2902533798310201E-2</v>
      </c>
      <c r="J142" t="s">
        <v>6</v>
      </c>
      <c r="L142" t="s">
        <v>49</v>
      </c>
      <c r="M142" t="s">
        <v>19</v>
      </c>
      <c r="N142">
        <v>6.6219250438567856E-2</v>
      </c>
      <c r="O142" t="s">
        <v>6</v>
      </c>
    </row>
    <row r="143" spans="2:15" x14ac:dyDescent="0.45">
      <c r="B143" t="s">
        <v>50</v>
      </c>
      <c r="C143" t="s">
        <v>5</v>
      </c>
      <c r="D143">
        <v>0</v>
      </c>
      <c r="E143" t="s">
        <v>6</v>
      </c>
      <c r="G143" t="s">
        <v>51</v>
      </c>
      <c r="H143" t="s">
        <v>5</v>
      </c>
      <c r="I143">
        <v>8.6109987046866662E-2</v>
      </c>
      <c r="J143" t="s">
        <v>6</v>
      </c>
      <c r="L143" t="s">
        <v>52</v>
      </c>
      <c r="M143" t="s">
        <v>5</v>
      </c>
      <c r="N143">
        <v>0.10391049322059046</v>
      </c>
      <c r="O143" t="s">
        <v>6</v>
      </c>
    </row>
    <row r="144" spans="2:15" x14ac:dyDescent="0.45">
      <c r="B144" t="s">
        <v>50</v>
      </c>
      <c r="C144" t="s">
        <v>9</v>
      </c>
      <c r="D144">
        <v>0.11937755886925547</v>
      </c>
      <c r="E144" t="s">
        <v>6</v>
      </c>
      <c r="G144" t="s">
        <v>51</v>
      </c>
      <c r="H144" t="s">
        <v>9</v>
      </c>
      <c r="I144">
        <v>0.10818010459920818</v>
      </c>
      <c r="J144" t="s">
        <v>6</v>
      </c>
      <c r="L144" t="s">
        <v>52</v>
      </c>
      <c r="M144" t="s">
        <v>9</v>
      </c>
      <c r="N144">
        <v>0.11788156977480006</v>
      </c>
      <c r="O144" t="s">
        <v>6</v>
      </c>
    </row>
    <row r="145" spans="2:15" x14ac:dyDescent="0.45">
      <c r="B145" t="s">
        <v>50</v>
      </c>
      <c r="C145" t="s">
        <v>10</v>
      </c>
      <c r="D145">
        <v>5.6862475168332973E-4</v>
      </c>
      <c r="E145" t="s">
        <v>6</v>
      </c>
      <c r="G145" t="s">
        <v>51</v>
      </c>
      <c r="H145" t="s">
        <v>10</v>
      </c>
      <c r="I145">
        <v>6.6183955255414609E-2</v>
      </c>
      <c r="J145" t="s">
        <v>6</v>
      </c>
      <c r="L145" t="s">
        <v>52</v>
      </c>
      <c r="M145" t="s">
        <v>10</v>
      </c>
      <c r="N145">
        <v>7.8494444142445066E-2</v>
      </c>
      <c r="O145" t="s">
        <v>6</v>
      </c>
    </row>
    <row r="146" spans="2:15" x14ac:dyDescent="0.45">
      <c r="B146" t="s">
        <v>50</v>
      </c>
      <c r="C146" t="s">
        <v>11</v>
      </c>
      <c r="D146">
        <v>2.0737623750837499E-3</v>
      </c>
      <c r="E146" t="s">
        <v>6</v>
      </c>
      <c r="G146" t="s">
        <v>51</v>
      </c>
      <c r="H146" t="s">
        <v>11</v>
      </c>
      <c r="I146">
        <v>9.3353682426986551E-2</v>
      </c>
      <c r="J146" t="s">
        <v>6</v>
      </c>
      <c r="L146" t="s">
        <v>52</v>
      </c>
      <c r="M146" t="s">
        <v>11</v>
      </c>
      <c r="N146">
        <v>8.9723244079332284E-2</v>
      </c>
      <c r="O146" t="s">
        <v>6</v>
      </c>
    </row>
    <row r="147" spans="2:15" x14ac:dyDescent="0.45">
      <c r="B147" t="s">
        <v>50</v>
      </c>
      <c r="C147" t="s">
        <v>12</v>
      </c>
      <c r="D147">
        <v>0.29338566236707136</v>
      </c>
      <c r="E147" t="s">
        <v>6</v>
      </c>
      <c r="G147" t="s">
        <v>51</v>
      </c>
      <c r="H147" t="s">
        <v>12</v>
      </c>
      <c r="I147">
        <v>0.14295608449412453</v>
      </c>
      <c r="J147" t="s">
        <v>6</v>
      </c>
      <c r="L147" t="s">
        <v>52</v>
      </c>
      <c r="M147" t="s">
        <v>12</v>
      </c>
      <c r="N147">
        <v>0.10208120144319024</v>
      </c>
      <c r="O147" t="s">
        <v>6</v>
      </c>
    </row>
    <row r="148" spans="2:15" x14ac:dyDescent="0.45">
      <c r="B148" t="s">
        <v>50</v>
      </c>
      <c r="C148" t="s">
        <v>13</v>
      </c>
      <c r="D148">
        <v>1.1844598039726949E-2</v>
      </c>
      <c r="E148" t="s">
        <v>6</v>
      </c>
      <c r="G148" t="s">
        <v>51</v>
      </c>
      <c r="H148" t="s">
        <v>13</v>
      </c>
      <c r="I148">
        <v>8.8879679838604106E-2</v>
      </c>
      <c r="J148" t="s">
        <v>6</v>
      </c>
      <c r="L148" t="s">
        <v>52</v>
      </c>
      <c r="M148" t="s">
        <v>13</v>
      </c>
      <c r="N148">
        <v>6.5538911797897947E-2</v>
      </c>
      <c r="O148" t="s">
        <v>6</v>
      </c>
    </row>
    <row r="149" spans="2:15" x14ac:dyDescent="0.45">
      <c r="B149" t="s">
        <v>50</v>
      </c>
      <c r="C149" t="s">
        <v>14</v>
      </c>
      <c r="D149">
        <v>4.9180178881823482E-3</v>
      </c>
      <c r="E149" t="s">
        <v>6</v>
      </c>
      <c r="G149" t="s">
        <v>51</v>
      </c>
      <c r="H149" t="s">
        <v>14</v>
      </c>
      <c r="I149">
        <v>3.7766968038714314E-2</v>
      </c>
      <c r="J149" t="s">
        <v>6</v>
      </c>
      <c r="L149" t="s">
        <v>52</v>
      </c>
      <c r="M149" t="s">
        <v>14</v>
      </c>
      <c r="N149">
        <v>5.9808548915145539E-2</v>
      </c>
      <c r="O149" t="s">
        <v>6</v>
      </c>
    </row>
    <row r="150" spans="2:15" x14ac:dyDescent="0.45">
      <c r="B150" t="s">
        <v>50</v>
      </c>
      <c r="C150" t="s">
        <v>15</v>
      </c>
      <c r="D150">
        <v>0.35874177928585671</v>
      </c>
      <c r="E150" t="s">
        <v>6</v>
      </c>
      <c r="G150" t="s">
        <v>51</v>
      </c>
      <c r="H150" t="s">
        <v>15</v>
      </c>
      <c r="I150">
        <v>5.6386455820911112E-2</v>
      </c>
      <c r="J150" t="s">
        <v>6</v>
      </c>
      <c r="L150" t="s">
        <v>52</v>
      </c>
      <c r="M150" t="s">
        <v>15</v>
      </c>
      <c r="N150">
        <v>6.2704535391501448E-2</v>
      </c>
      <c r="O150" t="s">
        <v>6</v>
      </c>
    </row>
    <row r="151" spans="2:15" x14ac:dyDescent="0.45">
      <c r="B151" t="s">
        <v>50</v>
      </c>
      <c r="C151" t="s">
        <v>16</v>
      </c>
      <c r="D151">
        <v>2.2399953120025101E-2</v>
      </c>
      <c r="E151" t="s">
        <v>6</v>
      </c>
      <c r="G151" t="s">
        <v>51</v>
      </c>
      <c r="H151" t="s">
        <v>16</v>
      </c>
      <c r="I151">
        <v>4.2746723579532624E-2</v>
      </c>
      <c r="J151" t="s">
        <v>6</v>
      </c>
      <c r="L151" t="s">
        <v>52</v>
      </c>
      <c r="M151" t="s">
        <v>16</v>
      </c>
      <c r="N151">
        <v>5.2513533650956415E-2</v>
      </c>
      <c r="O151" t="s">
        <v>6</v>
      </c>
    </row>
    <row r="152" spans="2:15" x14ac:dyDescent="0.45">
      <c r="B152" t="s">
        <v>50</v>
      </c>
      <c r="C152" t="s">
        <v>17</v>
      </c>
      <c r="D152">
        <v>1.1960944864976439E-4</v>
      </c>
      <c r="E152" t="s">
        <v>6</v>
      </c>
      <c r="G152" t="s">
        <v>51</v>
      </c>
      <c r="H152" t="s">
        <v>17</v>
      </c>
      <c r="I152">
        <v>8.9849972094072986E-2</v>
      </c>
      <c r="J152" t="s">
        <v>6</v>
      </c>
      <c r="L152" t="s">
        <v>52</v>
      </c>
      <c r="M152" t="s">
        <v>17</v>
      </c>
      <c r="N152">
        <v>8.7234251033007096E-2</v>
      </c>
      <c r="O152" t="s">
        <v>6</v>
      </c>
    </row>
    <row r="153" spans="2:15" x14ac:dyDescent="0.45">
      <c r="B153" t="s">
        <v>50</v>
      </c>
      <c r="C153" t="s">
        <v>18</v>
      </c>
      <c r="D153">
        <v>0.18406534805620339</v>
      </c>
      <c r="E153" t="s">
        <v>6</v>
      </c>
      <c r="G153" t="s">
        <v>51</v>
      </c>
      <c r="H153" t="s">
        <v>18</v>
      </c>
      <c r="I153">
        <v>0.11181951675980113</v>
      </c>
      <c r="J153" t="s">
        <v>6</v>
      </c>
      <c r="L153" t="s">
        <v>52</v>
      </c>
      <c r="M153" t="s">
        <v>18</v>
      </c>
      <c r="N153">
        <v>0.11141457160790914</v>
      </c>
      <c r="O153" t="s">
        <v>6</v>
      </c>
    </row>
    <row r="154" spans="2:15" x14ac:dyDescent="0.45">
      <c r="B154" t="s">
        <v>50</v>
      </c>
      <c r="C154" t="s">
        <v>19</v>
      </c>
      <c r="D154">
        <v>2.5050857982627942E-3</v>
      </c>
      <c r="E154" t="s">
        <v>6</v>
      </c>
      <c r="G154" t="s">
        <v>51</v>
      </c>
      <c r="H154" t="s">
        <v>19</v>
      </c>
      <c r="I154">
        <v>7.576687004576696E-2</v>
      </c>
      <c r="J154" t="s">
        <v>6</v>
      </c>
      <c r="L154" t="s">
        <v>52</v>
      </c>
      <c r="M154" t="s">
        <v>19</v>
      </c>
      <c r="N154">
        <v>6.8694694943222848E-2</v>
      </c>
      <c r="O154" t="s">
        <v>6</v>
      </c>
    </row>
    <row r="155" spans="2:15" x14ac:dyDescent="0.45">
      <c r="B155" t="s">
        <v>53</v>
      </c>
      <c r="C155" t="s">
        <v>5</v>
      </c>
      <c r="D155">
        <v>0</v>
      </c>
      <c r="E155" t="s">
        <v>6</v>
      </c>
      <c r="G155" t="s">
        <v>54</v>
      </c>
      <c r="H155" t="s">
        <v>5</v>
      </c>
      <c r="I155">
        <v>7.7684955666050035E-2</v>
      </c>
      <c r="J155" t="s">
        <v>6</v>
      </c>
      <c r="L155" t="s">
        <v>55</v>
      </c>
      <c r="M155" t="s">
        <v>5</v>
      </c>
      <c r="N155">
        <v>9.3679503966491925E-2</v>
      </c>
      <c r="O155" t="s">
        <v>6</v>
      </c>
    </row>
    <row r="156" spans="2:15" x14ac:dyDescent="0.45">
      <c r="B156" t="s">
        <v>53</v>
      </c>
      <c r="C156" t="s">
        <v>9</v>
      </c>
      <c r="D156">
        <v>0.1433728839738726</v>
      </c>
      <c r="E156" t="s">
        <v>6</v>
      </c>
      <c r="G156" t="s">
        <v>54</v>
      </c>
      <c r="H156" t="s">
        <v>9</v>
      </c>
      <c r="I156">
        <v>0.10339482952540971</v>
      </c>
      <c r="J156" t="s">
        <v>6</v>
      </c>
      <c r="L156" t="s">
        <v>55</v>
      </c>
      <c r="M156" t="s">
        <v>9</v>
      </c>
      <c r="N156">
        <v>0.11701097589406925</v>
      </c>
      <c r="O156" t="s">
        <v>6</v>
      </c>
    </row>
    <row r="157" spans="2:15" x14ac:dyDescent="0.45">
      <c r="B157" t="s">
        <v>53</v>
      </c>
      <c r="C157" t="s">
        <v>10</v>
      </c>
      <c r="D157">
        <v>7.5705209053834822E-4</v>
      </c>
      <c r="E157" t="s">
        <v>6</v>
      </c>
      <c r="G157" t="s">
        <v>54</v>
      </c>
      <c r="H157" t="s">
        <v>10</v>
      </c>
      <c r="I157">
        <v>5.5949471569160199E-2</v>
      </c>
      <c r="J157" t="s">
        <v>6</v>
      </c>
      <c r="L157" t="s">
        <v>55</v>
      </c>
      <c r="M157" t="s">
        <v>10</v>
      </c>
      <c r="N157">
        <v>7.0090786294362217E-2</v>
      </c>
      <c r="O157" t="s">
        <v>6</v>
      </c>
    </row>
    <row r="158" spans="2:15" x14ac:dyDescent="0.45">
      <c r="B158" t="s">
        <v>53</v>
      </c>
      <c r="C158" t="s">
        <v>11</v>
      </c>
      <c r="D158">
        <v>2.0241470506314461E-3</v>
      </c>
      <c r="E158" t="s">
        <v>6</v>
      </c>
      <c r="G158" t="s">
        <v>54</v>
      </c>
      <c r="H158" t="s">
        <v>11</v>
      </c>
      <c r="I158">
        <v>0.10237729586516661</v>
      </c>
      <c r="J158" t="s">
        <v>6</v>
      </c>
      <c r="L158" t="s">
        <v>55</v>
      </c>
      <c r="M158" t="s">
        <v>11</v>
      </c>
      <c r="N158">
        <v>9.0365810141985636E-2</v>
      </c>
      <c r="O158" t="s">
        <v>6</v>
      </c>
    </row>
    <row r="159" spans="2:15" x14ac:dyDescent="0.45">
      <c r="B159" t="s">
        <v>53</v>
      </c>
      <c r="C159" t="s">
        <v>12</v>
      </c>
      <c r="D159">
        <v>0.27704435500495905</v>
      </c>
      <c r="E159" t="s">
        <v>6</v>
      </c>
      <c r="G159" t="s">
        <v>54</v>
      </c>
      <c r="H159" t="s">
        <v>12</v>
      </c>
      <c r="I159">
        <v>0.15214976617858866</v>
      </c>
      <c r="J159" t="s">
        <v>6</v>
      </c>
      <c r="L159" t="s">
        <v>55</v>
      </c>
      <c r="M159" t="s">
        <v>12</v>
      </c>
      <c r="N159">
        <v>0.10848838762742403</v>
      </c>
      <c r="O159" t="s">
        <v>6</v>
      </c>
    </row>
    <row r="160" spans="2:15" x14ac:dyDescent="0.45">
      <c r="B160" t="s">
        <v>53</v>
      </c>
      <c r="C160" t="s">
        <v>13</v>
      </c>
      <c r="D160">
        <v>1.058196507031204E-2</v>
      </c>
      <c r="E160" t="s">
        <v>6</v>
      </c>
      <c r="G160" t="s">
        <v>54</v>
      </c>
      <c r="H160" t="s">
        <v>13</v>
      </c>
      <c r="I160">
        <v>9.6242254558184276E-2</v>
      </c>
      <c r="J160" t="s">
        <v>6</v>
      </c>
      <c r="L160" t="s">
        <v>55</v>
      </c>
      <c r="M160" t="s">
        <v>13</v>
      </c>
      <c r="N160">
        <v>7.1593419246273604E-2</v>
      </c>
      <c r="O160" t="s">
        <v>6</v>
      </c>
    </row>
    <row r="161" spans="2:15" x14ac:dyDescent="0.45">
      <c r="B161" t="s">
        <v>53</v>
      </c>
      <c r="C161" t="s">
        <v>14</v>
      </c>
      <c r="D161">
        <v>4.8002686024518496E-3</v>
      </c>
      <c r="E161" t="s">
        <v>6</v>
      </c>
      <c r="G161" t="s">
        <v>54</v>
      </c>
      <c r="H161" t="s">
        <v>14</v>
      </c>
      <c r="I161">
        <v>2.7338633110623681E-2</v>
      </c>
      <c r="J161" t="s">
        <v>6</v>
      </c>
      <c r="L161" t="s">
        <v>55</v>
      </c>
      <c r="M161" t="s">
        <v>14</v>
      </c>
      <c r="N161">
        <v>6.5794678008002982E-2</v>
      </c>
      <c r="O161" t="s">
        <v>6</v>
      </c>
    </row>
    <row r="162" spans="2:15" x14ac:dyDescent="0.45">
      <c r="B162" t="s">
        <v>53</v>
      </c>
      <c r="C162" t="s">
        <v>15</v>
      </c>
      <c r="D162">
        <v>0.34955561971068788</v>
      </c>
      <c r="E162" t="s">
        <v>6</v>
      </c>
      <c r="G162" t="s">
        <v>54</v>
      </c>
      <c r="H162" t="s">
        <v>15</v>
      </c>
      <c r="I162">
        <v>4.3231717934730414E-2</v>
      </c>
      <c r="J162" t="s">
        <v>6</v>
      </c>
      <c r="L162" t="s">
        <v>55</v>
      </c>
      <c r="M162" t="s">
        <v>15</v>
      </c>
      <c r="N162">
        <v>7.896207681353011E-2</v>
      </c>
      <c r="O162" t="s">
        <v>6</v>
      </c>
    </row>
    <row r="163" spans="2:15" x14ac:dyDescent="0.45">
      <c r="B163" t="s">
        <v>53</v>
      </c>
      <c r="C163" t="s">
        <v>16</v>
      </c>
      <c r="D163">
        <v>2.0912759942592892E-2</v>
      </c>
      <c r="E163" t="s">
        <v>6</v>
      </c>
      <c r="G163" t="s">
        <v>54</v>
      </c>
      <c r="H163" t="s">
        <v>16</v>
      </c>
      <c r="I163">
        <v>3.1820825997570371E-2</v>
      </c>
      <c r="J163" t="s">
        <v>6</v>
      </c>
      <c r="L163" t="s">
        <v>55</v>
      </c>
      <c r="M163" t="s">
        <v>16</v>
      </c>
      <c r="N163">
        <v>5.1743796494659537E-2</v>
      </c>
      <c r="O163" t="s">
        <v>6</v>
      </c>
    </row>
    <row r="164" spans="2:15" x14ac:dyDescent="0.45">
      <c r="B164" t="s">
        <v>53</v>
      </c>
      <c r="C164" t="s">
        <v>17</v>
      </c>
      <c r="D164">
        <v>1.3673872640476952E-4</v>
      </c>
      <c r="E164" t="s">
        <v>6</v>
      </c>
      <c r="G164" t="s">
        <v>54</v>
      </c>
      <c r="H164" t="s">
        <v>17</v>
      </c>
      <c r="I164">
        <v>9.4688245797691056E-2</v>
      </c>
      <c r="J164" t="s">
        <v>6</v>
      </c>
      <c r="L164" t="s">
        <v>55</v>
      </c>
      <c r="M164" t="s">
        <v>17</v>
      </c>
      <c r="N164">
        <v>8.4671298931894443E-2</v>
      </c>
      <c r="O164" t="s">
        <v>6</v>
      </c>
    </row>
    <row r="165" spans="2:15" x14ac:dyDescent="0.45">
      <c r="B165" t="s">
        <v>53</v>
      </c>
      <c r="C165" t="s">
        <v>18</v>
      </c>
      <c r="D165">
        <v>0.18844930332019555</v>
      </c>
      <c r="E165" t="s">
        <v>6</v>
      </c>
      <c r="G165" t="s">
        <v>54</v>
      </c>
      <c r="H165" t="s">
        <v>18</v>
      </c>
      <c r="I165">
        <v>0.1233772639693915</v>
      </c>
      <c r="J165" t="s">
        <v>6</v>
      </c>
      <c r="L165" t="s">
        <v>55</v>
      </c>
      <c r="M165" t="s">
        <v>18</v>
      </c>
      <c r="N165">
        <v>0.10308846149170542</v>
      </c>
      <c r="O165" t="s">
        <v>6</v>
      </c>
    </row>
    <row r="166" spans="2:15" x14ac:dyDescent="0.45">
      <c r="B166" t="s">
        <v>53</v>
      </c>
      <c r="C166" t="s">
        <v>19</v>
      </c>
      <c r="D166">
        <v>2.3649065073521624E-3</v>
      </c>
      <c r="E166" t="s">
        <v>6</v>
      </c>
      <c r="G166" t="s">
        <v>54</v>
      </c>
      <c r="H166" t="s">
        <v>19</v>
      </c>
      <c r="I166">
        <v>9.1744739827432448E-2</v>
      </c>
      <c r="J166" t="s">
        <v>6</v>
      </c>
      <c r="L166" t="s">
        <v>55</v>
      </c>
      <c r="M166" t="s">
        <v>19</v>
      </c>
      <c r="N166">
        <v>6.4510805089605064E-2</v>
      </c>
      <c r="O166" t="s">
        <v>6</v>
      </c>
    </row>
    <row r="167" spans="2:15" x14ac:dyDescent="0.45">
      <c r="B167" t="s">
        <v>56</v>
      </c>
      <c r="C167" t="s">
        <v>5</v>
      </c>
      <c r="D167">
        <v>0</v>
      </c>
      <c r="E167" t="s">
        <v>6</v>
      </c>
      <c r="G167" t="s">
        <v>57</v>
      </c>
      <c r="H167" t="s">
        <v>5</v>
      </c>
      <c r="I167">
        <v>0.11001332795721945</v>
      </c>
      <c r="J167" t="s">
        <v>6</v>
      </c>
      <c r="L167" t="s">
        <v>58</v>
      </c>
      <c r="M167" t="s">
        <v>5</v>
      </c>
      <c r="N167">
        <v>9.3502338751783501E-2</v>
      </c>
      <c r="O167" t="s">
        <v>6</v>
      </c>
    </row>
    <row r="168" spans="2:15" x14ac:dyDescent="0.45">
      <c r="B168" t="s">
        <v>56</v>
      </c>
      <c r="C168" t="s">
        <v>9</v>
      </c>
      <c r="D168">
        <v>0.12597712647473205</v>
      </c>
      <c r="E168" t="s">
        <v>6</v>
      </c>
      <c r="G168" t="s">
        <v>57</v>
      </c>
      <c r="H168" t="s">
        <v>9</v>
      </c>
      <c r="I168">
        <v>0.13675634822821398</v>
      </c>
      <c r="J168" t="s">
        <v>6</v>
      </c>
      <c r="L168" t="s">
        <v>58</v>
      </c>
      <c r="M168" t="s">
        <v>9</v>
      </c>
      <c r="N168">
        <v>0.11480964711649475</v>
      </c>
      <c r="O168" t="s">
        <v>6</v>
      </c>
    </row>
    <row r="169" spans="2:15" x14ac:dyDescent="0.45">
      <c r="B169" t="s">
        <v>56</v>
      </c>
      <c r="C169" t="s">
        <v>10</v>
      </c>
      <c r="D169">
        <v>1.1453349426108568E-3</v>
      </c>
      <c r="E169" t="s">
        <v>6</v>
      </c>
      <c r="G169" t="s">
        <v>57</v>
      </c>
      <c r="H169" t="s">
        <v>10</v>
      </c>
      <c r="I169">
        <v>8.0346417157847433E-2</v>
      </c>
      <c r="J169" t="s">
        <v>6</v>
      </c>
      <c r="L169" t="s">
        <v>58</v>
      </c>
      <c r="M169" t="s">
        <v>10</v>
      </c>
      <c r="N169">
        <v>7.027659721374245E-2</v>
      </c>
      <c r="O169" t="s">
        <v>6</v>
      </c>
    </row>
    <row r="170" spans="2:15" x14ac:dyDescent="0.45">
      <c r="B170" t="s">
        <v>56</v>
      </c>
      <c r="C170" t="s">
        <v>11</v>
      </c>
      <c r="D170">
        <v>1.470822947909527E-3</v>
      </c>
      <c r="E170" t="s">
        <v>6</v>
      </c>
      <c r="G170" t="s">
        <v>57</v>
      </c>
      <c r="H170" t="s">
        <v>11</v>
      </c>
      <c r="I170">
        <v>9.8120904542770226E-2</v>
      </c>
      <c r="J170" t="s">
        <v>6</v>
      </c>
      <c r="L170" t="s">
        <v>58</v>
      </c>
      <c r="M170" t="s">
        <v>11</v>
      </c>
      <c r="N170">
        <v>8.8789287115724952E-2</v>
      </c>
      <c r="O170" t="s">
        <v>6</v>
      </c>
    </row>
    <row r="171" spans="2:15" x14ac:dyDescent="0.45">
      <c r="B171" t="s">
        <v>56</v>
      </c>
      <c r="C171" t="s">
        <v>12</v>
      </c>
      <c r="D171">
        <v>0.28014938036293291</v>
      </c>
      <c r="E171" t="s">
        <v>6</v>
      </c>
      <c r="G171" t="s">
        <v>57</v>
      </c>
      <c r="H171" t="s">
        <v>12</v>
      </c>
      <c r="I171">
        <v>0.12551211642346863</v>
      </c>
      <c r="J171" t="s">
        <v>6</v>
      </c>
      <c r="L171" t="s">
        <v>58</v>
      </c>
      <c r="M171" t="s">
        <v>12</v>
      </c>
      <c r="N171">
        <v>0.10354353772222533</v>
      </c>
      <c r="O171" t="s">
        <v>6</v>
      </c>
    </row>
    <row r="172" spans="2:15" x14ac:dyDescent="0.45">
      <c r="B172" t="s">
        <v>56</v>
      </c>
      <c r="C172" t="s">
        <v>13</v>
      </c>
      <c r="D172">
        <v>1.4145360916527261E-2</v>
      </c>
      <c r="E172" t="s">
        <v>6</v>
      </c>
      <c r="G172" t="s">
        <v>57</v>
      </c>
      <c r="H172" t="s">
        <v>13</v>
      </c>
      <c r="I172">
        <v>7.2247480894115201E-2</v>
      </c>
      <c r="J172" t="s">
        <v>6</v>
      </c>
      <c r="L172" t="s">
        <v>58</v>
      </c>
      <c r="M172" t="s">
        <v>13</v>
      </c>
      <c r="N172">
        <v>6.734422117374711E-2</v>
      </c>
      <c r="O172" t="s">
        <v>6</v>
      </c>
    </row>
    <row r="173" spans="2:15" x14ac:dyDescent="0.45">
      <c r="B173" t="s">
        <v>56</v>
      </c>
      <c r="C173" t="s">
        <v>14</v>
      </c>
      <c r="D173">
        <v>3.3032636159725879E-3</v>
      </c>
      <c r="E173" t="s">
        <v>6</v>
      </c>
      <c r="G173" t="s">
        <v>57</v>
      </c>
      <c r="H173" t="s">
        <v>14</v>
      </c>
      <c r="I173">
        <v>3.0396583901360262E-2</v>
      </c>
      <c r="J173" t="s">
        <v>6</v>
      </c>
      <c r="L173" t="s">
        <v>58</v>
      </c>
      <c r="M173" t="s">
        <v>14</v>
      </c>
      <c r="N173">
        <v>6.7208596894055866E-2</v>
      </c>
      <c r="O173" t="s">
        <v>6</v>
      </c>
    </row>
    <row r="174" spans="2:15" x14ac:dyDescent="0.45">
      <c r="B174" t="s">
        <v>56</v>
      </c>
      <c r="C174" t="s">
        <v>15</v>
      </c>
      <c r="D174">
        <v>0.35438619573025776</v>
      </c>
      <c r="E174" t="s">
        <v>6</v>
      </c>
      <c r="G174" t="s">
        <v>57</v>
      </c>
      <c r="H174" t="s">
        <v>15</v>
      </c>
      <c r="I174">
        <v>3.5549897382369036E-2</v>
      </c>
      <c r="J174" t="s">
        <v>6</v>
      </c>
      <c r="L174" t="s">
        <v>58</v>
      </c>
      <c r="M174" t="s">
        <v>15</v>
      </c>
      <c r="N174">
        <v>8.0060919634303562E-2</v>
      </c>
      <c r="O174" t="s">
        <v>6</v>
      </c>
    </row>
    <row r="175" spans="2:15" x14ac:dyDescent="0.45">
      <c r="B175" t="s">
        <v>56</v>
      </c>
      <c r="C175" t="s">
        <v>16</v>
      </c>
      <c r="D175">
        <v>2.5894697723175052E-2</v>
      </c>
      <c r="E175" t="s">
        <v>6</v>
      </c>
      <c r="G175" t="s">
        <v>57</v>
      </c>
      <c r="H175" t="s">
        <v>16</v>
      </c>
      <c r="I175">
        <v>1.4498938993764367E-2</v>
      </c>
      <c r="J175" t="s">
        <v>6</v>
      </c>
      <c r="L175" t="s">
        <v>58</v>
      </c>
      <c r="M175" t="s">
        <v>16</v>
      </c>
      <c r="N175">
        <v>5.46216160952986E-2</v>
      </c>
      <c r="O175" t="s">
        <v>6</v>
      </c>
    </row>
    <row r="176" spans="2:15" x14ac:dyDescent="0.45">
      <c r="B176" t="s">
        <v>56</v>
      </c>
      <c r="C176" t="s">
        <v>17</v>
      </c>
      <c r="D176">
        <v>4.2798840752159338E-5</v>
      </c>
      <c r="E176" t="s">
        <v>6</v>
      </c>
      <c r="G176" t="s">
        <v>57</v>
      </c>
      <c r="H176" t="s">
        <v>17</v>
      </c>
      <c r="I176">
        <v>0.10387243252232375</v>
      </c>
      <c r="J176" t="s">
        <v>6</v>
      </c>
      <c r="L176" t="s">
        <v>58</v>
      </c>
      <c r="M176" t="s">
        <v>17</v>
      </c>
      <c r="N176">
        <v>8.3926136181161834E-2</v>
      </c>
      <c r="O176" t="s">
        <v>6</v>
      </c>
    </row>
    <row r="177" spans="2:15" x14ac:dyDescent="0.45">
      <c r="B177" t="s">
        <v>56</v>
      </c>
      <c r="C177" t="s">
        <v>18</v>
      </c>
      <c r="D177">
        <v>0.1902507026729896</v>
      </c>
      <c r="E177" t="s">
        <v>6</v>
      </c>
      <c r="G177" t="s">
        <v>57</v>
      </c>
      <c r="H177" t="s">
        <v>18</v>
      </c>
      <c r="I177">
        <v>0.11459929422027153</v>
      </c>
      <c r="J177" t="s">
        <v>6</v>
      </c>
      <c r="L177" t="s">
        <v>58</v>
      </c>
      <c r="M177" t="s">
        <v>18</v>
      </c>
      <c r="N177">
        <v>0.1085413928234512</v>
      </c>
      <c r="O177" t="s">
        <v>6</v>
      </c>
    </row>
    <row r="178" spans="2:15" x14ac:dyDescent="0.45">
      <c r="B178" t="s">
        <v>56</v>
      </c>
      <c r="C178" t="s">
        <v>19</v>
      </c>
      <c r="D178">
        <v>3.2343157721393158E-3</v>
      </c>
      <c r="E178" t="s">
        <v>6</v>
      </c>
      <c r="G178" t="s">
        <v>57</v>
      </c>
      <c r="H178" t="s">
        <v>19</v>
      </c>
      <c r="I178">
        <v>7.8086257776276147E-2</v>
      </c>
      <c r="J178" t="s">
        <v>6</v>
      </c>
      <c r="L178" t="s">
        <v>58</v>
      </c>
      <c r="M178" t="s">
        <v>19</v>
      </c>
      <c r="N178">
        <v>6.7375709278008872E-2</v>
      </c>
      <c r="O178" t="s">
        <v>6</v>
      </c>
    </row>
    <row r="179" spans="2:15" x14ac:dyDescent="0.45">
      <c r="B179" t="s">
        <v>59</v>
      </c>
      <c r="C179" t="s">
        <v>5</v>
      </c>
      <c r="D179">
        <v>0</v>
      </c>
      <c r="E179" t="s">
        <v>6</v>
      </c>
      <c r="G179" t="s">
        <v>60</v>
      </c>
      <c r="H179" t="s">
        <v>5</v>
      </c>
      <c r="I179">
        <v>0.10087352099936082</v>
      </c>
      <c r="J179" t="s">
        <v>6</v>
      </c>
      <c r="L179" t="s">
        <v>61</v>
      </c>
      <c r="M179" t="s">
        <v>5</v>
      </c>
      <c r="N179">
        <v>9.6611048873881347E-2</v>
      </c>
      <c r="O179" t="s">
        <v>6</v>
      </c>
    </row>
    <row r="180" spans="2:15" x14ac:dyDescent="0.45">
      <c r="B180" t="s">
        <v>59</v>
      </c>
      <c r="C180" t="s">
        <v>9</v>
      </c>
      <c r="D180">
        <v>0.12715841659701066</v>
      </c>
      <c r="E180" t="s">
        <v>6</v>
      </c>
      <c r="G180" t="s">
        <v>60</v>
      </c>
      <c r="H180" t="s">
        <v>9</v>
      </c>
      <c r="I180">
        <v>0.12308435870029653</v>
      </c>
      <c r="J180" t="s">
        <v>6</v>
      </c>
      <c r="L180" t="s">
        <v>61</v>
      </c>
      <c r="M180" t="s">
        <v>9</v>
      </c>
      <c r="N180">
        <v>0.11974787526981247</v>
      </c>
      <c r="O180" t="s">
        <v>6</v>
      </c>
    </row>
    <row r="181" spans="2:15" x14ac:dyDescent="0.45">
      <c r="B181" t="s">
        <v>59</v>
      </c>
      <c r="C181" t="s">
        <v>10</v>
      </c>
      <c r="D181">
        <v>8.0157227143675877E-4</v>
      </c>
      <c r="E181" t="s">
        <v>6</v>
      </c>
      <c r="G181" t="s">
        <v>60</v>
      </c>
      <c r="H181" t="s">
        <v>10</v>
      </c>
      <c r="I181">
        <v>8.0818494461392387E-2</v>
      </c>
      <c r="J181" t="s">
        <v>6</v>
      </c>
      <c r="L181" t="s">
        <v>61</v>
      </c>
      <c r="M181" t="s">
        <v>10</v>
      </c>
      <c r="N181">
        <v>7.2005968677470208E-2</v>
      </c>
      <c r="O181" t="s">
        <v>6</v>
      </c>
    </row>
    <row r="182" spans="2:15" x14ac:dyDescent="0.45">
      <c r="B182" t="s">
        <v>59</v>
      </c>
      <c r="C182" t="s">
        <v>11</v>
      </c>
      <c r="D182">
        <v>1.6459723969111197E-3</v>
      </c>
      <c r="E182" t="s">
        <v>6</v>
      </c>
      <c r="G182" t="s">
        <v>60</v>
      </c>
      <c r="H182" t="s">
        <v>11</v>
      </c>
      <c r="I182">
        <v>6.5855829229149399E-2</v>
      </c>
      <c r="J182" t="s">
        <v>6</v>
      </c>
      <c r="L182" t="s">
        <v>61</v>
      </c>
      <c r="M182" t="s">
        <v>11</v>
      </c>
      <c r="N182">
        <v>9.4264137192067443E-2</v>
      </c>
      <c r="O182" t="s">
        <v>6</v>
      </c>
    </row>
    <row r="183" spans="2:15" x14ac:dyDescent="0.45">
      <c r="B183" t="s">
        <v>59</v>
      </c>
      <c r="C183" t="s">
        <v>12</v>
      </c>
      <c r="D183">
        <v>0.28561383731151763</v>
      </c>
      <c r="E183" t="s">
        <v>6</v>
      </c>
      <c r="G183" t="s">
        <v>60</v>
      </c>
      <c r="H183" t="s">
        <v>12</v>
      </c>
      <c r="I183">
        <v>0.10071243277208942</v>
      </c>
      <c r="J183" t="s">
        <v>6</v>
      </c>
      <c r="L183" t="s">
        <v>61</v>
      </c>
      <c r="M183" t="s">
        <v>12</v>
      </c>
      <c r="N183">
        <v>0.11561301956645877</v>
      </c>
      <c r="O183" t="s">
        <v>6</v>
      </c>
    </row>
    <row r="184" spans="2:15" x14ac:dyDescent="0.45">
      <c r="B184" t="s">
        <v>59</v>
      </c>
      <c r="C184" t="s">
        <v>13</v>
      </c>
      <c r="D184">
        <v>1.3424177904985219E-2</v>
      </c>
      <c r="E184" t="s">
        <v>6</v>
      </c>
      <c r="G184" t="s">
        <v>60</v>
      </c>
      <c r="H184" t="s">
        <v>13</v>
      </c>
      <c r="I184">
        <v>6.0470509055997754E-2</v>
      </c>
      <c r="J184" t="s">
        <v>6</v>
      </c>
      <c r="L184" t="s">
        <v>61</v>
      </c>
      <c r="M184" t="s">
        <v>13</v>
      </c>
      <c r="N184">
        <v>7.0925067026908692E-2</v>
      </c>
      <c r="O184" t="s">
        <v>6</v>
      </c>
    </row>
    <row r="185" spans="2:15" x14ac:dyDescent="0.45">
      <c r="B185" t="s">
        <v>59</v>
      </c>
      <c r="C185" t="s">
        <v>14</v>
      </c>
      <c r="D185">
        <v>3.9676063480917848E-3</v>
      </c>
      <c r="E185" t="s">
        <v>6</v>
      </c>
      <c r="G185" t="s">
        <v>60</v>
      </c>
      <c r="H185" t="s">
        <v>14</v>
      </c>
      <c r="I185">
        <v>6.3393679179843829E-2</v>
      </c>
      <c r="J185" t="s">
        <v>6</v>
      </c>
      <c r="L185" t="s">
        <v>61</v>
      </c>
      <c r="M185" t="s">
        <v>14</v>
      </c>
      <c r="N185">
        <v>6.5382784701903576E-2</v>
      </c>
      <c r="O185" t="s">
        <v>6</v>
      </c>
    </row>
    <row r="186" spans="2:15" x14ac:dyDescent="0.45">
      <c r="B186" t="s">
        <v>59</v>
      </c>
      <c r="C186" t="s">
        <v>15</v>
      </c>
      <c r="D186">
        <v>0.35560221501183559</v>
      </c>
      <c r="E186" t="s">
        <v>6</v>
      </c>
      <c r="G186" t="s">
        <v>60</v>
      </c>
      <c r="H186" t="s">
        <v>15</v>
      </c>
      <c r="I186">
        <v>8.47428658083344E-2</v>
      </c>
      <c r="J186" t="s">
        <v>6</v>
      </c>
      <c r="L186" t="s">
        <v>61</v>
      </c>
      <c r="M186" t="s">
        <v>15</v>
      </c>
      <c r="N186">
        <v>7.8995200879771549E-2</v>
      </c>
      <c r="O186" t="s">
        <v>6</v>
      </c>
    </row>
    <row r="187" spans="2:15" x14ac:dyDescent="0.45">
      <c r="B187" t="s">
        <v>59</v>
      </c>
      <c r="C187" t="s">
        <v>16</v>
      </c>
      <c r="D187">
        <v>2.4303585440359619E-2</v>
      </c>
      <c r="E187" t="s">
        <v>6</v>
      </c>
      <c r="G187" t="s">
        <v>60</v>
      </c>
      <c r="H187" t="s">
        <v>16</v>
      </c>
      <c r="I187">
        <v>5.5136892569268181E-2</v>
      </c>
      <c r="J187" t="s">
        <v>6</v>
      </c>
      <c r="L187" t="s">
        <v>61</v>
      </c>
      <c r="M187" t="s">
        <v>16</v>
      </c>
      <c r="N187">
        <v>5.1724722540620854E-2</v>
      </c>
      <c r="O187" t="s">
        <v>6</v>
      </c>
    </row>
    <row r="188" spans="2:15" x14ac:dyDescent="0.45">
      <c r="B188" t="s">
        <v>59</v>
      </c>
      <c r="C188" t="s">
        <v>17</v>
      </c>
      <c r="D188">
        <v>5.8948270919345021E-5</v>
      </c>
      <c r="E188" t="s">
        <v>6</v>
      </c>
      <c r="G188" t="s">
        <v>60</v>
      </c>
      <c r="H188" t="s">
        <v>17</v>
      </c>
      <c r="I188">
        <v>8.7634615831855417E-2</v>
      </c>
      <c r="J188" t="s">
        <v>6</v>
      </c>
      <c r="L188" t="s">
        <v>61</v>
      </c>
      <c r="M188" t="s">
        <v>17</v>
      </c>
      <c r="N188">
        <v>7.7597553226039159E-2</v>
      </c>
      <c r="O188" t="s">
        <v>6</v>
      </c>
    </row>
    <row r="189" spans="2:15" x14ac:dyDescent="0.45">
      <c r="B189" t="s">
        <v>59</v>
      </c>
      <c r="C189" t="s">
        <v>18</v>
      </c>
      <c r="D189">
        <v>0.18457548147829939</v>
      </c>
      <c r="E189" t="s">
        <v>6</v>
      </c>
      <c r="G189" t="s">
        <v>60</v>
      </c>
      <c r="H189" t="s">
        <v>18</v>
      </c>
      <c r="I189">
        <v>0.10873294639466147</v>
      </c>
      <c r="J189" t="s">
        <v>6</v>
      </c>
      <c r="L189" t="s">
        <v>61</v>
      </c>
      <c r="M189" t="s">
        <v>18</v>
      </c>
      <c r="N189">
        <v>9.7424681807850314E-2</v>
      </c>
      <c r="O189" t="s">
        <v>6</v>
      </c>
    </row>
    <row r="190" spans="2:15" x14ac:dyDescent="0.45">
      <c r="B190" t="s">
        <v>59</v>
      </c>
      <c r="C190" t="s">
        <v>19</v>
      </c>
      <c r="D190">
        <v>2.8481869686353472E-3</v>
      </c>
      <c r="E190" t="s">
        <v>6</v>
      </c>
      <c r="G190" t="s">
        <v>60</v>
      </c>
      <c r="H190" t="s">
        <v>19</v>
      </c>
      <c r="I190">
        <v>6.8543854997752562E-2</v>
      </c>
      <c r="J190" t="s">
        <v>6</v>
      </c>
      <c r="L190" t="s">
        <v>61</v>
      </c>
      <c r="M190" t="s">
        <v>19</v>
      </c>
      <c r="N190">
        <v>5.9707940237218891E-2</v>
      </c>
      <c r="O190" t="s">
        <v>6</v>
      </c>
    </row>
    <row r="191" spans="2:15" x14ac:dyDescent="0.45">
      <c r="B191" t="s">
        <v>62</v>
      </c>
      <c r="C191" t="s">
        <v>5</v>
      </c>
      <c r="D191">
        <v>0</v>
      </c>
      <c r="E191" t="s">
        <v>6</v>
      </c>
      <c r="G191" t="s">
        <v>63</v>
      </c>
      <c r="H191" t="s">
        <v>5</v>
      </c>
      <c r="I191">
        <v>9.4793423168271357E-2</v>
      </c>
      <c r="J191" t="s">
        <v>6</v>
      </c>
      <c r="L191" t="s">
        <v>64</v>
      </c>
      <c r="M191" t="s">
        <v>5</v>
      </c>
      <c r="N191">
        <v>9.7176936193346983E-2</v>
      </c>
      <c r="O191" t="s">
        <v>6</v>
      </c>
    </row>
    <row r="192" spans="2:15" x14ac:dyDescent="0.45">
      <c r="B192" t="s">
        <v>62</v>
      </c>
      <c r="C192" t="s">
        <v>9</v>
      </c>
      <c r="D192">
        <v>0.14385098478554725</v>
      </c>
      <c r="E192" t="s">
        <v>6</v>
      </c>
      <c r="G192" t="s">
        <v>63</v>
      </c>
      <c r="H192" t="s">
        <v>9</v>
      </c>
      <c r="I192">
        <v>0.11824190493604604</v>
      </c>
      <c r="J192" t="s">
        <v>6</v>
      </c>
      <c r="L192" t="s">
        <v>64</v>
      </c>
      <c r="M192" t="s">
        <v>9</v>
      </c>
      <c r="N192">
        <v>0.11865489254509008</v>
      </c>
      <c r="O192" t="s">
        <v>6</v>
      </c>
    </row>
    <row r="193" spans="2:15" x14ac:dyDescent="0.45">
      <c r="B193" t="s">
        <v>62</v>
      </c>
      <c r="C193" t="s">
        <v>10</v>
      </c>
      <c r="D193">
        <v>1.2687957844523801E-3</v>
      </c>
      <c r="E193" t="s">
        <v>6</v>
      </c>
      <c r="G193" t="s">
        <v>63</v>
      </c>
      <c r="H193" t="s">
        <v>10</v>
      </c>
      <c r="I193">
        <v>7.6047587659742746E-2</v>
      </c>
      <c r="J193" t="s">
        <v>6</v>
      </c>
      <c r="L193" t="s">
        <v>64</v>
      </c>
      <c r="M193" t="s">
        <v>10</v>
      </c>
      <c r="N193">
        <v>7.2961359108280083E-2</v>
      </c>
      <c r="O193" t="s">
        <v>6</v>
      </c>
    </row>
    <row r="194" spans="2:15" x14ac:dyDescent="0.45">
      <c r="B194" t="s">
        <v>62</v>
      </c>
      <c r="C194" t="s">
        <v>11</v>
      </c>
      <c r="D194">
        <v>1.4664908171989357E-3</v>
      </c>
      <c r="E194" t="s">
        <v>6</v>
      </c>
      <c r="G194" t="s">
        <v>63</v>
      </c>
      <c r="H194" t="s">
        <v>11</v>
      </c>
      <c r="I194">
        <v>7.997092082263374E-2</v>
      </c>
      <c r="J194" t="s">
        <v>6</v>
      </c>
      <c r="L194" t="s">
        <v>64</v>
      </c>
      <c r="M194" t="s">
        <v>11</v>
      </c>
      <c r="N194">
        <v>9.2821550110973552E-2</v>
      </c>
      <c r="O194" t="s">
        <v>6</v>
      </c>
    </row>
    <row r="195" spans="2:15" x14ac:dyDescent="0.45">
      <c r="B195" t="s">
        <v>62</v>
      </c>
      <c r="C195" t="s">
        <v>12</v>
      </c>
      <c r="D195">
        <v>0.26853307757754796</v>
      </c>
      <c r="E195" t="s">
        <v>6</v>
      </c>
      <c r="G195" t="s">
        <v>63</v>
      </c>
      <c r="H195" t="s">
        <v>12</v>
      </c>
      <c r="I195">
        <v>0.13608655034096567</v>
      </c>
      <c r="J195" t="s">
        <v>6</v>
      </c>
      <c r="L195" t="s">
        <v>64</v>
      </c>
      <c r="M195" t="s">
        <v>12</v>
      </c>
      <c r="N195">
        <v>0.11702026784609829</v>
      </c>
      <c r="O195" t="s">
        <v>6</v>
      </c>
    </row>
    <row r="196" spans="2:15" x14ac:dyDescent="0.45">
      <c r="B196" t="s">
        <v>62</v>
      </c>
      <c r="C196" t="s">
        <v>13</v>
      </c>
      <c r="D196">
        <v>1.2118846965041912E-2</v>
      </c>
      <c r="E196" t="s">
        <v>6</v>
      </c>
      <c r="G196" t="s">
        <v>63</v>
      </c>
      <c r="H196" t="s">
        <v>13</v>
      </c>
      <c r="I196">
        <v>7.7906407788283338E-2</v>
      </c>
      <c r="J196" t="s">
        <v>6</v>
      </c>
      <c r="L196" t="s">
        <v>64</v>
      </c>
      <c r="M196" t="s">
        <v>13</v>
      </c>
      <c r="N196">
        <v>7.033798362446525E-2</v>
      </c>
      <c r="O196" t="s">
        <v>6</v>
      </c>
    </row>
    <row r="197" spans="2:15" x14ac:dyDescent="0.45">
      <c r="B197" t="s">
        <v>62</v>
      </c>
      <c r="C197" t="s">
        <v>14</v>
      </c>
      <c r="D197">
        <v>3.4879432776232905E-3</v>
      </c>
      <c r="E197" t="s">
        <v>6</v>
      </c>
      <c r="G197" t="s">
        <v>63</v>
      </c>
      <c r="H197" t="s">
        <v>14</v>
      </c>
      <c r="I197">
        <v>4.504698086014073E-2</v>
      </c>
      <c r="J197" t="s">
        <v>6</v>
      </c>
      <c r="L197" t="s">
        <v>64</v>
      </c>
      <c r="M197" t="s">
        <v>14</v>
      </c>
      <c r="N197">
        <v>6.4155115330440313E-2</v>
      </c>
      <c r="O197" t="s">
        <v>6</v>
      </c>
    </row>
    <row r="198" spans="2:15" x14ac:dyDescent="0.45">
      <c r="B198" t="s">
        <v>62</v>
      </c>
      <c r="C198" t="s">
        <v>15</v>
      </c>
      <c r="D198">
        <v>0.35094463541391863</v>
      </c>
      <c r="E198" t="s">
        <v>6</v>
      </c>
      <c r="G198" t="s">
        <v>63</v>
      </c>
      <c r="H198" t="s">
        <v>15</v>
      </c>
      <c r="I198">
        <v>7.6555188064337171E-2</v>
      </c>
      <c r="J198" t="s">
        <v>6</v>
      </c>
      <c r="L198" t="s">
        <v>64</v>
      </c>
      <c r="M198" t="s">
        <v>15</v>
      </c>
      <c r="N198">
        <v>6.953055539142701E-2</v>
      </c>
      <c r="O198" t="s">
        <v>6</v>
      </c>
    </row>
    <row r="199" spans="2:15" x14ac:dyDescent="0.45">
      <c r="B199" t="s">
        <v>62</v>
      </c>
      <c r="C199" t="s">
        <v>16</v>
      </c>
      <c r="D199">
        <v>2.3628365695020349E-2</v>
      </c>
      <c r="E199" t="s">
        <v>6</v>
      </c>
      <c r="G199" t="s">
        <v>63</v>
      </c>
      <c r="H199" t="s">
        <v>16</v>
      </c>
      <c r="I199">
        <v>5.2839709684373383E-2</v>
      </c>
      <c r="J199" t="s">
        <v>6</v>
      </c>
      <c r="L199" t="s">
        <v>64</v>
      </c>
      <c r="M199" t="s">
        <v>16</v>
      </c>
      <c r="N199">
        <v>5.1622829053268933E-2</v>
      </c>
      <c r="O199" t="s">
        <v>6</v>
      </c>
    </row>
    <row r="200" spans="2:15" x14ac:dyDescent="0.45">
      <c r="B200" t="s">
        <v>62</v>
      </c>
      <c r="C200" t="s">
        <v>17</v>
      </c>
      <c r="D200">
        <v>4.9953385582061601E-5</v>
      </c>
      <c r="E200" t="s">
        <v>6</v>
      </c>
      <c r="G200" t="s">
        <v>63</v>
      </c>
      <c r="H200" t="s">
        <v>17</v>
      </c>
      <c r="I200">
        <v>7.6746436954642172E-2</v>
      </c>
      <c r="J200" t="s">
        <v>6</v>
      </c>
      <c r="L200" t="s">
        <v>64</v>
      </c>
      <c r="M200" t="s">
        <v>17</v>
      </c>
      <c r="N200">
        <v>8.2738390306755019E-2</v>
      </c>
      <c r="O200" t="s">
        <v>6</v>
      </c>
    </row>
    <row r="201" spans="2:15" x14ac:dyDescent="0.45">
      <c r="B201" t="s">
        <v>62</v>
      </c>
      <c r="C201" t="s">
        <v>18</v>
      </c>
      <c r="D201">
        <v>0.19159335736271554</v>
      </c>
      <c r="E201" t="s">
        <v>6</v>
      </c>
      <c r="G201" t="s">
        <v>63</v>
      </c>
      <c r="H201" t="s">
        <v>18</v>
      </c>
      <c r="I201">
        <v>0.10105312626184841</v>
      </c>
      <c r="J201" t="s">
        <v>6</v>
      </c>
      <c r="L201" t="s">
        <v>64</v>
      </c>
      <c r="M201" t="s">
        <v>18</v>
      </c>
      <c r="N201">
        <v>0.10216706519891953</v>
      </c>
      <c r="O201" t="s">
        <v>6</v>
      </c>
    </row>
    <row r="202" spans="2:15" x14ac:dyDescent="0.45">
      <c r="B202" t="s">
        <v>62</v>
      </c>
      <c r="C202" t="s">
        <v>19</v>
      </c>
      <c r="D202">
        <v>3.0575489353509271E-3</v>
      </c>
      <c r="E202" t="s">
        <v>6</v>
      </c>
      <c r="G202" t="s">
        <v>63</v>
      </c>
      <c r="H202" t="s">
        <v>19</v>
      </c>
      <c r="I202">
        <v>6.4711763458714197E-2</v>
      </c>
      <c r="J202" t="s">
        <v>6</v>
      </c>
      <c r="L202" t="s">
        <v>64</v>
      </c>
      <c r="M202" t="s">
        <v>19</v>
      </c>
      <c r="N202">
        <v>6.0813055290930992E-2</v>
      </c>
      <c r="O202" t="s">
        <v>6</v>
      </c>
    </row>
    <row r="203" spans="2:15" x14ac:dyDescent="0.45">
      <c r="B203" t="s">
        <v>65</v>
      </c>
      <c r="C203" t="s">
        <v>5</v>
      </c>
      <c r="D203">
        <v>0</v>
      </c>
      <c r="E203" t="s">
        <v>6</v>
      </c>
      <c r="G203" t="s">
        <v>66</v>
      </c>
      <c r="H203" t="s">
        <v>5</v>
      </c>
      <c r="I203">
        <v>9.1831819137257381E-2</v>
      </c>
      <c r="J203" t="s">
        <v>6</v>
      </c>
      <c r="L203" t="s">
        <v>67</v>
      </c>
      <c r="M203" t="s">
        <v>5</v>
      </c>
      <c r="N203">
        <v>9.5679851273978406E-2</v>
      </c>
      <c r="O203" t="s">
        <v>6</v>
      </c>
    </row>
    <row r="204" spans="2:15" x14ac:dyDescent="0.45">
      <c r="B204" t="s">
        <v>65</v>
      </c>
      <c r="C204" t="s">
        <v>9</v>
      </c>
      <c r="D204">
        <v>0.13904305704026867</v>
      </c>
      <c r="E204" t="s">
        <v>6</v>
      </c>
      <c r="G204" t="s">
        <v>66</v>
      </c>
      <c r="H204" t="s">
        <v>9</v>
      </c>
      <c r="I204">
        <v>0.1174338589927693</v>
      </c>
      <c r="J204" t="s">
        <v>6</v>
      </c>
      <c r="L204" t="s">
        <v>67</v>
      </c>
      <c r="M204" t="s">
        <v>9</v>
      </c>
      <c r="N204">
        <v>0.1156675638555108</v>
      </c>
      <c r="O204" t="s">
        <v>6</v>
      </c>
    </row>
    <row r="205" spans="2:15" x14ac:dyDescent="0.45">
      <c r="B205" t="s">
        <v>65</v>
      </c>
      <c r="C205" t="s">
        <v>10</v>
      </c>
      <c r="D205">
        <v>1.4661867340848554E-3</v>
      </c>
      <c r="E205" t="s">
        <v>6</v>
      </c>
      <c r="G205" t="s">
        <v>66</v>
      </c>
      <c r="H205" t="s">
        <v>10</v>
      </c>
      <c r="I205">
        <v>7.3147773346729866E-2</v>
      </c>
      <c r="J205" t="s">
        <v>6</v>
      </c>
      <c r="L205" t="s">
        <v>67</v>
      </c>
      <c r="M205" t="s">
        <v>10</v>
      </c>
      <c r="N205">
        <v>7.329354456478919E-2</v>
      </c>
      <c r="O205" t="s">
        <v>6</v>
      </c>
    </row>
    <row r="206" spans="2:15" x14ac:dyDescent="0.45">
      <c r="B206" t="s">
        <v>65</v>
      </c>
      <c r="C206" t="s">
        <v>11</v>
      </c>
      <c r="D206">
        <v>1.1909280576467786E-3</v>
      </c>
      <c r="E206" t="s">
        <v>6</v>
      </c>
      <c r="G206" t="s">
        <v>66</v>
      </c>
      <c r="H206" t="s">
        <v>11</v>
      </c>
      <c r="I206">
        <v>7.9000776108975615E-2</v>
      </c>
      <c r="J206" t="s">
        <v>6</v>
      </c>
      <c r="L206" t="s">
        <v>67</v>
      </c>
      <c r="M206" t="s">
        <v>11</v>
      </c>
      <c r="N206">
        <v>9.2968770295382294E-2</v>
      </c>
      <c r="O206" t="s">
        <v>6</v>
      </c>
    </row>
    <row r="207" spans="2:15" x14ac:dyDescent="0.45">
      <c r="B207" t="s">
        <v>65</v>
      </c>
      <c r="C207" t="s">
        <v>12</v>
      </c>
      <c r="D207">
        <v>0.27102035478042102</v>
      </c>
      <c r="E207" t="s">
        <v>6</v>
      </c>
      <c r="G207" t="s">
        <v>66</v>
      </c>
      <c r="H207" t="s">
        <v>12</v>
      </c>
      <c r="I207">
        <v>0.11416875959591058</v>
      </c>
      <c r="J207" t="s">
        <v>6</v>
      </c>
      <c r="L207" t="s">
        <v>67</v>
      </c>
      <c r="M207" t="s">
        <v>12</v>
      </c>
      <c r="N207">
        <v>0.10873010013227477</v>
      </c>
      <c r="O207" t="s">
        <v>6</v>
      </c>
    </row>
    <row r="208" spans="2:15" x14ac:dyDescent="0.45">
      <c r="B208" t="s">
        <v>65</v>
      </c>
      <c r="C208" t="s">
        <v>13</v>
      </c>
      <c r="D208">
        <v>1.424035075229394E-2</v>
      </c>
      <c r="E208" t="s">
        <v>6</v>
      </c>
      <c r="G208" t="s">
        <v>66</v>
      </c>
      <c r="H208" t="s">
        <v>13</v>
      </c>
      <c r="I208">
        <v>6.4970296994949051E-2</v>
      </c>
      <c r="J208" t="s">
        <v>6</v>
      </c>
      <c r="L208" t="s">
        <v>67</v>
      </c>
      <c r="M208" t="s">
        <v>13</v>
      </c>
      <c r="N208">
        <v>7.0563455958266227E-2</v>
      </c>
      <c r="O208" t="s">
        <v>6</v>
      </c>
    </row>
    <row r="209" spans="2:15" x14ac:dyDescent="0.45">
      <c r="B209" t="s">
        <v>65</v>
      </c>
      <c r="C209" t="s">
        <v>14</v>
      </c>
      <c r="D209">
        <v>2.8010029578384517E-3</v>
      </c>
      <c r="E209" t="s">
        <v>6</v>
      </c>
      <c r="G209" t="s">
        <v>66</v>
      </c>
      <c r="H209" t="s">
        <v>14</v>
      </c>
      <c r="I209">
        <v>5.6002889079952309E-2</v>
      </c>
      <c r="J209" t="s">
        <v>6</v>
      </c>
      <c r="L209" t="s">
        <v>67</v>
      </c>
      <c r="M209" t="s">
        <v>14</v>
      </c>
      <c r="N209">
        <v>6.7164808691327516E-2</v>
      </c>
      <c r="O209" t="s">
        <v>6</v>
      </c>
    </row>
    <row r="210" spans="2:15" x14ac:dyDescent="0.45">
      <c r="B210" t="s">
        <v>65</v>
      </c>
      <c r="C210" t="s">
        <v>15</v>
      </c>
      <c r="D210">
        <v>0.34779462190555682</v>
      </c>
      <c r="E210" t="s">
        <v>6</v>
      </c>
      <c r="G210" t="s">
        <v>66</v>
      </c>
      <c r="H210" t="s">
        <v>15</v>
      </c>
      <c r="I210">
        <v>7.8268128191043451E-2</v>
      </c>
      <c r="J210" t="s">
        <v>6</v>
      </c>
      <c r="L210" t="s">
        <v>67</v>
      </c>
      <c r="M210" t="s">
        <v>15</v>
      </c>
      <c r="N210">
        <v>6.5352364488946185E-2</v>
      </c>
      <c r="O210" t="s">
        <v>6</v>
      </c>
    </row>
    <row r="211" spans="2:15" x14ac:dyDescent="0.45">
      <c r="B211" t="s">
        <v>65</v>
      </c>
      <c r="C211" t="s">
        <v>16</v>
      </c>
      <c r="D211">
        <v>2.5356000224751533E-2</v>
      </c>
      <c r="E211" t="s">
        <v>6</v>
      </c>
      <c r="G211" t="s">
        <v>66</v>
      </c>
      <c r="H211" t="s">
        <v>16</v>
      </c>
      <c r="I211">
        <v>4.7071314581673566E-2</v>
      </c>
      <c r="J211" t="s">
        <v>6</v>
      </c>
      <c r="L211" t="s">
        <v>67</v>
      </c>
      <c r="M211" t="s">
        <v>16</v>
      </c>
      <c r="N211">
        <v>5.2556245033017771E-2</v>
      </c>
      <c r="O211" t="s">
        <v>6</v>
      </c>
    </row>
    <row r="212" spans="2:15" x14ac:dyDescent="0.45">
      <c r="B212" t="s">
        <v>65</v>
      </c>
      <c r="C212" t="s">
        <v>17</v>
      </c>
      <c r="D212">
        <v>3.0261521112327932E-5</v>
      </c>
      <c r="E212" t="s">
        <v>6</v>
      </c>
      <c r="G212" t="s">
        <v>66</v>
      </c>
      <c r="H212" t="s">
        <v>17</v>
      </c>
      <c r="I212">
        <v>8.9989750835030941E-2</v>
      </c>
      <c r="J212" t="s">
        <v>6</v>
      </c>
      <c r="L212" t="s">
        <v>67</v>
      </c>
      <c r="M212" t="s">
        <v>17</v>
      </c>
      <c r="N212">
        <v>8.7125066544314234E-2</v>
      </c>
      <c r="O212" t="s">
        <v>6</v>
      </c>
    </row>
    <row r="213" spans="2:15" x14ac:dyDescent="0.45">
      <c r="B213" t="s">
        <v>65</v>
      </c>
      <c r="C213" t="s">
        <v>18</v>
      </c>
      <c r="D213">
        <v>0.19345884258627616</v>
      </c>
      <c r="E213" t="s">
        <v>6</v>
      </c>
      <c r="G213" t="s">
        <v>66</v>
      </c>
      <c r="H213" t="s">
        <v>18</v>
      </c>
      <c r="I213">
        <v>0.1178762944058727</v>
      </c>
      <c r="J213" t="s">
        <v>6</v>
      </c>
      <c r="L213" t="s">
        <v>67</v>
      </c>
      <c r="M213" t="s">
        <v>18</v>
      </c>
      <c r="N213">
        <v>0.10596407243214759</v>
      </c>
      <c r="O213" t="s">
        <v>6</v>
      </c>
    </row>
    <row r="214" spans="2:15" x14ac:dyDescent="0.45">
      <c r="B214" t="s">
        <v>65</v>
      </c>
      <c r="C214" t="s">
        <v>19</v>
      </c>
      <c r="D214">
        <v>3.5983934397470197E-3</v>
      </c>
      <c r="E214" t="s">
        <v>6</v>
      </c>
      <c r="G214" t="s">
        <v>66</v>
      </c>
      <c r="H214" t="s">
        <v>19</v>
      </c>
      <c r="I214">
        <v>7.0238338729838978E-2</v>
      </c>
      <c r="J214" t="s">
        <v>6</v>
      </c>
      <c r="L214" t="s">
        <v>67</v>
      </c>
      <c r="M214" t="s">
        <v>19</v>
      </c>
      <c r="N214">
        <v>6.4934156730041825E-2</v>
      </c>
      <c r="O214" t="s">
        <v>6</v>
      </c>
    </row>
    <row r="215" spans="2:15" x14ac:dyDescent="0.45">
      <c r="B215" t="s">
        <v>68</v>
      </c>
      <c r="C215" t="s">
        <v>5</v>
      </c>
      <c r="D215">
        <v>0</v>
      </c>
      <c r="E215" t="s">
        <v>6</v>
      </c>
      <c r="G215" t="s">
        <v>69</v>
      </c>
      <c r="H215" t="s">
        <v>5</v>
      </c>
      <c r="I215">
        <v>0.11094005932716473</v>
      </c>
      <c r="J215" t="s">
        <v>6</v>
      </c>
    </row>
    <row r="216" spans="2:15" x14ac:dyDescent="0.45">
      <c r="B216" t="s">
        <v>68</v>
      </c>
      <c r="C216" t="s">
        <v>9</v>
      </c>
      <c r="D216">
        <v>0.17575495438224634</v>
      </c>
      <c r="E216" t="s">
        <v>6</v>
      </c>
      <c r="G216" t="s">
        <v>69</v>
      </c>
      <c r="H216" t="s">
        <v>9</v>
      </c>
      <c r="I216">
        <v>0.12389143851945786</v>
      </c>
      <c r="J216" t="s">
        <v>6</v>
      </c>
    </row>
    <row r="217" spans="2:15" x14ac:dyDescent="0.45">
      <c r="B217" t="s">
        <v>68</v>
      </c>
      <c r="C217" t="s">
        <v>10</v>
      </c>
      <c r="D217">
        <v>8.891821333435766E-4</v>
      </c>
      <c r="E217" t="s">
        <v>6</v>
      </c>
      <c r="G217" t="s">
        <v>69</v>
      </c>
      <c r="H217" t="s">
        <v>10</v>
      </c>
      <c r="I217">
        <v>8.0069831325663435E-2</v>
      </c>
      <c r="J217" t="s">
        <v>6</v>
      </c>
    </row>
    <row r="218" spans="2:15" x14ac:dyDescent="0.45">
      <c r="B218" t="s">
        <v>68</v>
      </c>
      <c r="C218" t="s">
        <v>11</v>
      </c>
      <c r="D218">
        <v>2.1970982789787509E-3</v>
      </c>
      <c r="E218" t="s">
        <v>6</v>
      </c>
      <c r="G218" t="s">
        <v>69</v>
      </c>
      <c r="H218" t="s">
        <v>11</v>
      </c>
      <c r="I218">
        <v>8.7490209637466357E-2</v>
      </c>
      <c r="J218" t="s">
        <v>6</v>
      </c>
    </row>
    <row r="219" spans="2:15" x14ac:dyDescent="0.45">
      <c r="B219" t="s">
        <v>68</v>
      </c>
      <c r="C219" t="s">
        <v>12</v>
      </c>
      <c r="D219">
        <v>0.263465247946231</v>
      </c>
      <c r="E219" t="s">
        <v>6</v>
      </c>
      <c r="G219" t="s">
        <v>69</v>
      </c>
      <c r="H219" t="s">
        <v>12</v>
      </c>
      <c r="I219">
        <v>9.3730475487833739E-2</v>
      </c>
      <c r="J219" t="s">
        <v>6</v>
      </c>
    </row>
    <row r="220" spans="2:15" x14ac:dyDescent="0.45">
      <c r="B220" t="s">
        <v>68</v>
      </c>
      <c r="C220" t="s">
        <v>13</v>
      </c>
      <c r="D220">
        <v>8.9616068180658256E-3</v>
      </c>
      <c r="E220" t="s">
        <v>6</v>
      </c>
      <c r="G220" t="s">
        <v>69</v>
      </c>
      <c r="H220" t="s">
        <v>13</v>
      </c>
      <c r="I220">
        <v>6.3047233074278897E-2</v>
      </c>
      <c r="J220" t="s">
        <v>6</v>
      </c>
    </row>
    <row r="221" spans="2:15" x14ac:dyDescent="0.45">
      <c r="B221" t="s">
        <v>68</v>
      </c>
      <c r="C221" t="s">
        <v>14</v>
      </c>
      <c r="D221">
        <v>4.0823260104523532E-3</v>
      </c>
      <c r="E221" t="s">
        <v>6</v>
      </c>
      <c r="G221" t="s">
        <v>69</v>
      </c>
      <c r="H221" t="s">
        <v>14</v>
      </c>
      <c r="I221">
        <v>6.1285864694180764E-2</v>
      </c>
      <c r="J221" t="s">
        <v>6</v>
      </c>
    </row>
    <row r="222" spans="2:15" x14ac:dyDescent="0.45">
      <c r="B222" t="s">
        <v>68</v>
      </c>
      <c r="C222" t="s">
        <v>15</v>
      </c>
      <c r="D222">
        <v>0.30982640113800519</v>
      </c>
      <c r="E222" t="s">
        <v>6</v>
      </c>
      <c r="G222" t="s">
        <v>69</v>
      </c>
      <c r="H222" t="s">
        <v>15</v>
      </c>
      <c r="I222">
        <v>5.9765121376445851E-2</v>
      </c>
      <c r="J222" t="s">
        <v>6</v>
      </c>
    </row>
    <row r="223" spans="2:15" x14ac:dyDescent="0.45">
      <c r="B223" t="s">
        <v>68</v>
      </c>
      <c r="C223" t="s">
        <v>16</v>
      </c>
      <c r="D223">
        <v>1.4654977517222124E-2</v>
      </c>
      <c r="E223" t="s">
        <v>6</v>
      </c>
      <c r="G223" t="s">
        <v>69</v>
      </c>
      <c r="H223" t="s">
        <v>16</v>
      </c>
      <c r="I223">
        <v>4.6462030776811249E-2</v>
      </c>
      <c r="J223" t="s">
        <v>6</v>
      </c>
    </row>
    <row r="224" spans="2:15" x14ac:dyDescent="0.45">
      <c r="B224" t="s">
        <v>68</v>
      </c>
      <c r="C224" t="s">
        <v>17</v>
      </c>
      <c r="D224">
        <v>3.3898796818479515E-4</v>
      </c>
      <c r="E224" t="s">
        <v>6</v>
      </c>
      <c r="G224" t="s">
        <v>69</v>
      </c>
      <c r="H224" t="s">
        <v>17</v>
      </c>
      <c r="I224">
        <v>9.0274895675534414E-2</v>
      </c>
      <c r="J224" t="s">
        <v>6</v>
      </c>
    </row>
    <row r="225" spans="2:10" x14ac:dyDescent="0.45">
      <c r="B225" t="s">
        <v>68</v>
      </c>
      <c r="C225" t="s">
        <v>18</v>
      </c>
      <c r="D225">
        <v>0.2177382595316549</v>
      </c>
      <c r="E225" t="s">
        <v>6</v>
      </c>
      <c r="G225" t="s">
        <v>69</v>
      </c>
      <c r="H225" t="s">
        <v>18</v>
      </c>
      <c r="I225">
        <v>0.11010769173427916</v>
      </c>
      <c r="J225" t="s">
        <v>6</v>
      </c>
    </row>
    <row r="226" spans="2:10" x14ac:dyDescent="0.45">
      <c r="B226" t="s">
        <v>68</v>
      </c>
      <c r="C226" t="s">
        <v>19</v>
      </c>
      <c r="D226">
        <v>2.0909582756160798E-3</v>
      </c>
      <c r="E226" t="s">
        <v>6</v>
      </c>
      <c r="G226" t="s">
        <v>69</v>
      </c>
      <c r="H226" t="s">
        <v>19</v>
      </c>
      <c r="I226">
        <v>7.293514837088251E-2</v>
      </c>
      <c r="J226" t="s">
        <v>6</v>
      </c>
    </row>
    <row r="227" spans="2:10" x14ac:dyDescent="0.45">
      <c r="B227" t="s">
        <v>70</v>
      </c>
      <c r="C227" t="s">
        <v>5</v>
      </c>
      <c r="D227">
        <v>0</v>
      </c>
      <c r="E227" t="s">
        <v>6</v>
      </c>
      <c r="G227" t="s">
        <v>71</v>
      </c>
      <c r="H227" t="s">
        <v>5</v>
      </c>
      <c r="I227">
        <v>0.11242110962953815</v>
      </c>
      <c r="J227" t="s">
        <v>6</v>
      </c>
    </row>
    <row r="228" spans="2:10" x14ac:dyDescent="0.45">
      <c r="B228" t="s">
        <v>70</v>
      </c>
      <c r="C228" t="s">
        <v>9</v>
      </c>
      <c r="D228">
        <v>0.19509469512591096</v>
      </c>
      <c r="E228" t="s">
        <v>6</v>
      </c>
      <c r="G228" t="s">
        <v>71</v>
      </c>
      <c r="H228" t="s">
        <v>9</v>
      </c>
      <c r="I228">
        <v>0.11718989017047651</v>
      </c>
      <c r="J228" t="s">
        <v>6</v>
      </c>
    </row>
    <row r="229" spans="2:10" x14ac:dyDescent="0.45">
      <c r="B229" t="s">
        <v>70</v>
      </c>
      <c r="C229" t="s">
        <v>10</v>
      </c>
      <c r="D229">
        <v>1.5506502241675565E-3</v>
      </c>
      <c r="E229" t="s">
        <v>6</v>
      </c>
      <c r="G229" t="s">
        <v>71</v>
      </c>
      <c r="H229" t="s">
        <v>10</v>
      </c>
      <c r="I229">
        <v>7.9822409222822507E-2</v>
      </c>
      <c r="J229" t="s">
        <v>6</v>
      </c>
    </row>
    <row r="230" spans="2:10" x14ac:dyDescent="0.45">
      <c r="B230" t="s">
        <v>70</v>
      </c>
      <c r="C230" t="s">
        <v>11</v>
      </c>
      <c r="D230">
        <v>1.5593815961097383E-3</v>
      </c>
      <c r="E230" t="s">
        <v>6</v>
      </c>
      <c r="G230" t="s">
        <v>71</v>
      </c>
      <c r="H230" t="s">
        <v>11</v>
      </c>
      <c r="I230">
        <v>8.8201016881285649E-2</v>
      </c>
      <c r="J230" t="s">
        <v>6</v>
      </c>
    </row>
    <row r="231" spans="2:10" x14ac:dyDescent="0.45">
      <c r="B231" t="s">
        <v>70</v>
      </c>
      <c r="C231" t="s">
        <v>12</v>
      </c>
      <c r="D231">
        <v>0.26002477121806133</v>
      </c>
      <c r="E231" t="s">
        <v>6</v>
      </c>
      <c r="G231" t="s">
        <v>71</v>
      </c>
      <c r="H231" t="s">
        <v>12</v>
      </c>
      <c r="I231">
        <v>0.10234453397839732</v>
      </c>
      <c r="J231" t="s">
        <v>6</v>
      </c>
    </row>
    <row r="232" spans="2:10" x14ac:dyDescent="0.45">
      <c r="B232" t="s">
        <v>70</v>
      </c>
      <c r="C232" t="s">
        <v>13</v>
      </c>
      <c r="D232">
        <v>1.1156525402627132E-2</v>
      </c>
      <c r="E232" t="s">
        <v>6</v>
      </c>
      <c r="G232" t="s">
        <v>71</v>
      </c>
      <c r="H232" t="s">
        <v>13</v>
      </c>
      <c r="I232">
        <v>6.9438051518360383E-2</v>
      </c>
      <c r="J232" t="s">
        <v>6</v>
      </c>
    </row>
    <row r="233" spans="2:10" x14ac:dyDescent="0.45">
      <c r="B233" t="s">
        <v>70</v>
      </c>
      <c r="C233" t="s">
        <v>14</v>
      </c>
      <c r="D233">
        <v>3.0147121435744962E-3</v>
      </c>
      <c r="E233" t="s">
        <v>6</v>
      </c>
      <c r="G233" t="s">
        <v>71</v>
      </c>
      <c r="H233" t="s">
        <v>14</v>
      </c>
      <c r="I233">
        <v>5.7983461964983017E-2</v>
      </c>
      <c r="J233" t="s">
        <v>6</v>
      </c>
    </row>
    <row r="234" spans="2:10" x14ac:dyDescent="0.45">
      <c r="B234" t="s">
        <v>70</v>
      </c>
      <c r="C234" t="s">
        <v>15</v>
      </c>
      <c r="D234">
        <v>0.30317915266921053</v>
      </c>
      <c r="E234" t="s">
        <v>6</v>
      </c>
      <c r="G234" t="s">
        <v>71</v>
      </c>
      <c r="H234" t="s">
        <v>15</v>
      </c>
      <c r="I234">
        <v>5.0799149412670781E-2</v>
      </c>
      <c r="J234" t="s">
        <v>6</v>
      </c>
    </row>
    <row r="235" spans="2:10" x14ac:dyDescent="0.45">
      <c r="B235" t="s">
        <v>70</v>
      </c>
      <c r="C235" t="s">
        <v>16</v>
      </c>
      <c r="D235">
        <v>1.7186245998228749E-2</v>
      </c>
      <c r="E235" t="s">
        <v>6</v>
      </c>
      <c r="G235" t="s">
        <v>71</v>
      </c>
      <c r="H235" t="s">
        <v>16</v>
      </c>
      <c r="I235">
        <v>5.0081508823969396E-2</v>
      </c>
      <c r="J235" t="s">
        <v>6</v>
      </c>
    </row>
    <row r="236" spans="2:10" x14ac:dyDescent="0.45">
      <c r="B236" t="s">
        <v>70</v>
      </c>
      <c r="C236" t="s">
        <v>17</v>
      </c>
      <c r="D236">
        <v>1.0703076087108892E-4</v>
      </c>
      <c r="E236" t="s">
        <v>6</v>
      </c>
      <c r="G236" t="s">
        <v>71</v>
      </c>
      <c r="H236" t="s">
        <v>17</v>
      </c>
      <c r="I236">
        <v>9.3449928626126097E-2</v>
      </c>
      <c r="J236" t="s">
        <v>6</v>
      </c>
    </row>
    <row r="237" spans="2:10" x14ac:dyDescent="0.45">
      <c r="B237" t="s">
        <v>70</v>
      </c>
      <c r="C237" t="s">
        <v>18</v>
      </c>
      <c r="D237">
        <v>0.20419594611278039</v>
      </c>
      <c r="E237" t="s">
        <v>6</v>
      </c>
      <c r="G237" t="s">
        <v>71</v>
      </c>
      <c r="H237" t="s">
        <v>18</v>
      </c>
      <c r="I237">
        <v>0.10536202368159801</v>
      </c>
      <c r="J237" t="s">
        <v>6</v>
      </c>
    </row>
    <row r="238" spans="2:10" x14ac:dyDescent="0.45">
      <c r="B238" t="s">
        <v>70</v>
      </c>
      <c r="C238" t="s">
        <v>19</v>
      </c>
      <c r="D238">
        <v>2.9308887484562405E-3</v>
      </c>
      <c r="E238" t="s">
        <v>6</v>
      </c>
      <c r="G238" t="s">
        <v>71</v>
      </c>
      <c r="H238" t="s">
        <v>19</v>
      </c>
      <c r="I238">
        <v>7.2906916089769666E-2</v>
      </c>
      <c r="J238" t="s">
        <v>6</v>
      </c>
    </row>
    <row r="239" spans="2:10" x14ac:dyDescent="0.45">
      <c r="B239" t="s">
        <v>72</v>
      </c>
      <c r="C239" t="s">
        <v>5</v>
      </c>
      <c r="D239">
        <v>0</v>
      </c>
      <c r="E239" t="s">
        <v>6</v>
      </c>
      <c r="G239" t="s">
        <v>73</v>
      </c>
      <c r="H239" t="s">
        <v>5</v>
      </c>
      <c r="I239">
        <v>0.11225043068608521</v>
      </c>
      <c r="J239" t="s">
        <v>6</v>
      </c>
    </row>
    <row r="240" spans="2:10" x14ac:dyDescent="0.45">
      <c r="B240" t="s">
        <v>72</v>
      </c>
      <c r="C240" t="s">
        <v>9</v>
      </c>
      <c r="D240">
        <v>0.19479771191611212</v>
      </c>
      <c r="E240" t="s">
        <v>6</v>
      </c>
      <c r="G240" t="s">
        <v>73</v>
      </c>
      <c r="H240" t="s">
        <v>9</v>
      </c>
      <c r="I240">
        <v>0.12905039425022422</v>
      </c>
      <c r="J240" t="s">
        <v>6</v>
      </c>
    </row>
    <row r="241" spans="2:10" x14ac:dyDescent="0.45">
      <c r="B241" t="s">
        <v>72</v>
      </c>
      <c r="C241" t="s">
        <v>10</v>
      </c>
      <c r="D241">
        <v>3.1747727161734406E-3</v>
      </c>
      <c r="E241" t="s">
        <v>6</v>
      </c>
      <c r="G241" t="s">
        <v>73</v>
      </c>
      <c r="H241" t="s">
        <v>10</v>
      </c>
      <c r="I241">
        <v>8.100837676999742E-2</v>
      </c>
      <c r="J241" t="s">
        <v>6</v>
      </c>
    </row>
    <row r="242" spans="2:10" x14ac:dyDescent="0.45">
      <c r="B242" t="s">
        <v>72</v>
      </c>
      <c r="C242" t="s">
        <v>11</v>
      </c>
      <c r="D242">
        <v>6.2031981319792288E-4</v>
      </c>
      <c r="E242" t="s">
        <v>6</v>
      </c>
      <c r="G242" t="s">
        <v>73</v>
      </c>
      <c r="H242" t="s">
        <v>11</v>
      </c>
      <c r="I242">
        <v>0.10086909565119059</v>
      </c>
      <c r="J242" t="s">
        <v>6</v>
      </c>
    </row>
    <row r="243" spans="2:10" x14ac:dyDescent="0.45">
      <c r="B243" t="s">
        <v>72</v>
      </c>
      <c r="C243" t="s">
        <v>12</v>
      </c>
      <c r="D243">
        <v>0.25388512484221681</v>
      </c>
      <c r="E243" t="s">
        <v>6</v>
      </c>
      <c r="G243" t="s">
        <v>73</v>
      </c>
      <c r="H243" t="s">
        <v>12</v>
      </c>
      <c r="I243">
        <v>0.12482950508400005</v>
      </c>
      <c r="J243" t="s">
        <v>6</v>
      </c>
    </row>
    <row r="244" spans="2:10" x14ac:dyDescent="0.45">
      <c r="B244" t="s">
        <v>72</v>
      </c>
      <c r="C244" t="s">
        <v>13</v>
      </c>
      <c r="D244">
        <v>1.4587361941898729E-2</v>
      </c>
      <c r="E244" t="s">
        <v>6</v>
      </c>
      <c r="G244" t="s">
        <v>73</v>
      </c>
      <c r="H244" t="s">
        <v>13</v>
      </c>
      <c r="I244">
        <v>8.329930159718861E-2</v>
      </c>
      <c r="J244" t="s">
        <v>6</v>
      </c>
    </row>
    <row r="245" spans="2:10" x14ac:dyDescent="0.45">
      <c r="B245" t="s">
        <v>72</v>
      </c>
      <c r="C245" t="s">
        <v>14</v>
      </c>
      <c r="D245">
        <v>1.3954836557695147E-3</v>
      </c>
      <c r="E245" t="s">
        <v>6</v>
      </c>
      <c r="G245" t="s">
        <v>73</v>
      </c>
      <c r="H245" t="s">
        <v>14</v>
      </c>
      <c r="I245">
        <v>4.672056274591297E-2</v>
      </c>
      <c r="J245" t="s">
        <v>6</v>
      </c>
    </row>
    <row r="246" spans="2:10" x14ac:dyDescent="0.45">
      <c r="B246" t="s">
        <v>72</v>
      </c>
      <c r="C246" t="s">
        <v>15</v>
      </c>
      <c r="D246">
        <v>0.28849342778226705</v>
      </c>
      <c r="E246" t="s">
        <v>6</v>
      </c>
      <c r="G246" t="s">
        <v>73</v>
      </c>
      <c r="H246" t="s">
        <v>15</v>
      </c>
      <c r="I246">
        <v>5.0083147133247942E-2</v>
      </c>
      <c r="J246" t="s">
        <v>6</v>
      </c>
    </row>
    <row r="247" spans="2:10" x14ac:dyDescent="0.45">
      <c r="B247" t="s">
        <v>72</v>
      </c>
      <c r="C247" t="s">
        <v>16</v>
      </c>
      <c r="D247">
        <v>2.0998657103631885E-2</v>
      </c>
      <c r="E247" t="s">
        <v>6</v>
      </c>
      <c r="G247" t="s">
        <v>73</v>
      </c>
      <c r="H247" t="s">
        <v>16</v>
      </c>
      <c r="I247">
        <v>3.9730848297333921E-2</v>
      </c>
      <c r="J247" t="s">
        <v>6</v>
      </c>
    </row>
    <row r="248" spans="2:10" x14ac:dyDescent="0.45">
      <c r="B248" t="s">
        <v>72</v>
      </c>
      <c r="C248" t="s">
        <v>17</v>
      </c>
      <c r="D248">
        <v>7.8417123058445129E-6</v>
      </c>
      <c r="E248" t="s">
        <v>6</v>
      </c>
      <c r="G248" t="s">
        <v>73</v>
      </c>
      <c r="H248" t="s">
        <v>17</v>
      </c>
      <c r="I248">
        <v>7.9285508282826808E-2</v>
      </c>
      <c r="J248" t="s">
        <v>6</v>
      </c>
    </row>
    <row r="249" spans="2:10" x14ac:dyDescent="0.45">
      <c r="B249" t="s">
        <v>72</v>
      </c>
      <c r="C249" t="s">
        <v>18</v>
      </c>
      <c r="D249">
        <v>0.21698023260960975</v>
      </c>
      <c r="E249" t="s">
        <v>6</v>
      </c>
      <c r="G249" t="s">
        <v>73</v>
      </c>
      <c r="H249" t="s">
        <v>18</v>
      </c>
      <c r="I249">
        <v>8.833376484015798E-2</v>
      </c>
      <c r="J249" t="s">
        <v>6</v>
      </c>
    </row>
    <row r="250" spans="2:10" x14ac:dyDescent="0.45">
      <c r="B250" t="s">
        <v>72</v>
      </c>
      <c r="C250" t="s">
        <v>19</v>
      </c>
      <c r="D250">
        <v>5.0590659068182999E-3</v>
      </c>
      <c r="E250" t="s">
        <v>6</v>
      </c>
      <c r="G250" t="s">
        <v>73</v>
      </c>
      <c r="H250" t="s">
        <v>19</v>
      </c>
      <c r="I250">
        <v>6.4539064661837189E-2</v>
      </c>
      <c r="J250" t="s">
        <v>6</v>
      </c>
    </row>
    <row r="251" spans="2:10" x14ac:dyDescent="0.45">
      <c r="B251" t="s">
        <v>74</v>
      </c>
      <c r="C251" t="s">
        <v>5</v>
      </c>
      <c r="D251">
        <v>0</v>
      </c>
      <c r="E251" t="s">
        <v>6</v>
      </c>
      <c r="G251" t="s">
        <v>75</v>
      </c>
      <c r="H251" t="s">
        <v>5</v>
      </c>
      <c r="I251">
        <v>0.110299568959333</v>
      </c>
      <c r="J251" t="s">
        <v>6</v>
      </c>
    </row>
    <row r="252" spans="2:10" x14ac:dyDescent="0.45">
      <c r="B252" t="s">
        <v>74</v>
      </c>
      <c r="C252" t="s">
        <v>9</v>
      </c>
      <c r="D252">
        <v>0.18629725009840595</v>
      </c>
      <c r="E252" t="s">
        <v>6</v>
      </c>
      <c r="G252" t="s">
        <v>75</v>
      </c>
      <c r="H252" t="s">
        <v>9</v>
      </c>
      <c r="I252">
        <v>0.11444294499988605</v>
      </c>
      <c r="J252" t="s">
        <v>6</v>
      </c>
    </row>
    <row r="253" spans="2:10" x14ac:dyDescent="0.45">
      <c r="B253" t="s">
        <v>74</v>
      </c>
      <c r="C253" t="s">
        <v>10</v>
      </c>
      <c r="D253">
        <v>2.4094940198470314E-3</v>
      </c>
      <c r="E253" t="s">
        <v>6</v>
      </c>
      <c r="G253" t="s">
        <v>75</v>
      </c>
      <c r="H253" t="s">
        <v>10</v>
      </c>
      <c r="I253">
        <v>7.8504915218990598E-2</v>
      </c>
      <c r="J253" t="s">
        <v>6</v>
      </c>
    </row>
    <row r="254" spans="2:10" x14ac:dyDescent="0.45">
      <c r="B254" t="s">
        <v>74</v>
      </c>
      <c r="C254" t="s">
        <v>11</v>
      </c>
      <c r="D254">
        <v>9.5638408179583129E-4</v>
      </c>
      <c r="E254" t="s">
        <v>6</v>
      </c>
      <c r="G254" t="s">
        <v>75</v>
      </c>
      <c r="H254" t="s">
        <v>11</v>
      </c>
      <c r="I254">
        <v>9.8567133380212196E-2</v>
      </c>
      <c r="J254" t="s">
        <v>6</v>
      </c>
    </row>
    <row r="255" spans="2:10" x14ac:dyDescent="0.45">
      <c r="B255" t="s">
        <v>74</v>
      </c>
      <c r="C255" t="s">
        <v>12</v>
      </c>
      <c r="D255">
        <v>0.25259786664893508</v>
      </c>
      <c r="E255" t="s">
        <v>6</v>
      </c>
      <c r="G255" t="s">
        <v>75</v>
      </c>
      <c r="H255" t="s">
        <v>12</v>
      </c>
      <c r="I255">
        <v>0.11381148208579453</v>
      </c>
      <c r="J255" t="s">
        <v>6</v>
      </c>
    </row>
    <row r="256" spans="2:10" x14ac:dyDescent="0.45">
      <c r="B256" t="s">
        <v>74</v>
      </c>
      <c r="C256" t="s">
        <v>13</v>
      </c>
      <c r="D256">
        <v>1.3418813423042974E-2</v>
      </c>
      <c r="E256" t="s">
        <v>6</v>
      </c>
      <c r="G256" t="s">
        <v>75</v>
      </c>
      <c r="H256" t="s">
        <v>13</v>
      </c>
      <c r="I256">
        <v>7.8597113624130271E-2</v>
      </c>
      <c r="J256" t="s">
        <v>6</v>
      </c>
    </row>
    <row r="257" spans="2:10" x14ac:dyDescent="0.45">
      <c r="B257" t="s">
        <v>74</v>
      </c>
      <c r="C257" t="s">
        <v>14</v>
      </c>
      <c r="D257">
        <v>2.0184360937561267E-3</v>
      </c>
      <c r="E257" t="s">
        <v>6</v>
      </c>
      <c r="G257" t="s">
        <v>75</v>
      </c>
      <c r="H257" t="s">
        <v>14</v>
      </c>
      <c r="I257">
        <v>5.0364652386004391E-2</v>
      </c>
      <c r="J257" t="s">
        <v>6</v>
      </c>
    </row>
    <row r="258" spans="2:10" x14ac:dyDescent="0.45">
      <c r="B258" t="s">
        <v>74</v>
      </c>
      <c r="C258" t="s">
        <v>15</v>
      </c>
      <c r="D258">
        <v>0.3140063730201022</v>
      </c>
      <c r="E258" t="s">
        <v>6</v>
      </c>
      <c r="G258" t="s">
        <v>75</v>
      </c>
      <c r="H258" t="s">
        <v>15</v>
      </c>
      <c r="I258">
        <v>4.6667622959853564E-2</v>
      </c>
      <c r="J258" t="s">
        <v>6</v>
      </c>
    </row>
    <row r="259" spans="2:10" x14ac:dyDescent="0.45">
      <c r="B259" t="s">
        <v>74</v>
      </c>
      <c r="C259" t="s">
        <v>16</v>
      </c>
      <c r="D259">
        <v>2.0997757112174744E-2</v>
      </c>
      <c r="E259" t="s">
        <v>6</v>
      </c>
      <c r="G259" t="s">
        <v>75</v>
      </c>
      <c r="H259" t="s">
        <v>16</v>
      </c>
      <c r="I259">
        <v>4.8063605978500894E-2</v>
      </c>
      <c r="J259" t="s">
        <v>6</v>
      </c>
    </row>
    <row r="260" spans="2:10" x14ac:dyDescent="0.45">
      <c r="B260" t="s">
        <v>74</v>
      </c>
      <c r="C260" t="s">
        <v>17</v>
      </c>
      <c r="D260">
        <v>2.9388893186078444E-5</v>
      </c>
      <c r="E260" t="s">
        <v>6</v>
      </c>
      <c r="G260" t="s">
        <v>75</v>
      </c>
      <c r="H260" t="s">
        <v>17</v>
      </c>
      <c r="I260">
        <v>9.1302736635497247E-2</v>
      </c>
      <c r="J260" t="s">
        <v>6</v>
      </c>
    </row>
    <row r="261" spans="2:10" x14ac:dyDescent="0.45">
      <c r="B261" t="s">
        <v>74</v>
      </c>
      <c r="C261" t="s">
        <v>18</v>
      </c>
      <c r="D261">
        <v>0.2034137117463071</v>
      </c>
      <c r="E261" t="s">
        <v>6</v>
      </c>
      <c r="G261" t="s">
        <v>75</v>
      </c>
      <c r="H261" t="s">
        <v>18</v>
      </c>
      <c r="I261">
        <v>9.8701821573788387E-2</v>
      </c>
      <c r="J261" t="s">
        <v>6</v>
      </c>
    </row>
    <row r="262" spans="2:10" x14ac:dyDescent="0.45">
      <c r="B262" t="s">
        <v>74</v>
      </c>
      <c r="C262" t="s">
        <v>19</v>
      </c>
      <c r="D262">
        <v>3.8545248624450679E-3</v>
      </c>
      <c r="E262" t="s">
        <v>6</v>
      </c>
      <c r="G262" t="s">
        <v>75</v>
      </c>
      <c r="H262" t="s">
        <v>19</v>
      </c>
      <c r="I262">
        <v>7.0676402198009719E-2</v>
      </c>
      <c r="J262" t="s">
        <v>6</v>
      </c>
    </row>
    <row r="263" spans="2:10" x14ac:dyDescent="0.45">
      <c r="B263" t="s">
        <v>76</v>
      </c>
      <c r="C263" t="s">
        <v>5</v>
      </c>
      <c r="D263">
        <v>0</v>
      </c>
      <c r="E263" t="s">
        <v>6</v>
      </c>
      <c r="G263" t="s">
        <v>77</v>
      </c>
      <c r="H263" t="s">
        <v>5</v>
      </c>
      <c r="I263">
        <v>9.3879643018103448E-2</v>
      </c>
      <c r="J263" t="s">
        <v>6</v>
      </c>
    </row>
    <row r="264" spans="2:10" x14ac:dyDescent="0.45">
      <c r="B264" t="s">
        <v>76</v>
      </c>
      <c r="C264" t="s">
        <v>9</v>
      </c>
      <c r="D264">
        <v>0.17634461823268532</v>
      </c>
      <c r="E264" t="s">
        <v>6</v>
      </c>
      <c r="G264" t="s">
        <v>77</v>
      </c>
      <c r="H264" t="s">
        <v>9</v>
      </c>
      <c r="I264">
        <v>0.11428667839801676</v>
      </c>
      <c r="J264" t="s">
        <v>6</v>
      </c>
    </row>
    <row r="265" spans="2:10" x14ac:dyDescent="0.45">
      <c r="B265" t="s">
        <v>76</v>
      </c>
      <c r="C265" t="s">
        <v>10</v>
      </c>
      <c r="D265">
        <v>3.058118561756959E-3</v>
      </c>
      <c r="E265" t="s">
        <v>6</v>
      </c>
      <c r="G265" t="s">
        <v>77</v>
      </c>
      <c r="H265" t="s">
        <v>10</v>
      </c>
      <c r="I265">
        <v>7.4065869421618608E-2</v>
      </c>
      <c r="J265" t="s">
        <v>6</v>
      </c>
    </row>
    <row r="266" spans="2:10" x14ac:dyDescent="0.45">
      <c r="B266" t="s">
        <v>76</v>
      </c>
      <c r="C266" t="s">
        <v>11</v>
      </c>
      <c r="D266">
        <v>5.8042943404948378E-4</v>
      </c>
      <c r="E266" t="s">
        <v>6</v>
      </c>
      <c r="G266" t="s">
        <v>77</v>
      </c>
      <c r="H266" t="s">
        <v>11</v>
      </c>
      <c r="I266">
        <v>8.8100219761712548E-2</v>
      </c>
      <c r="J266" t="s">
        <v>6</v>
      </c>
    </row>
    <row r="267" spans="2:10" x14ac:dyDescent="0.45">
      <c r="B267" t="s">
        <v>76</v>
      </c>
      <c r="C267" t="s">
        <v>12</v>
      </c>
      <c r="D267">
        <v>0.2666850340204438</v>
      </c>
      <c r="E267" t="s">
        <v>6</v>
      </c>
      <c r="G267" t="s">
        <v>77</v>
      </c>
      <c r="H267" t="s">
        <v>12</v>
      </c>
      <c r="I267">
        <v>0.11165380177339612</v>
      </c>
      <c r="J267" t="s">
        <v>6</v>
      </c>
    </row>
    <row r="268" spans="2:10" x14ac:dyDescent="0.45">
      <c r="B268" t="s">
        <v>76</v>
      </c>
      <c r="C268" t="s">
        <v>13</v>
      </c>
      <c r="D268">
        <v>1.6069552354624619E-2</v>
      </c>
      <c r="E268" t="s">
        <v>6</v>
      </c>
      <c r="G268" t="s">
        <v>77</v>
      </c>
      <c r="H268" t="s">
        <v>13</v>
      </c>
      <c r="I268">
        <v>7.2479599008210119E-2</v>
      </c>
      <c r="J268" t="s">
        <v>6</v>
      </c>
    </row>
    <row r="269" spans="2:10" x14ac:dyDescent="0.45">
      <c r="B269" t="s">
        <v>76</v>
      </c>
      <c r="C269" t="s">
        <v>14</v>
      </c>
      <c r="D269">
        <v>1.315453825465587E-3</v>
      </c>
      <c r="E269" t="s">
        <v>6</v>
      </c>
      <c r="G269" t="s">
        <v>77</v>
      </c>
      <c r="H269" t="s">
        <v>14</v>
      </c>
      <c r="I269">
        <v>5.5934550732028909E-2</v>
      </c>
      <c r="J269" t="s">
        <v>6</v>
      </c>
    </row>
    <row r="270" spans="2:10" x14ac:dyDescent="0.45">
      <c r="B270" t="s">
        <v>76</v>
      </c>
      <c r="C270" t="s">
        <v>15</v>
      </c>
      <c r="D270">
        <v>0.31337431979564384</v>
      </c>
      <c r="E270" t="s">
        <v>6</v>
      </c>
      <c r="G270" t="s">
        <v>77</v>
      </c>
      <c r="H270" t="s">
        <v>15</v>
      </c>
      <c r="I270">
        <v>5.9470166424600297E-2</v>
      </c>
      <c r="J270" t="s">
        <v>6</v>
      </c>
    </row>
    <row r="271" spans="2:10" x14ac:dyDescent="0.45">
      <c r="B271" t="s">
        <v>76</v>
      </c>
      <c r="C271" t="s">
        <v>16</v>
      </c>
      <c r="D271">
        <v>2.4313494892158435E-2</v>
      </c>
      <c r="E271" t="s">
        <v>6</v>
      </c>
      <c r="G271" t="s">
        <v>77</v>
      </c>
      <c r="H271" t="s">
        <v>16</v>
      </c>
      <c r="I271">
        <v>4.5115072129043483E-2</v>
      </c>
      <c r="J271" t="s">
        <v>6</v>
      </c>
    </row>
    <row r="272" spans="2:10" x14ac:dyDescent="0.45">
      <c r="B272" t="s">
        <v>76</v>
      </c>
      <c r="C272" t="s">
        <v>17</v>
      </c>
      <c r="D272">
        <v>3.0227460705182998E-6</v>
      </c>
      <c r="E272" t="s">
        <v>6</v>
      </c>
      <c r="G272" t="s">
        <v>77</v>
      </c>
      <c r="H272" t="s">
        <v>17</v>
      </c>
      <c r="I272">
        <v>9.5416398851892958E-2</v>
      </c>
      <c r="J272" t="s">
        <v>6</v>
      </c>
    </row>
    <row r="273" spans="2:10" x14ac:dyDescent="0.45">
      <c r="B273" t="s">
        <v>76</v>
      </c>
      <c r="C273" t="s">
        <v>18</v>
      </c>
      <c r="D273">
        <v>0.19314046177235586</v>
      </c>
      <c r="E273" t="s">
        <v>6</v>
      </c>
      <c r="G273" t="s">
        <v>77</v>
      </c>
      <c r="H273" t="s">
        <v>18</v>
      </c>
      <c r="I273">
        <v>0.11509508046325478</v>
      </c>
      <c r="J273" t="s">
        <v>6</v>
      </c>
    </row>
    <row r="274" spans="2:10" x14ac:dyDescent="0.45">
      <c r="B274" t="s">
        <v>76</v>
      </c>
      <c r="C274" t="s">
        <v>19</v>
      </c>
      <c r="D274">
        <v>5.1154943647461447E-3</v>
      </c>
      <c r="E274" t="s">
        <v>6</v>
      </c>
      <c r="G274" t="s">
        <v>77</v>
      </c>
      <c r="H274" t="s">
        <v>19</v>
      </c>
      <c r="I274">
        <v>7.450292001812267E-2</v>
      </c>
      <c r="J274" t="s">
        <v>6</v>
      </c>
    </row>
    <row r="275" spans="2:10" x14ac:dyDescent="0.45">
      <c r="B275" t="s">
        <v>78</v>
      </c>
      <c r="C275" t="s">
        <v>5</v>
      </c>
      <c r="D275">
        <v>0</v>
      </c>
      <c r="E275" t="s">
        <v>6</v>
      </c>
      <c r="G275" t="s">
        <v>79</v>
      </c>
      <c r="H275" t="s">
        <v>5</v>
      </c>
      <c r="I275">
        <v>0.10671628251323097</v>
      </c>
      <c r="J275" t="s">
        <v>6</v>
      </c>
    </row>
    <row r="276" spans="2:10" x14ac:dyDescent="0.45">
      <c r="B276" t="s">
        <v>78</v>
      </c>
      <c r="C276" t="s">
        <v>9</v>
      </c>
      <c r="D276">
        <v>0.18033755075628641</v>
      </c>
      <c r="E276" t="s">
        <v>6</v>
      </c>
      <c r="G276" t="s">
        <v>79</v>
      </c>
      <c r="H276" t="s">
        <v>9</v>
      </c>
      <c r="I276">
        <v>0.13667000428365317</v>
      </c>
      <c r="J276" t="s">
        <v>6</v>
      </c>
    </row>
    <row r="277" spans="2:10" x14ac:dyDescent="0.45">
      <c r="B277" t="s">
        <v>78</v>
      </c>
      <c r="C277" t="s">
        <v>10</v>
      </c>
      <c r="D277">
        <v>3.5461787696992103E-3</v>
      </c>
      <c r="E277" t="s">
        <v>6</v>
      </c>
      <c r="G277" t="s">
        <v>79</v>
      </c>
      <c r="H277" t="s">
        <v>10</v>
      </c>
      <c r="I277">
        <v>7.4668628147423408E-2</v>
      </c>
      <c r="J277" t="s">
        <v>6</v>
      </c>
    </row>
    <row r="278" spans="2:10" x14ac:dyDescent="0.45">
      <c r="B278" t="s">
        <v>78</v>
      </c>
      <c r="C278" t="s">
        <v>11</v>
      </c>
      <c r="D278">
        <v>4.3501338972303048E-4</v>
      </c>
      <c r="E278" t="s">
        <v>6</v>
      </c>
      <c r="G278" t="s">
        <v>79</v>
      </c>
      <c r="H278" t="s">
        <v>11</v>
      </c>
      <c r="I278">
        <v>7.4585839114153688E-2</v>
      </c>
      <c r="J278" t="s">
        <v>6</v>
      </c>
    </row>
    <row r="279" spans="2:10" x14ac:dyDescent="0.45">
      <c r="B279" t="s">
        <v>78</v>
      </c>
      <c r="C279" t="s">
        <v>12</v>
      </c>
      <c r="D279">
        <v>0.25805330989371222</v>
      </c>
      <c r="E279" t="s">
        <v>6</v>
      </c>
      <c r="G279" t="s">
        <v>79</v>
      </c>
      <c r="H279" t="s">
        <v>12</v>
      </c>
      <c r="I279">
        <v>0.13864704340560083</v>
      </c>
      <c r="J279" t="s">
        <v>6</v>
      </c>
    </row>
    <row r="280" spans="2:10" x14ac:dyDescent="0.45">
      <c r="B280" t="s">
        <v>78</v>
      </c>
      <c r="C280" t="s">
        <v>13</v>
      </c>
      <c r="D280">
        <v>1.8369169030234115E-2</v>
      </c>
      <c r="E280" t="s">
        <v>6</v>
      </c>
      <c r="G280" t="s">
        <v>79</v>
      </c>
      <c r="H280" t="s">
        <v>13</v>
      </c>
      <c r="I280">
        <v>6.5283915850703506E-2</v>
      </c>
      <c r="J280" t="s">
        <v>6</v>
      </c>
    </row>
    <row r="281" spans="2:10" x14ac:dyDescent="0.45">
      <c r="B281" t="s">
        <v>78</v>
      </c>
      <c r="C281" t="s">
        <v>14</v>
      </c>
      <c r="D281">
        <v>1.0408699791178053E-3</v>
      </c>
      <c r="E281" t="s">
        <v>6</v>
      </c>
      <c r="G281" t="s">
        <v>79</v>
      </c>
      <c r="H281" t="s">
        <v>14</v>
      </c>
      <c r="I281">
        <v>2.6541774752904725E-2</v>
      </c>
      <c r="J281" t="s">
        <v>6</v>
      </c>
    </row>
    <row r="282" spans="2:10" x14ac:dyDescent="0.45">
      <c r="B282" t="s">
        <v>78</v>
      </c>
      <c r="C282" t="s">
        <v>15</v>
      </c>
      <c r="D282">
        <v>0.30474918950123864</v>
      </c>
      <c r="E282" t="s">
        <v>6</v>
      </c>
      <c r="G282" t="s">
        <v>79</v>
      </c>
      <c r="H282" t="s">
        <v>15</v>
      </c>
      <c r="I282">
        <v>5.7127651444739323E-2</v>
      </c>
      <c r="J282" t="s">
        <v>6</v>
      </c>
    </row>
    <row r="283" spans="2:10" x14ac:dyDescent="0.45">
      <c r="B283" t="s">
        <v>78</v>
      </c>
      <c r="C283" t="s">
        <v>16</v>
      </c>
      <c r="D283">
        <v>2.7157671698522852E-2</v>
      </c>
      <c r="E283" t="s">
        <v>6</v>
      </c>
      <c r="G283" t="s">
        <v>79</v>
      </c>
      <c r="H283" t="s">
        <v>16</v>
      </c>
      <c r="I283">
        <v>3.0341996569987175E-2</v>
      </c>
      <c r="J283" t="s">
        <v>6</v>
      </c>
    </row>
    <row r="284" spans="2:10" x14ac:dyDescent="0.45">
      <c r="B284" t="s">
        <v>78</v>
      </c>
      <c r="C284" t="s">
        <v>17</v>
      </c>
      <c r="D284">
        <v>0</v>
      </c>
      <c r="E284" t="s">
        <v>6</v>
      </c>
      <c r="G284" t="s">
        <v>79</v>
      </c>
      <c r="H284" t="s">
        <v>17</v>
      </c>
      <c r="I284">
        <v>9.2919747269051625E-2</v>
      </c>
      <c r="J284" t="s">
        <v>6</v>
      </c>
    </row>
    <row r="285" spans="2:10" x14ac:dyDescent="0.45">
      <c r="B285" t="s">
        <v>78</v>
      </c>
      <c r="C285" t="s">
        <v>18</v>
      </c>
      <c r="D285">
        <v>0.20005654728894073</v>
      </c>
      <c r="E285" t="s">
        <v>6</v>
      </c>
      <c r="G285" t="s">
        <v>79</v>
      </c>
      <c r="H285" t="s">
        <v>18</v>
      </c>
      <c r="I285">
        <v>0.12578688810626878</v>
      </c>
      <c r="J285" t="s">
        <v>6</v>
      </c>
    </row>
    <row r="286" spans="2:10" x14ac:dyDescent="0.45">
      <c r="B286" t="s">
        <v>78</v>
      </c>
      <c r="C286" t="s">
        <v>19</v>
      </c>
      <c r="D286">
        <v>6.2544996925261893E-3</v>
      </c>
      <c r="E286" t="s">
        <v>6</v>
      </c>
      <c r="G286" t="s">
        <v>79</v>
      </c>
      <c r="H286" t="s">
        <v>19</v>
      </c>
      <c r="I286">
        <v>7.0710228542280096E-2</v>
      </c>
      <c r="J286" t="s">
        <v>6</v>
      </c>
    </row>
    <row r="287" spans="2:10" x14ac:dyDescent="0.45">
      <c r="B287" t="s">
        <v>80</v>
      </c>
      <c r="C287" t="s">
        <v>5</v>
      </c>
      <c r="D287">
        <v>0</v>
      </c>
      <c r="E287" t="s">
        <v>6</v>
      </c>
      <c r="G287" t="s">
        <v>81</v>
      </c>
      <c r="H287" t="s">
        <v>5</v>
      </c>
      <c r="I287">
        <v>9.8261556854545296E-2</v>
      </c>
      <c r="J287" t="s">
        <v>6</v>
      </c>
    </row>
    <row r="288" spans="2:10" x14ac:dyDescent="0.45">
      <c r="B288" t="s">
        <v>80</v>
      </c>
      <c r="C288" t="s">
        <v>9</v>
      </c>
      <c r="D288">
        <v>0.17179386543057634</v>
      </c>
      <c r="E288" t="s">
        <v>6</v>
      </c>
      <c r="G288" t="s">
        <v>81</v>
      </c>
      <c r="H288" t="s">
        <v>9</v>
      </c>
      <c r="I288">
        <v>0.14349675314473526</v>
      </c>
      <c r="J288" t="s">
        <v>6</v>
      </c>
    </row>
    <row r="289" spans="2:10" x14ac:dyDescent="0.45">
      <c r="B289" t="s">
        <v>80</v>
      </c>
      <c r="C289" t="s">
        <v>10</v>
      </c>
      <c r="D289">
        <v>3.3510912933466435E-3</v>
      </c>
      <c r="E289" t="s">
        <v>6</v>
      </c>
      <c r="G289" t="s">
        <v>81</v>
      </c>
      <c r="H289" t="s">
        <v>10</v>
      </c>
      <c r="I289">
        <v>7.3966386158034497E-2</v>
      </c>
      <c r="J289" t="s">
        <v>6</v>
      </c>
    </row>
    <row r="290" spans="2:10" x14ac:dyDescent="0.45">
      <c r="B290" t="s">
        <v>80</v>
      </c>
      <c r="C290" t="s">
        <v>11</v>
      </c>
      <c r="D290">
        <v>5.2800097082386524E-4</v>
      </c>
      <c r="E290" t="s">
        <v>6</v>
      </c>
      <c r="G290" t="s">
        <v>81</v>
      </c>
      <c r="H290" t="s">
        <v>11</v>
      </c>
      <c r="I290">
        <v>7.7672267571436554E-2</v>
      </c>
      <c r="J290" t="s">
        <v>6</v>
      </c>
    </row>
    <row r="291" spans="2:10" x14ac:dyDescent="0.45">
      <c r="B291" t="s">
        <v>80</v>
      </c>
      <c r="C291" t="s">
        <v>12</v>
      </c>
      <c r="D291">
        <v>0.26681348621241513</v>
      </c>
      <c r="E291" t="s">
        <v>6</v>
      </c>
      <c r="G291" t="s">
        <v>81</v>
      </c>
      <c r="H291" t="s">
        <v>12</v>
      </c>
      <c r="I291">
        <v>0.12348921378515892</v>
      </c>
      <c r="J291" t="s">
        <v>6</v>
      </c>
    </row>
    <row r="292" spans="2:10" x14ac:dyDescent="0.45">
      <c r="B292" t="s">
        <v>80</v>
      </c>
      <c r="C292" t="s">
        <v>13</v>
      </c>
      <c r="D292">
        <v>1.8512151850958954E-2</v>
      </c>
      <c r="E292" t="s">
        <v>6</v>
      </c>
      <c r="G292" t="s">
        <v>81</v>
      </c>
      <c r="H292" t="s">
        <v>13</v>
      </c>
      <c r="I292">
        <v>6.8611535867062493E-2</v>
      </c>
      <c r="J292" t="s">
        <v>6</v>
      </c>
    </row>
    <row r="293" spans="2:10" x14ac:dyDescent="0.45">
      <c r="B293" t="s">
        <v>80</v>
      </c>
      <c r="C293" t="s">
        <v>14</v>
      </c>
      <c r="D293">
        <v>1.1679222387139803E-3</v>
      </c>
      <c r="E293" t="s">
        <v>6</v>
      </c>
      <c r="G293" t="s">
        <v>81</v>
      </c>
      <c r="H293" t="s">
        <v>14</v>
      </c>
      <c r="I293">
        <v>4.4443461865733919E-2</v>
      </c>
      <c r="J293" t="s">
        <v>6</v>
      </c>
    </row>
    <row r="294" spans="2:10" x14ac:dyDescent="0.45">
      <c r="B294" t="s">
        <v>80</v>
      </c>
      <c r="C294" t="s">
        <v>15</v>
      </c>
      <c r="D294">
        <v>0.31047300967511726</v>
      </c>
      <c r="E294" t="s">
        <v>6</v>
      </c>
      <c r="G294" t="s">
        <v>81</v>
      </c>
      <c r="H294" t="s">
        <v>15</v>
      </c>
      <c r="I294">
        <v>6.0037323273076676E-2</v>
      </c>
      <c r="J294" t="s">
        <v>6</v>
      </c>
    </row>
    <row r="295" spans="2:10" x14ac:dyDescent="0.45">
      <c r="B295" t="s">
        <v>80</v>
      </c>
      <c r="C295" t="s">
        <v>16</v>
      </c>
      <c r="D295">
        <v>2.7494743036209912E-2</v>
      </c>
      <c r="E295" t="s">
        <v>6</v>
      </c>
      <c r="G295" t="s">
        <v>81</v>
      </c>
      <c r="H295" t="s">
        <v>16</v>
      </c>
      <c r="I295">
        <v>3.7338775325984321E-2</v>
      </c>
      <c r="J295" t="s">
        <v>6</v>
      </c>
    </row>
    <row r="296" spans="2:10" x14ac:dyDescent="0.45">
      <c r="B296" t="s">
        <v>80</v>
      </c>
      <c r="C296" t="s">
        <v>17</v>
      </c>
      <c r="D296">
        <v>1.2456898402755023E-7</v>
      </c>
      <c r="E296" t="s">
        <v>6</v>
      </c>
      <c r="G296" t="s">
        <v>81</v>
      </c>
      <c r="H296" t="s">
        <v>17</v>
      </c>
      <c r="I296">
        <v>8.7274161291787292E-2</v>
      </c>
      <c r="J296" t="s">
        <v>6</v>
      </c>
    </row>
    <row r="297" spans="2:10" x14ac:dyDescent="0.45">
      <c r="B297" t="s">
        <v>80</v>
      </c>
      <c r="C297" t="s">
        <v>18</v>
      </c>
      <c r="D297">
        <v>0.19400992368417033</v>
      </c>
      <c r="E297" t="s">
        <v>6</v>
      </c>
      <c r="G297" t="s">
        <v>81</v>
      </c>
      <c r="H297" t="s">
        <v>18</v>
      </c>
      <c r="I297">
        <v>0.11425044360852932</v>
      </c>
      <c r="J297" t="s">
        <v>6</v>
      </c>
    </row>
    <row r="298" spans="2:10" x14ac:dyDescent="0.45">
      <c r="B298" t="s">
        <v>80</v>
      </c>
      <c r="C298" t="s">
        <v>19</v>
      </c>
      <c r="D298">
        <v>5.8556810386841103E-3</v>
      </c>
      <c r="E298" t="s">
        <v>6</v>
      </c>
      <c r="G298" t="s">
        <v>81</v>
      </c>
      <c r="H298" t="s">
        <v>19</v>
      </c>
      <c r="I298">
        <v>7.1158121253918474E-2</v>
      </c>
      <c r="J298" t="s">
        <v>6</v>
      </c>
    </row>
    <row r="299" spans="2:10" x14ac:dyDescent="0.45">
      <c r="B299" t="s">
        <v>82</v>
      </c>
      <c r="C299" t="s">
        <v>5</v>
      </c>
      <c r="D299">
        <v>0</v>
      </c>
      <c r="E299" t="s">
        <v>6</v>
      </c>
      <c r="G299" t="s">
        <v>83</v>
      </c>
      <c r="H299" t="s">
        <v>5</v>
      </c>
      <c r="I299">
        <v>0.10279691365485742</v>
      </c>
      <c r="J299" t="s">
        <v>6</v>
      </c>
    </row>
    <row r="300" spans="2:10" x14ac:dyDescent="0.45">
      <c r="B300" t="s">
        <v>82</v>
      </c>
      <c r="C300" t="s">
        <v>9</v>
      </c>
      <c r="D300">
        <v>0.16347864806926624</v>
      </c>
      <c r="E300" t="s">
        <v>6</v>
      </c>
      <c r="G300" t="s">
        <v>83</v>
      </c>
      <c r="H300" t="s">
        <v>9</v>
      </c>
      <c r="I300">
        <v>0.12004119147559261</v>
      </c>
      <c r="J300" t="s">
        <v>6</v>
      </c>
    </row>
    <row r="301" spans="2:10" x14ac:dyDescent="0.45">
      <c r="B301" t="s">
        <v>82</v>
      </c>
      <c r="C301" t="s">
        <v>10</v>
      </c>
      <c r="D301">
        <v>2.8175698453602907E-3</v>
      </c>
      <c r="E301" t="s">
        <v>6</v>
      </c>
      <c r="G301" t="s">
        <v>83</v>
      </c>
      <c r="H301" t="s">
        <v>10</v>
      </c>
      <c r="I301">
        <v>7.7754453123187031E-2</v>
      </c>
      <c r="J301" t="s">
        <v>6</v>
      </c>
    </row>
    <row r="302" spans="2:10" x14ac:dyDescent="0.45">
      <c r="B302" t="s">
        <v>82</v>
      </c>
      <c r="C302" t="s">
        <v>11</v>
      </c>
      <c r="D302">
        <v>7.1355898161237752E-4</v>
      </c>
      <c r="E302" t="s">
        <v>6</v>
      </c>
      <c r="G302" t="s">
        <v>83</v>
      </c>
      <c r="H302" t="s">
        <v>11</v>
      </c>
      <c r="I302">
        <v>7.8837116911119345E-2</v>
      </c>
      <c r="J302" t="s">
        <v>6</v>
      </c>
    </row>
    <row r="303" spans="2:10" x14ac:dyDescent="0.45">
      <c r="B303" t="s">
        <v>82</v>
      </c>
      <c r="C303" t="s">
        <v>12</v>
      </c>
      <c r="D303">
        <v>0.26528981269971502</v>
      </c>
      <c r="E303" t="s">
        <v>6</v>
      </c>
      <c r="G303" t="s">
        <v>83</v>
      </c>
      <c r="H303" t="s">
        <v>12</v>
      </c>
      <c r="I303">
        <v>0.10092230276386627</v>
      </c>
      <c r="J303" t="s">
        <v>6</v>
      </c>
    </row>
    <row r="304" spans="2:10" x14ac:dyDescent="0.45">
      <c r="B304" t="s">
        <v>82</v>
      </c>
      <c r="C304" t="s">
        <v>13</v>
      </c>
      <c r="D304">
        <v>1.6189225991651617E-2</v>
      </c>
      <c r="E304" t="s">
        <v>6</v>
      </c>
      <c r="G304" t="s">
        <v>83</v>
      </c>
      <c r="H304" t="s">
        <v>13</v>
      </c>
      <c r="I304">
        <v>6.2611784793886766E-2</v>
      </c>
      <c r="J304" t="s">
        <v>6</v>
      </c>
    </row>
    <row r="305" spans="2:10" x14ac:dyDescent="0.45">
      <c r="B305" t="s">
        <v>82</v>
      </c>
      <c r="C305" t="s">
        <v>14</v>
      </c>
      <c r="D305">
        <v>1.6290079540705585E-3</v>
      </c>
      <c r="E305" t="s">
        <v>6</v>
      </c>
      <c r="G305" t="s">
        <v>83</v>
      </c>
      <c r="H305" t="s">
        <v>14</v>
      </c>
      <c r="I305">
        <v>5.5735317296414434E-2</v>
      </c>
      <c r="J305" t="s">
        <v>6</v>
      </c>
    </row>
    <row r="306" spans="2:10" x14ac:dyDescent="0.45">
      <c r="B306" t="s">
        <v>82</v>
      </c>
      <c r="C306" t="s">
        <v>15</v>
      </c>
      <c r="D306">
        <v>0.32470334436865894</v>
      </c>
      <c r="E306" t="s">
        <v>6</v>
      </c>
      <c r="G306" t="s">
        <v>83</v>
      </c>
      <c r="H306" t="s">
        <v>15</v>
      </c>
      <c r="I306">
        <v>5.4254593590604083E-2</v>
      </c>
      <c r="J306" t="s">
        <v>6</v>
      </c>
    </row>
    <row r="307" spans="2:10" x14ac:dyDescent="0.45">
      <c r="B307" t="s">
        <v>82</v>
      </c>
      <c r="C307" t="s">
        <v>16</v>
      </c>
      <c r="D307">
        <v>2.5331853117857971E-2</v>
      </c>
      <c r="E307" t="s">
        <v>6</v>
      </c>
      <c r="G307" t="s">
        <v>83</v>
      </c>
      <c r="H307" t="s">
        <v>16</v>
      </c>
      <c r="I307">
        <v>4.0652177505892881E-2</v>
      </c>
      <c r="J307" t="s">
        <v>6</v>
      </c>
    </row>
    <row r="308" spans="2:10" x14ac:dyDescent="0.45">
      <c r="B308" t="s">
        <v>82</v>
      </c>
      <c r="C308" t="s">
        <v>17</v>
      </c>
      <c r="D308">
        <v>7.9331360717155205E-6</v>
      </c>
      <c r="E308" t="s">
        <v>6</v>
      </c>
      <c r="G308" t="s">
        <v>83</v>
      </c>
      <c r="H308" t="s">
        <v>17</v>
      </c>
      <c r="I308">
        <v>0.10482359284500913</v>
      </c>
      <c r="J308" t="s">
        <v>6</v>
      </c>
    </row>
    <row r="309" spans="2:10" x14ac:dyDescent="0.45">
      <c r="B309" t="s">
        <v>82</v>
      </c>
      <c r="C309" t="s">
        <v>18</v>
      </c>
      <c r="D309">
        <v>0.19539986355970398</v>
      </c>
      <c r="E309" t="s">
        <v>6</v>
      </c>
      <c r="G309" t="s">
        <v>83</v>
      </c>
      <c r="H309" t="s">
        <v>18</v>
      </c>
      <c r="I309">
        <v>0.12195989316596846</v>
      </c>
      <c r="J309" t="s">
        <v>6</v>
      </c>
    </row>
    <row r="310" spans="2:10" x14ac:dyDescent="0.45">
      <c r="B310" t="s">
        <v>82</v>
      </c>
      <c r="C310" t="s">
        <v>19</v>
      </c>
      <c r="D310">
        <v>4.4391822760318908E-3</v>
      </c>
      <c r="E310" t="s">
        <v>6</v>
      </c>
      <c r="G310" t="s">
        <v>83</v>
      </c>
      <c r="H310" t="s">
        <v>19</v>
      </c>
      <c r="I310">
        <v>7.9610662873604479E-2</v>
      </c>
      <c r="J310" t="s">
        <v>6</v>
      </c>
    </row>
    <row r="311" spans="2:10" x14ac:dyDescent="0.45">
      <c r="B311" t="s">
        <v>84</v>
      </c>
      <c r="C311" t="s">
        <v>5</v>
      </c>
      <c r="D311">
        <v>0</v>
      </c>
      <c r="E311" t="s">
        <v>6</v>
      </c>
      <c r="G311" t="s">
        <v>85</v>
      </c>
      <c r="H311" t="s">
        <v>5</v>
      </c>
      <c r="I311">
        <v>0.10127103871061241</v>
      </c>
      <c r="J311" t="s">
        <v>6</v>
      </c>
    </row>
    <row r="312" spans="2:10" x14ac:dyDescent="0.45">
      <c r="B312" t="s">
        <v>84</v>
      </c>
      <c r="C312" t="s">
        <v>9</v>
      </c>
      <c r="D312">
        <v>0.16743606459940469</v>
      </c>
      <c r="E312" t="s">
        <v>6</v>
      </c>
      <c r="G312" t="s">
        <v>85</v>
      </c>
      <c r="H312" t="s">
        <v>9</v>
      </c>
      <c r="I312">
        <v>0.12433628275700165</v>
      </c>
      <c r="J312" t="s">
        <v>6</v>
      </c>
    </row>
    <row r="313" spans="2:10" x14ac:dyDescent="0.45">
      <c r="B313" t="s">
        <v>84</v>
      </c>
      <c r="C313" t="s">
        <v>10</v>
      </c>
      <c r="D313">
        <v>3.0446384815695305E-3</v>
      </c>
      <c r="E313" t="s">
        <v>6</v>
      </c>
      <c r="G313" t="s">
        <v>85</v>
      </c>
      <c r="H313" t="s">
        <v>10</v>
      </c>
      <c r="I313">
        <v>7.8827655769191679E-2</v>
      </c>
      <c r="J313" t="s">
        <v>6</v>
      </c>
    </row>
    <row r="314" spans="2:10" x14ac:dyDescent="0.45">
      <c r="B314" t="s">
        <v>84</v>
      </c>
      <c r="C314" t="s">
        <v>11</v>
      </c>
      <c r="D314">
        <v>6.9043446799083128E-4</v>
      </c>
      <c r="E314" t="s">
        <v>6</v>
      </c>
      <c r="G314" t="s">
        <v>85</v>
      </c>
      <c r="H314" t="s">
        <v>11</v>
      </c>
      <c r="I314">
        <v>7.9964711009485448E-2</v>
      </c>
      <c r="J314" t="s">
        <v>6</v>
      </c>
    </row>
    <row r="315" spans="2:10" x14ac:dyDescent="0.45">
      <c r="B315" t="s">
        <v>84</v>
      </c>
      <c r="C315" t="s">
        <v>12</v>
      </c>
      <c r="D315">
        <v>0.26715405892466931</v>
      </c>
      <c r="E315" t="s">
        <v>6</v>
      </c>
      <c r="G315" t="s">
        <v>85</v>
      </c>
      <c r="H315" t="s">
        <v>12</v>
      </c>
      <c r="I315">
        <v>9.1753130990996148E-2</v>
      </c>
      <c r="J315" t="s">
        <v>6</v>
      </c>
    </row>
    <row r="316" spans="2:10" x14ac:dyDescent="0.45">
      <c r="B316" t="s">
        <v>84</v>
      </c>
      <c r="C316" t="s">
        <v>13</v>
      </c>
      <c r="D316">
        <v>1.7258794232123405E-2</v>
      </c>
      <c r="E316" t="s">
        <v>6</v>
      </c>
      <c r="G316" t="s">
        <v>85</v>
      </c>
      <c r="H316" t="s">
        <v>13</v>
      </c>
      <c r="I316">
        <v>6.506267746722566E-2</v>
      </c>
      <c r="J316" t="s">
        <v>6</v>
      </c>
    </row>
    <row r="317" spans="2:10" x14ac:dyDescent="0.45">
      <c r="B317" t="s">
        <v>84</v>
      </c>
      <c r="C317" t="s">
        <v>14</v>
      </c>
      <c r="D317">
        <v>1.5689140906195575E-3</v>
      </c>
      <c r="E317" t="s">
        <v>6</v>
      </c>
      <c r="G317" t="s">
        <v>85</v>
      </c>
      <c r="H317" t="s">
        <v>14</v>
      </c>
      <c r="I317">
        <v>5.2708547775091229E-2</v>
      </c>
      <c r="J317" t="s">
        <v>6</v>
      </c>
    </row>
    <row r="318" spans="2:10" x14ac:dyDescent="0.45">
      <c r="B318" t="s">
        <v>84</v>
      </c>
      <c r="C318" t="s">
        <v>15</v>
      </c>
      <c r="D318">
        <v>0.32210446454763564</v>
      </c>
      <c r="E318" t="s">
        <v>6</v>
      </c>
      <c r="G318" t="s">
        <v>85</v>
      </c>
      <c r="H318" t="s">
        <v>15</v>
      </c>
      <c r="I318">
        <v>5.7124897904057829E-2</v>
      </c>
      <c r="J318" t="s">
        <v>6</v>
      </c>
    </row>
    <row r="319" spans="2:10" x14ac:dyDescent="0.45">
      <c r="B319" t="s">
        <v>84</v>
      </c>
      <c r="C319" t="s">
        <v>16</v>
      </c>
      <c r="D319">
        <v>2.6529433875375014E-2</v>
      </c>
      <c r="E319" t="s">
        <v>6</v>
      </c>
      <c r="G319" t="s">
        <v>85</v>
      </c>
      <c r="H319" t="s">
        <v>16</v>
      </c>
      <c r="I319">
        <v>4.2821070934426088E-2</v>
      </c>
      <c r="J319" t="s">
        <v>6</v>
      </c>
    </row>
    <row r="320" spans="2:10" x14ac:dyDescent="0.45">
      <c r="B320" t="s">
        <v>84</v>
      </c>
      <c r="C320" t="s">
        <v>17</v>
      </c>
      <c r="D320">
        <v>3.7182927134489323E-6</v>
      </c>
      <c r="E320" t="s">
        <v>6</v>
      </c>
      <c r="G320" t="s">
        <v>85</v>
      </c>
      <c r="H320" t="s">
        <v>17</v>
      </c>
      <c r="I320">
        <v>0.10677629592465196</v>
      </c>
      <c r="J320" t="s">
        <v>6</v>
      </c>
    </row>
    <row r="321" spans="2:10" x14ac:dyDescent="0.45">
      <c r="B321" t="s">
        <v>84</v>
      </c>
      <c r="C321" t="s">
        <v>18</v>
      </c>
      <c r="D321">
        <v>0.18927004646551845</v>
      </c>
      <c r="E321" t="s">
        <v>6</v>
      </c>
      <c r="G321" t="s">
        <v>85</v>
      </c>
      <c r="H321" t="s">
        <v>18</v>
      </c>
      <c r="I321">
        <v>0.11984869325013049</v>
      </c>
      <c r="J321" t="s">
        <v>6</v>
      </c>
    </row>
    <row r="322" spans="2:10" x14ac:dyDescent="0.45">
      <c r="B322" t="s">
        <v>84</v>
      </c>
      <c r="C322" t="s">
        <v>19</v>
      </c>
      <c r="D322">
        <v>4.9394320223791963E-3</v>
      </c>
      <c r="E322" t="s">
        <v>6</v>
      </c>
      <c r="G322" t="s">
        <v>85</v>
      </c>
      <c r="H322" t="s">
        <v>19</v>
      </c>
      <c r="I322">
        <v>7.9504997507132677E-2</v>
      </c>
      <c r="J322" t="s">
        <v>6</v>
      </c>
    </row>
    <row r="323" spans="2:10" x14ac:dyDescent="0.45">
      <c r="B323" t="s">
        <v>86</v>
      </c>
      <c r="C323" t="s">
        <v>5</v>
      </c>
      <c r="D323">
        <v>0</v>
      </c>
      <c r="E323" t="s">
        <v>6</v>
      </c>
      <c r="G323" t="s">
        <v>87</v>
      </c>
      <c r="H323" t="s">
        <v>5</v>
      </c>
      <c r="I323">
        <v>9.4101477866758362E-2</v>
      </c>
      <c r="J323" t="s">
        <v>6</v>
      </c>
    </row>
    <row r="324" spans="2:10" x14ac:dyDescent="0.45">
      <c r="B324" t="s">
        <v>86</v>
      </c>
      <c r="C324" t="s">
        <v>9</v>
      </c>
      <c r="D324">
        <v>0.1870188073476734</v>
      </c>
      <c r="E324" t="s">
        <v>6</v>
      </c>
      <c r="G324" t="s">
        <v>87</v>
      </c>
      <c r="H324" t="s">
        <v>9</v>
      </c>
      <c r="I324">
        <v>0.11088611686039676</v>
      </c>
      <c r="J324" t="s">
        <v>6</v>
      </c>
    </row>
    <row r="325" spans="2:10" x14ac:dyDescent="0.45">
      <c r="B325" t="s">
        <v>86</v>
      </c>
      <c r="C325" t="s">
        <v>10</v>
      </c>
      <c r="D325">
        <v>1.4831019950723825E-3</v>
      </c>
      <c r="E325" t="s">
        <v>6</v>
      </c>
      <c r="G325" t="s">
        <v>87</v>
      </c>
      <c r="H325" t="s">
        <v>10</v>
      </c>
      <c r="I325">
        <v>7.8718401535080723E-2</v>
      </c>
      <c r="J325" t="s">
        <v>6</v>
      </c>
    </row>
    <row r="326" spans="2:10" x14ac:dyDescent="0.45">
      <c r="B326" t="s">
        <v>86</v>
      </c>
      <c r="C326" t="s">
        <v>11</v>
      </c>
      <c r="D326">
        <v>1.4563938362689743E-3</v>
      </c>
      <c r="E326" t="s">
        <v>6</v>
      </c>
      <c r="G326" t="s">
        <v>87</v>
      </c>
      <c r="H326" t="s">
        <v>11</v>
      </c>
      <c r="I326">
        <v>7.1990275209215582E-2</v>
      </c>
      <c r="J326" t="s">
        <v>6</v>
      </c>
    </row>
    <row r="327" spans="2:10" x14ac:dyDescent="0.45">
      <c r="B327" t="s">
        <v>86</v>
      </c>
      <c r="C327" t="s">
        <v>12</v>
      </c>
      <c r="D327">
        <v>0.26258786874251711</v>
      </c>
      <c r="E327" t="s">
        <v>6</v>
      </c>
      <c r="G327" t="s">
        <v>87</v>
      </c>
      <c r="H327" t="s">
        <v>12</v>
      </c>
      <c r="I327">
        <v>8.5625979586452336E-2</v>
      </c>
      <c r="J327" t="s">
        <v>6</v>
      </c>
    </row>
    <row r="328" spans="2:10" x14ac:dyDescent="0.45">
      <c r="B328" t="s">
        <v>86</v>
      </c>
      <c r="C328" t="s">
        <v>13</v>
      </c>
      <c r="D328">
        <v>1.133308965360012E-2</v>
      </c>
      <c r="E328" t="s">
        <v>6</v>
      </c>
      <c r="G328" t="s">
        <v>87</v>
      </c>
      <c r="H328" t="s">
        <v>13</v>
      </c>
      <c r="I328">
        <v>6.4997839174014679E-2</v>
      </c>
      <c r="J328" t="s">
        <v>6</v>
      </c>
    </row>
    <row r="329" spans="2:10" x14ac:dyDescent="0.45">
      <c r="B329" t="s">
        <v>86</v>
      </c>
      <c r="C329" t="s">
        <v>14</v>
      </c>
      <c r="D329">
        <v>3.1856212211210651E-3</v>
      </c>
      <c r="E329" t="s">
        <v>6</v>
      </c>
      <c r="G329" t="s">
        <v>87</v>
      </c>
      <c r="H329" t="s">
        <v>14</v>
      </c>
      <c r="I329">
        <v>5.5064126970421019E-2</v>
      </c>
      <c r="J329" t="s">
        <v>6</v>
      </c>
    </row>
    <row r="330" spans="2:10" x14ac:dyDescent="0.45">
      <c r="B330" t="s">
        <v>86</v>
      </c>
      <c r="C330" t="s">
        <v>15</v>
      </c>
      <c r="D330">
        <v>0.30995070252677348</v>
      </c>
      <c r="E330" t="s">
        <v>6</v>
      </c>
      <c r="G330" t="s">
        <v>87</v>
      </c>
      <c r="H330" t="s">
        <v>15</v>
      </c>
      <c r="I330">
        <v>6.6271549427698292E-2</v>
      </c>
      <c r="J330" t="s">
        <v>6</v>
      </c>
    </row>
    <row r="331" spans="2:10" x14ac:dyDescent="0.45">
      <c r="B331" t="s">
        <v>86</v>
      </c>
      <c r="C331" t="s">
        <v>16</v>
      </c>
      <c r="D331">
        <v>1.8662355073663192E-2</v>
      </c>
      <c r="E331" t="s">
        <v>6</v>
      </c>
      <c r="G331" t="s">
        <v>87</v>
      </c>
      <c r="H331" t="s">
        <v>16</v>
      </c>
      <c r="I331">
        <v>5.4345279531418017E-2</v>
      </c>
      <c r="J331" t="s">
        <v>6</v>
      </c>
    </row>
    <row r="332" spans="2:10" x14ac:dyDescent="0.45">
      <c r="B332" t="s">
        <v>86</v>
      </c>
      <c r="C332" t="s">
        <v>17</v>
      </c>
      <c r="D332">
        <v>7.5589041769621532E-5</v>
      </c>
      <c r="E332" t="s">
        <v>6</v>
      </c>
      <c r="G332" t="s">
        <v>87</v>
      </c>
      <c r="H332" t="s">
        <v>17</v>
      </c>
      <c r="I332">
        <v>0.10928934827991188</v>
      </c>
      <c r="J332" t="s">
        <v>6</v>
      </c>
    </row>
    <row r="333" spans="2:10" x14ac:dyDescent="0.45">
      <c r="B333" t="s">
        <v>86</v>
      </c>
      <c r="C333" t="s">
        <v>18</v>
      </c>
      <c r="D333">
        <v>0.20147272999023777</v>
      </c>
      <c r="E333" t="s">
        <v>6</v>
      </c>
      <c r="G333" t="s">
        <v>87</v>
      </c>
      <c r="H333" t="s">
        <v>18</v>
      </c>
      <c r="I333">
        <v>0.12658489515271695</v>
      </c>
      <c r="J333" t="s">
        <v>6</v>
      </c>
    </row>
    <row r="334" spans="2:10" x14ac:dyDescent="0.45">
      <c r="B334" t="s">
        <v>86</v>
      </c>
      <c r="C334" t="s">
        <v>19</v>
      </c>
      <c r="D334">
        <v>2.7737405713022722E-3</v>
      </c>
      <c r="E334" t="s">
        <v>6</v>
      </c>
      <c r="G334" t="s">
        <v>87</v>
      </c>
      <c r="H334" t="s">
        <v>19</v>
      </c>
      <c r="I334">
        <v>8.2124710405913959E-2</v>
      </c>
      <c r="J334" t="s">
        <v>6</v>
      </c>
    </row>
    <row r="335" spans="2:10" x14ac:dyDescent="0.45">
      <c r="B335" t="s">
        <v>88</v>
      </c>
      <c r="C335" t="s">
        <v>5</v>
      </c>
      <c r="D335">
        <v>0</v>
      </c>
      <c r="E335" t="s">
        <v>6</v>
      </c>
      <c r="G335" t="s">
        <v>89</v>
      </c>
      <c r="H335" t="s">
        <v>5</v>
      </c>
      <c r="I335">
        <v>8.9712577531560103E-2</v>
      </c>
      <c r="J335" t="s">
        <v>6</v>
      </c>
    </row>
    <row r="336" spans="2:10" x14ac:dyDescent="0.45">
      <c r="B336" t="s">
        <v>88</v>
      </c>
      <c r="C336" t="s">
        <v>9</v>
      </c>
      <c r="D336">
        <v>0.17095164621649037</v>
      </c>
      <c r="E336" t="s">
        <v>6</v>
      </c>
      <c r="G336" t="s">
        <v>89</v>
      </c>
      <c r="H336" t="s">
        <v>9</v>
      </c>
      <c r="I336">
        <v>0.11722295286021828</v>
      </c>
      <c r="J336" t="s">
        <v>6</v>
      </c>
    </row>
    <row r="337" spans="2:10" x14ac:dyDescent="0.45">
      <c r="B337" t="s">
        <v>88</v>
      </c>
      <c r="C337" t="s">
        <v>10</v>
      </c>
      <c r="D337">
        <v>1.3505299497668928E-3</v>
      </c>
      <c r="E337" t="s">
        <v>6</v>
      </c>
      <c r="G337" t="s">
        <v>89</v>
      </c>
      <c r="H337" t="s">
        <v>10</v>
      </c>
      <c r="I337">
        <v>7.3322616402094642E-2</v>
      </c>
      <c r="J337" t="s">
        <v>6</v>
      </c>
    </row>
    <row r="338" spans="2:10" x14ac:dyDescent="0.45">
      <c r="B338" t="s">
        <v>88</v>
      </c>
      <c r="C338" t="s">
        <v>11</v>
      </c>
      <c r="D338">
        <v>1.4229816362139045E-3</v>
      </c>
      <c r="E338" t="s">
        <v>6</v>
      </c>
      <c r="G338" t="s">
        <v>89</v>
      </c>
      <c r="H338" t="s">
        <v>11</v>
      </c>
      <c r="I338">
        <v>7.0949873808453939E-2</v>
      </c>
      <c r="J338" t="s">
        <v>6</v>
      </c>
    </row>
    <row r="339" spans="2:10" x14ac:dyDescent="0.45">
      <c r="B339" t="s">
        <v>88</v>
      </c>
      <c r="C339" t="s">
        <v>12</v>
      </c>
      <c r="D339">
        <v>0.25939179401751356</v>
      </c>
      <c r="E339" t="s">
        <v>6</v>
      </c>
      <c r="G339" t="s">
        <v>89</v>
      </c>
      <c r="H339" t="s">
        <v>12</v>
      </c>
      <c r="I339">
        <v>0.10928852657609672</v>
      </c>
      <c r="J339" t="s">
        <v>6</v>
      </c>
    </row>
    <row r="340" spans="2:10" x14ac:dyDescent="0.45">
      <c r="B340" t="s">
        <v>88</v>
      </c>
      <c r="C340" t="s">
        <v>13</v>
      </c>
      <c r="D340">
        <v>1.1035487940880589E-2</v>
      </c>
      <c r="E340" t="s">
        <v>6</v>
      </c>
      <c r="G340" t="s">
        <v>89</v>
      </c>
      <c r="H340" t="s">
        <v>13</v>
      </c>
      <c r="I340">
        <v>6.5808690566577233E-2</v>
      </c>
      <c r="J340" t="s">
        <v>6</v>
      </c>
    </row>
    <row r="341" spans="2:10" x14ac:dyDescent="0.45">
      <c r="B341" t="s">
        <v>88</v>
      </c>
      <c r="C341" t="s">
        <v>14</v>
      </c>
      <c r="D341">
        <v>3.5457995501757779E-3</v>
      </c>
      <c r="E341" t="s">
        <v>6</v>
      </c>
      <c r="G341" t="s">
        <v>89</v>
      </c>
      <c r="H341" t="s">
        <v>14</v>
      </c>
      <c r="I341">
        <v>4.8523338782589714E-2</v>
      </c>
      <c r="J341" t="s">
        <v>6</v>
      </c>
    </row>
    <row r="342" spans="2:10" x14ac:dyDescent="0.45">
      <c r="B342" t="s">
        <v>88</v>
      </c>
      <c r="C342" t="s">
        <v>15</v>
      </c>
      <c r="D342">
        <v>0.33260817486098143</v>
      </c>
      <c r="E342" t="s">
        <v>6</v>
      </c>
      <c r="G342" t="s">
        <v>89</v>
      </c>
      <c r="H342" t="s">
        <v>15</v>
      </c>
      <c r="I342">
        <v>7.3044883655667886E-2</v>
      </c>
      <c r="J342" t="s">
        <v>6</v>
      </c>
    </row>
    <row r="343" spans="2:10" x14ac:dyDescent="0.45">
      <c r="B343" t="s">
        <v>88</v>
      </c>
      <c r="C343" t="s">
        <v>16</v>
      </c>
      <c r="D343">
        <v>2.0175876594287764E-2</v>
      </c>
      <c r="E343" t="s">
        <v>6</v>
      </c>
      <c r="G343" t="s">
        <v>89</v>
      </c>
      <c r="H343" t="s">
        <v>16</v>
      </c>
      <c r="I343">
        <v>4.517392431784182E-2</v>
      </c>
      <c r="J343" t="s">
        <v>6</v>
      </c>
    </row>
    <row r="344" spans="2:10" x14ac:dyDescent="0.45">
      <c r="B344" t="s">
        <v>88</v>
      </c>
      <c r="C344" t="s">
        <v>17</v>
      </c>
      <c r="D344">
        <v>7.7138325045927192E-5</v>
      </c>
      <c r="E344" t="s">
        <v>6</v>
      </c>
      <c r="G344" t="s">
        <v>89</v>
      </c>
      <c r="H344" t="s">
        <v>17</v>
      </c>
      <c r="I344">
        <v>9.9979382002413325E-2</v>
      </c>
      <c r="J344" t="s">
        <v>6</v>
      </c>
    </row>
    <row r="345" spans="2:10" x14ac:dyDescent="0.45">
      <c r="B345" t="s">
        <v>88</v>
      </c>
      <c r="C345" t="s">
        <v>18</v>
      </c>
      <c r="D345">
        <v>0.19674435152955039</v>
      </c>
      <c r="E345" t="s">
        <v>6</v>
      </c>
      <c r="G345" t="s">
        <v>89</v>
      </c>
      <c r="H345" t="s">
        <v>18</v>
      </c>
      <c r="I345">
        <v>0.12906367343278005</v>
      </c>
      <c r="J345" t="s">
        <v>6</v>
      </c>
    </row>
    <row r="346" spans="2:10" x14ac:dyDescent="0.45">
      <c r="B346" t="s">
        <v>88</v>
      </c>
      <c r="C346" t="s">
        <v>19</v>
      </c>
      <c r="D346">
        <v>2.696219379093757E-3</v>
      </c>
      <c r="E346" t="s">
        <v>6</v>
      </c>
      <c r="G346" t="s">
        <v>89</v>
      </c>
      <c r="H346" t="s">
        <v>19</v>
      </c>
      <c r="I346">
        <v>7.7909560063708472E-2</v>
      </c>
      <c r="J346" t="s">
        <v>6</v>
      </c>
    </row>
    <row r="347" spans="2:10" x14ac:dyDescent="0.45">
      <c r="B347" t="s">
        <v>90</v>
      </c>
      <c r="C347" t="s">
        <v>5</v>
      </c>
      <c r="D347">
        <v>0</v>
      </c>
      <c r="E347" t="s">
        <v>6</v>
      </c>
    </row>
    <row r="348" spans="2:10" x14ac:dyDescent="0.45">
      <c r="B348" t="s">
        <v>90</v>
      </c>
      <c r="C348" t="s">
        <v>9</v>
      </c>
      <c r="D348">
        <v>0.17507252739140963</v>
      </c>
      <c r="E348" t="s">
        <v>6</v>
      </c>
    </row>
    <row r="349" spans="2:10" x14ac:dyDescent="0.45">
      <c r="B349" t="s">
        <v>90</v>
      </c>
      <c r="C349" t="s">
        <v>10</v>
      </c>
      <c r="D349">
        <v>2.2120862021273238E-3</v>
      </c>
      <c r="E349" t="s">
        <v>6</v>
      </c>
    </row>
    <row r="350" spans="2:10" x14ac:dyDescent="0.45">
      <c r="B350" t="s">
        <v>90</v>
      </c>
      <c r="C350" t="s">
        <v>11</v>
      </c>
      <c r="D350">
        <v>9.767818189680374E-4</v>
      </c>
      <c r="E350" t="s">
        <v>6</v>
      </c>
    </row>
    <row r="351" spans="2:10" x14ac:dyDescent="0.45">
      <c r="B351" t="s">
        <v>90</v>
      </c>
      <c r="C351" t="s">
        <v>12</v>
      </c>
      <c r="D351">
        <v>0.25712418378075091</v>
      </c>
      <c r="E351" t="s">
        <v>6</v>
      </c>
    </row>
    <row r="352" spans="2:10" x14ac:dyDescent="0.45">
      <c r="B352" t="s">
        <v>90</v>
      </c>
      <c r="C352" t="s">
        <v>13</v>
      </c>
      <c r="D352">
        <v>1.3522091470773823E-2</v>
      </c>
      <c r="E352" t="s">
        <v>6</v>
      </c>
    </row>
    <row r="353" spans="2:5" x14ac:dyDescent="0.45">
      <c r="B353" t="s">
        <v>90</v>
      </c>
      <c r="C353" t="s">
        <v>14</v>
      </c>
      <c r="D353">
        <v>2.2827388000812832E-3</v>
      </c>
      <c r="E353" t="s">
        <v>6</v>
      </c>
    </row>
    <row r="354" spans="2:5" x14ac:dyDescent="0.45">
      <c r="B354" t="s">
        <v>90</v>
      </c>
      <c r="C354" t="s">
        <v>15</v>
      </c>
      <c r="D354">
        <v>0.3287554725923339</v>
      </c>
      <c r="E354" t="s">
        <v>6</v>
      </c>
    </row>
    <row r="355" spans="2:5" x14ac:dyDescent="0.45">
      <c r="B355" t="s">
        <v>90</v>
      </c>
      <c r="C355" t="s">
        <v>16</v>
      </c>
      <c r="D355">
        <v>2.2932587845208609E-2</v>
      </c>
      <c r="E355" t="s">
        <v>6</v>
      </c>
    </row>
    <row r="356" spans="2:5" x14ac:dyDescent="0.45">
      <c r="B356" t="s">
        <v>90</v>
      </c>
      <c r="C356" t="s">
        <v>17</v>
      </c>
      <c r="D356">
        <v>2.8138245355449744E-5</v>
      </c>
      <c r="E356" t="s">
        <v>6</v>
      </c>
    </row>
    <row r="357" spans="2:5" x14ac:dyDescent="0.45">
      <c r="B357" t="s">
        <v>90</v>
      </c>
      <c r="C357" t="s">
        <v>18</v>
      </c>
      <c r="D357">
        <v>0.19340172072922263</v>
      </c>
      <c r="E357" t="s">
        <v>6</v>
      </c>
    </row>
    <row r="358" spans="2:5" x14ac:dyDescent="0.45">
      <c r="B358" t="s">
        <v>90</v>
      </c>
      <c r="C358" t="s">
        <v>19</v>
      </c>
      <c r="D358">
        <v>3.6916711237677097E-3</v>
      </c>
      <c r="E358" t="s">
        <v>6</v>
      </c>
    </row>
    <row r="359" spans="2:5" x14ac:dyDescent="0.45">
      <c r="B359" t="s">
        <v>91</v>
      </c>
      <c r="C359" t="s">
        <v>5</v>
      </c>
      <c r="D359">
        <v>0</v>
      </c>
      <c r="E359" t="s">
        <v>6</v>
      </c>
    </row>
    <row r="360" spans="2:5" x14ac:dyDescent="0.45">
      <c r="B360" t="s">
        <v>91</v>
      </c>
      <c r="C360" t="s">
        <v>9</v>
      </c>
      <c r="D360">
        <v>0.15814349777216885</v>
      </c>
      <c r="E360" t="s">
        <v>6</v>
      </c>
    </row>
    <row r="361" spans="2:5" x14ac:dyDescent="0.45">
      <c r="B361" t="s">
        <v>91</v>
      </c>
      <c r="C361" t="s">
        <v>10</v>
      </c>
      <c r="D361">
        <v>1.7224837255653013E-3</v>
      </c>
      <c r="E361" t="s">
        <v>6</v>
      </c>
    </row>
    <row r="362" spans="2:5" x14ac:dyDescent="0.45">
      <c r="B362" t="s">
        <v>91</v>
      </c>
      <c r="C362" t="s">
        <v>11</v>
      </c>
      <c r="D362">
        <v>1.1740431273293658E-3</v>
      </c>
      <c r="E362" t="s">
        <v>6</v>
      </c>
    </row>
    <row r="363" spans="2:5" x14ac:dyDescent="0.45">
      <c r="B363" t="s">
        <v>91</v>
      </c>
      <c r="C363" t="s">
        <v>12</v>
      </c>
      <c r="D363">
        <v>0.26254169581618503</v>
      </c>
      <c r="E363" t="s">
        <v>6</v>
      </c>
    </row>
    <row r="364" spans="2:5" x14ac:dyDescent="0.45">
      <c r="B364" t="s">
        <v>91</v>
      </c>
      <c r="C364" t="s">
        <v>13</v>
      </c>
      <c r="D364">
        <v>1.3444928033639423E-2</v>
      </c>
      <c r="E364" t="s">
        <v>6</v>
      </c>
    </row>
    <row r="365" spans="2:5" x14ac:dyDescent="0.45">
      <c r="B365" t="s">
        <v>91</v>
      </c>
      <c r="C365" t="s">
        <v>14</v>
      </c>
      <c r="D365">
        <v>2.7477778242644712E-3</v>
      </c>
      <c r="E365" t="s">
        <v>6</v>
      </c>
    </row>
    <row r="366" spans="2:5" x14ac:dyDescent="0.45">
      <c r="B366" t="s">
        <v>91</v>
      </c>
      <c r="C366" t="s">
        <v>15</v>
      </c>
      <c r="D366">
        <v>0.33888752743274342</v>
      </c>
      <c r="E366" t="s">
        <v>6</v>
      </c>
    </row>
    <row r="367" spans="2:5" x14ac:dyDescent="0.45">
      <c r="B367" t="s">
        <v>91</v>
      </c>
      <c r="C367" t="s">
        <v>16</v>
      </c>
      <c r="D367">
        <v>2.3574564517676151E-2</v>
      </c>
      <c r="E367" t="s">
        <v>6</v>
      </c>
    </row>
    <row r="368" spans="2:5" x14ac:dyDescent="0.45">
      <c r="B368" t="s">
        <v>91</v>
      </c>
      <c r="C368" t="s">
        <v>17</v>
      </c>
      <c r="D368">
        <v>3.4861767242160196E-5</v>
      </c>
      <c r="E368" t="s">
        <v>6</v>
      </c>
    </row>
    <row r="369" spans="2:5" x14ac:dyDescent="0.45">
      <c r="B369" t="s">
        <v>91</v>
      </c>
      <c r="C369" t="s">
        <v>18</v>
      </c>
      <c r="D369">
        <v>0.19412258539711666</v>
      </c>
      <c r="E369" t="s">
        <v>6</v>
      </c>
    </row>
    <row r="370" spans="2:5" x14ac:dyDescent="0.45">
      <c r="B370" t="s">
        <v>91</v>
      </c>
      <c r="C370" t="s">
        <v>19</v>
      </c>
      <c r="D370">
        <v>3.6060345860707338E-3</v>
      </c>
      <c r="E370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19AB8-67F3-4227-BA2D-A4233B506313}">
  <dimension ref="B9:BL85"/>
  <sheetViews>
    <sheetView workbookViewId="0"/>
  </sheetViews>
  <sheetFormatPr defaultRowHeight="14.25" x14ac:dyDescent="0.45"/>
  <sheetData>
    <row r="9" spans="2:64" x14ac:dyDescent="0.45">
      <c r="B9" t="str">
        <f>IF(A11="x","DeActivated","~TFM_DINS-TSL: attribute=FLO_EMIS; other_indexes=ACT; region=FRA")</f>
        <v>~TFM_DINS-TSL: attribute=FLO_EMIS; other_indexes=ACT; region=FRA</v>
      </c>
      <c r="Q9" t="str">
        <f>IF(A11="x","DeActivated","~TFM_INS-TSL: attribute=FLO_SHAR; limtype=FX; region=FRA")</f>
        <v>~TFM_INS-TSL: attribute=FLO_SHAR; limtype=FX; region=FRA</v>
      </c>
      <c r="AF9" t="str">
        <f>IF(A11="x","DeActivated","~TFM_INS-TSL: attribute=FLO_SHAR; limtype=FX; region=FRA")</f>
        <v>~TFM_INS-TSL: attribute=FLO_SHAR; limtype=FX; region=FRA</v>
      </c>
      <c r="AU9" t="str">
        <f>IF(A11="x","DeActivated","~TFM_DINS-TSL: attribute=NCAP_PKCNT; region=FRA")</f>
        <v>~TFM_DINS-TSL: attribute=NCAP_PKCNT; region=FRA</v>
      </c>
      <c r="BI9" t="str">
        <f>IF(A11="x","DeActivated","~TFM_DINS-AT: region=FRA")</f>
        <v>~TFM_DINS-AT: region=FRA</v>
      </c>
    </row>
    <row r="10" spans="2:64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Q10" t="s">
        <v>3</v>
      </c>
      <c r="R10" t="s">
        <v>0</v>
      </c>
      <c r="S10" t="s">
        <v>5</v>
      </c>
      <c r="T10" t="s">
        <v>9</v>
      </c>
      <c r="U10" t="s">
        <v>10</v>
      </c>
      <c r="V10" t="s">
        <v>11</v>
      </c>
      <c r="W10" t="s">
        <v>12</v>
      </c>
      <c r="X10" t="s">
        <v>13</v>
      </c>
      <c r="Y10" t="s">
        <v>14</v>
      </c>
      <c r="Z10" t="s">
        <v>15</v>
      </c>
      <c r="AA10" t="s">
        <v>16</v>
      </c>
      <c r="AB10" t="s">
        <v>17</v>
      </c>
      <c r="AC10" t="s">
        <v>18</v>
      </c>
      <c r="AD10" t="s">
        <v>19</v>
      </c>
      <c r="AF10" t="s">
        <v>3</v>
      </c>
      <c r="AG10" t="s">
        <v>0</v>
      </c>
      <c r="AH10" t="s">
        <v>5</v>
      </c>
      <c r="AI10" t="s">
        <v>9</v>
      </c>
      <c r="AJ10" t="s">
        <v>10</v>
      </c>
      <c r="AK10" t="s">
        <v>11</v>
      </c>
      <c r="AL10" t="s">
        <v>12</v>
      </c>
      <c r="AM10" t="s">
        <v>13</v>
      </c>
      <c r="AN10" t="s">
        <v>14</v>
      </c>
      <c r="AO10" t="s">
        <v>15</v>
      </c>
      <c r="AP10" t="s">
        <v>16</v>
      </c>
      <c r="AQ10" t="s">
        <v>17</v>
      </c>
      <c r="AR10" t="s">
        <v>18</v>
      </c>
      <c r="AS10" t="s">
        <v>19</v>
      </c>
      <c r="AU10" t="s">
        <v>3</v>
      </c>
      <c r="AV10" t="s">
        <v>5</v>
      </c>
      <c r="AW10" t="s">
        <v>9</v>
      </c>
      <c r="AX10" t="s">
        <v>10</v>
      </c>
      <c r="AY10" t="s">
        <v>11</v>
      </c>
      <c r="AZ10" t="s">
        <v>12</v>
      </c>
      <c r="BA10" t="s">
        <v>13</v>
      </c>
      <c r="BB10" t="s">
        <v>14</v>
      </c>
      <c r="BC10" t="s">
        <v>15</v>
      </c>
      <c r="BD10" t="s">
        <v>16</v>
      </c>
      <c r="BE10" t="s">
        <v>17</v>
      </c>
      <c r="BF10" t="s">
        <v>18</v>
      </c>
      <c r="BG10" t="s">
        <v>19</v>
      </c>
      <c r="BI10" t="s">
        <v>3</v>
      </c>
      <c r="BJ10" t="s">
        <v>0</v>
      </c>
      <c r="BK10" t="s">
        <v>92</v>
      </c>
      <c r="BL10" t="s">
        <v>93</v>
      </c>
    </row>
    <row r="11" spans="2:64" x14ac:dyDescent="0.45">
      <c r="B11" t="s">
        <v>94</v>
      </c>
      <c r="C11" t="s">
        <v>95</v>
      </c>
      <c r="D11">
        <v>0</v>
      </c>
      <c r="E11">
        <v>0.41056199310799318</v>
      </c>
      <c r="F11">
        <v>0.93141223804953488</v>
      </c>
      <c r="G11">
        <v>0.91386783250113568</v>
      </c>
      <c r="H11">
        <v>0.24654140672705585</v>
      </c>
      <c r="I11">
        <v>0.6735141619509053</v>
      </c>
      <c r="J11">
        <v>0.82210426240523138</v>
      </c>
      <c r="K11">
        <v>0.19162082934042335</v>
      </c>
      <c r="L11">
        <v>0.61315347547652166</v>
      </c>
      <c r="M11">
        <v>0.98738371292355009</v>
      </c>
      <c r="N11">
        <v>0.34163937705478609</v>
      </c>
      <c r="O11">
        <v>0.85538972287633308</v>
      </c>
      <c r="Q11" t="s">
        <v>96</v>
      </c>
      <c r="R11" t="s">
        <v>97</v>
      </c>
      <c r="S11">
        <v>0</v>
      </c>
      <c r="T11">
        <v>0.16927697834652836</v>
      </c>
      <c r="U11">
        <v>0.33664187841674448</v>
      </c>
      <c r="V11">
        <v>0.81433274050225712</v>
      </c>
      <c r="W11">
        <v>9.3042047895083219E-2</v>
      </c>
      <c r="X11">
        <v>0.3645975590355014</v>
      </c>
      <c r="Y11">
        <v>0.68055269400444363</v>
      </c>
      <c r="Z11">
        <v>7.6374000755464938E-2</v>
      </c>
      <c r="AA11">
        <v>0.34068788891565815</v>
      </c>
      <c r="AB11">
        <v>0.93121423927887526</v>
      </c>
      <c r="AC11">
        <v>0.12352212536706188</v>
      </c>
      <c r="AD11">
        <v>0.29243577944011445</v>
      </c>
      <c r="AF11" t="s">
        <v>96</v>
      </c>
      <c r="AG11" t="s">
        <v>98</v>
      </c>
      <c r="AH11">
        <v>0</v>
      </c>
      <c r="AI11">
        <v>2.9653042316697804E-2</v>
      </c>
      <c r="AJ11">
        <v>0.48270554074652761</v>
      </c>
      <c r="AK11">
        <v>0</v>
      </c>
      <c r="AL11">
        <v>1.7835774182631461E-2</v>
      </c>
      <c r="AM11">
        <v>0.12781332313426164</v>
      </c>
      <c r="AN11">
        <v>0</v>
      </c>
      <c r="AO11">
        <v>1.3845031687944672E-2</v>
      </c>
      <c r="AP11">
        <v>7.8939082189395368E-2</v>
      </c>
      <c r="AQ11">
        <v>0</v>
      </c>
      <c r="AR11">
        <v>3.7915453396983941E-2</v>
      </c>
      <c r="AS11">
        <v>0.39873522131660294</v>
      </c>
      <c r="AU11" t="s">
        <v>94</v>
      </c>
      <c r="AV11">
        <v>0</v>
      </c>
      <c r="AW11">
        <v>0.19277242870298048</v>
      </c>
      <c r="AX11">
        <v>4.9052548760509657E-3</v>
      </c>
      <c r="AY11">
        <v>1.3628170696324794E-3</v>
      </c>
      <c r="AZ11">
        <v>0.34073372674206204</v>
      </c>
      <c r="BA11">
        <v>3.4093153103018227E-2</v>
      </c>
      <c r="BB11">
        <v>3.320157710317581E-3</v>
      </c>
      <c r="BC11">
        <v>0.42235884347982017</v>
      </c>
      <c r="BD11">
        <v>5.6344230130584982E-2</v>
      </c>
      <c r="BE11">
        <v>1.949012299091501E-5</v>
      </c>
      <c r="BF11">
        <v>0.23818639104028408</v>
      </c>
      <c r="BG11">
        <v>9.3191812815637404E-3</v>
      </c>
      <c r="BI11" t="s">
        <v>94</v>
      </c>
      <c r="BJ11" t="s">
        <v>99</v>
      </c>
      <c r="BK11" t="s">
        <v>100</v>
      </c>
      <c r="BL11">
        <v>0.4000846280537434</v>
      </c>
    </row>
    <row r="12" spans="2:64" x14ac:dyDescent="0.45">
      <c r="B12" t="s">
        <v>101</v>
      </c>
      <c r="C12" t="s">
        <v>95</v>
      </c>
      <c r="D12">
        <v>0</v>
      </c>
      <c r="E12">
        <v>0.37865367095617514</v>
      </c>
      <c r="F12">
        <v>0.90406314177777747</v>
      </c>
      <c r="G12">
        <v>0.93306089210087606</v>
      </c>
      <c r="H12">
        <v>0.23080586046323709</v>
      </c>
      <c r="I12">
        <v>0.65205168741685815</v>
      </c>
      <c r="J12">
        <v>0.86194653280514189</v>
      </c>
      <c r="K12">
        <v>0.1921651614994187</v>
      </c>
      <c r="L12">
        <v>0.60840737671884404</v>
      </c>
      <c r="M12">
        <v>0</v>
      </c>
      <c r="N12">
        <v>0.31603484293204248</v>
      </c>
      <c r="O12">
        <v>0.83044426319500819</v>
      </c>
      <c r="Q12" t="s">
        <v>102</v>
      </c>
      <c r="R12" t="s">
        <v>97</v>
      </c>
      <c r="S12">
        <v>4.3352745581059808E-3</v>
      </c>
      <c r="T12">
        <v>1.1872231962783773E-3</v>
      </c>
      <c r="U12">
        <v>2.3163733769657057E-3</v>
      </c>
      <c r="V12">
        <v>3.8300052900488487E-3</v>
      </c>
      <c r="W12">
        <v>6.4523165223356188E-3</v>
      </c>
      <c r="X12">
        <v>5.7919554742352367E-3</v>
      </c>
      <c r="Y12">
        <v>7.1882920746591129E-3</v>
      </c>
      <c r="Z12">
        <v>5.3020538662631447E-3</v>
      </c>
      <c r="AA12">
        <v>6.15206904202648E-3</v>
      </c>
      <c r="AB12">
        <v>7.5173538391429739E-4</v>
      </c>
      <c r="AC12">
        <v>2.8083127409275206E-3</v>
      </c>
      <c r="AD12">
        <v>3.7321071176877325E-3</v>
      </c>
      <c r="AF12" t="s">
        <v>102</v>
      </c>
      <c r="AG12" t="s">
        <v>98</v>
      </c>
      <c r="AH12">
        <v>9.1739642388546597E-3</v>
      </c>
      <c r="AI12">
        <v>6.5781058608584513E-3</v>
      </c>
      <c r="AJ12">
        <v>1.2253689421303766E-2</v>
      </c>
      <c r="AK12">
        <v>1.9892468541163884E-2</v>
      </c>
      <c r="AL12">
        <v>1.6217582380466021E-2</v>
      </c>
      <c r="AM12">
        <v>1.344254930917878E-2</v>
      </c>
      <c r="AN12">
        <v>1.5943832167328545E-2</v>
      </c>
      <c r="AO12">
        <v>1.1252919934494244E-2</v>
      </c>
      <c r="AP12">
        <v>8.797971958755868E-3</v>
      </c>
      <c r="AQ12">
        <v>8.1063869355513032E-3</v>
      </c>
      <c r="AR12">
        <v>8.7943175093974368E-3</v>
      </c>
      <c r="AS12">
        <v>1.9062160892033751E-2</v>
      </c>
      <c r="AU12" t="s">
        <v>101</v>
      </c>
      <c r="AV12">
        <v>0</v>
      </c>
      <c r="AW12">
        <v>0.22998394720703091</v>
      </c>
      <c r="AX12">
        <v>7.8924866701192593E-3</v>
      </c>
      <c r="AY12">
        <v>9.6390618651220135E-4</v>
      </c>
      <c r="AZ12">
        <v>0.37723152144331462</v>
      </c>
      <c r="BA12">
        <v>4.6281027195901672E-2</v>
      </c>
      <c r="BB12">
        <v>2.2720448659084755E-3</v>
      </c>
      <c r="BC12">
        <v>0.43096487446399812</v>
      </c>
      <c r="BD12">
        <v>6.9024537999828703E-2</v>
      </c>
      <c r="BE12">
        <v>0</v>
      </c>
      <c r="BF12">
        <v>0.2690190171626668</v>
      </c>
      <c r="BG12">
        <v>1.4823371587757954E-2</v>
      </c>
      <c r="BI12" t="s">
        <v>101</v>
      </c>
      <c r="BJ12" t="s">
        <v>99</v>
      </c>
      <c r="BK12" t="s">
        <v>100</v>
      </c>
      <c r="BL12">
        <v>0.41262784140655751</v>
      </c>
    </row>
    <row r="13" spans="2:64" x14ac:dyDescent="0.45">
      <c r="B13" t="s">
        <v>103</v>
      </c>
      <c r="C13" t="s">
        <v>95</v>
      </c>
      <c r="D13">
        <v>0</v>
      </c>
      <c r="E13">
        <v>0.39795855712479128</v>
      </c>
      <c r="F13">
        <v>0.92023701576587291</v>
      </c>
      <c r="G13">
        <v>0.92339062799626082</v>
      </c>
      <c r="H13">
        <v>0.24718525256550378</v>
      </c>
      <c r="I13">
        <v>0.66432947688864397</v>
      </c>
      <c r="J13">
        <v>0.83579873150100081</v>
      </c>
      <c r="K13">
        <v>0.19640601524085666</v>
      </c>
      <c r="L13">
        <v>0.60589681777800664</v>
      </c>
      <c r="M13">
        <v>0.99450549450549464</v>
      </c>
      <c r="N13">
        <v>0.33764817998695251</v>
      </c>
      <c r="O13">
        <v>0.84730286977797931</v>
      </c>
      <c r="Q13" t="s">
        <v>104</v>
      </c>
      <c r="R13" t="s">
        <v>97</v>
      </c>
      <c r="S13">
        <v>4.3173407779937703E-3</v>
      </c>
      <c r="T13">
        <v>3.3211432299306014E-3</v>
      </c>
      <c r="U13">
        <v>1.4315645780232813E-3</v>
      </c>
      <c r="V13">
        <v>3.4885246194377995E-3</v>
      </c>
      <c r="W13">
        <v>2.6978553771759809E-3</v>
      </c>
      <c r="X13">
        <v>3.3835712124300785E-3</v>
      </c>
      <c r="Y13">
        <v>2.4043591543861055E-3</v>
      </c>
      <c r="Z13">
        <v>5.1545200081576023E-3</v>
      </c>
      <c r="AA13">
        <v>1.1353219586530932E-3</v>
      </c>
      <c r="AB13">
        <v>3.1887926352647273E-3</v>
      </c>
      <c r="AC13">
        <v>1.869866437781791E-3</v>
      </c>
      <c r="AD13">
        <v>1.0596130358080768E-3</v>
      </c>
      <c r="AF13" t="s">
        <v>104</v>
      </c>
      <c r="AG13" t="s">
        <v>98</v>
      </c>
      <c r="AH13">
        <v>8.9428057802391752E-3</v>
      </c>
      <c r="AI13">
        <v>1.0165174573664745E-2</v>
      </c>
      <c r="AJ13">
        <v>1.0639303205557138E-2</v>
      </c>
      <c r="AK13">
        <v>9.8387681367956073E-3</v>
      </c>
      <c r="AL13">
        <v>8.9845422232755021E-3</v>
      </c>
      <c r="AM13">
        <v>4.1570387939471373E-3</v>
      </c>
      <c r="AN13">
        <v>1.0316515293427884E-2</v>
      </c>
      <c r="AO13">
        <v>1.1901157706111489E-2</v>
      </c>
      <c r="AP13">
        <v>1.3037340938596849E-2</v>
      </c>
      <c r="AQ13">
        <v>9.5169028487173853E-3</v>
      </c>
      <c r="AR13">
        <v>8.3355266493889447E-3</v>
      </c>
      <c r="AS13">
        <v>2.8996006140079144E-3</v>
      </c>
      <c r="AU13" t="s">
        <v>103</v>
      </c>
      <c r="AV13">
        <v>0</v>
      </c>
      <c r="AW13">
        <v>0.20020901569055582</v>
      </c>
      <c r="AX13">
        <v>6.1176719845220341E-3</v>
      </c>
      <c r="AY13">
        <v>1.2025893054897888E-3</v>
      </c>
      <c r="AZ13">
        <v>0.35639741818421461</v>
      </c>
      <c r="BA13">
        <v>3.911005637030196E-2</v>
      </c>
      <c r="BB13">
        <v>2.8316873491401593E-3</v>
      </c>
      <c r="BC13">
        <v>0.41949870097608999</v>
      </c>
      <c r="BD13">
        <v>6.2757988040262724E-2</v>
      </c>
      <c r="BE13">
        <v>2.8051854741692366E-6</v>
      </c>
      <c r="BF13">
        <v>0.24592410831410919</v>
      </c>
      <c r="BG13">
        <v>1.1502205222077549E-2</v>
      </c>
      <c r="BI13" t="s">
        <v>103</v>
      </c>
      <c r="BJ13" t="s">
        <v>99</v>
      </c>
      <c r="BK13" t="s">
        <v>100</v>
      </c>
      <c r="BL13">
        <v>0.40481775345140741</v>
      </c>
    </row>
    <row r="14" spans="2:64" x14ac:dyDescent="0.45">
      <c r="B14" t="s">
        <v>105</v>
      </c>
      <c r="C14" t="s">
        <v>95</v>
      </c>
      <c r="D14">
        <v>0</v>
      </c>
      <c r="E14">
        <v>0.40268044728566676</v>
      </c>
      <c r="F14">
        <v>0.91043614534686557</v>
      </c>
      <c r="G14">
        <v>0.92303046261653321</v>
      </c>
      <c r="H14">
        <v>0.24238725039829287</v>
      </c>
      <c r="I14">
        <v>0.65629929830432532</v>
      </c>
      <c r="J14">
        <v>0.84208151169689949</v>
      </c>
      <c r="K14">
        <v>0.20292375331711257</v>
      </c>
      <c r="L14">
        <v>0.59677701557658158</v>
      </c>
      <c r="M14">
        <v>0.99450549450549441</v>
      </c>
      <c r="N14">
        <v>0.31861391438606429</v>
      </c>
      <c r="O14">
        <v>0.83527440562307487</v>
      </c>
      <c r="AU14" t="s">
        <v>105</v>
      </c>
      <c r="AV14">
        <v>0</v>
      </c>
      <c r="AW14">
        <v>0.18570231179462313</v>
      </c>
      <c r="AX14">
        <v>5.8806038853404614E-3</v>
      </c>
      <c r="AY14">
        <v>1.1005032300819739E-3</v>
      </c>
      <c r="AZ14">
        <v>0.35350779847807084</v>
      </c>
      <c r="BA14">
        <v>4.2052713421912302E-2</v>
      </c>
      <c r="BB14">
        <v>2.6014225675643201E-3</v>
      </c>
      <c r="BC14">
        <v>0.41025917172624893</v>
      </c>
      <c r="BD14">
        <v>6.7841641930775923E-2</v>
      </c>
      <c r="BE14">
        <v>1.4147988759947238E-6</v>
      </c>
      <c r="BF14">
        <v>0.25590564591091952</v>
      </c>
      <c r="BG14">
        <v>1.3431882434113125E-2</v>
      </c>
      <c r="BI14" t="s">
        <v>105</v>
      </c>
      <c r="BJ14" t="s">
        <v>99</v>
      </c>
      <c r="BK14" t="s">
        <v>100</v>
      </c>
      <c r="BL14">
        <v>0.39826602572866998</v>
      </c>
    </row>
    <row r="15" spans="2:64" x14ac:dyDescent="0.45">
      <c r="B15" t="s">
        <v>106</v>
      </c>
      <c r="C15" t="s">
        <v>95</v>
      </c>
      <c r="D15">
        <v>0</v>
      </c>
      <c r="E15">
        <v>0.43462604212356665</v>
      </c>
      <c r="F15">
        <v>0.93986276674070923</v>
      </c>
      <c r="G15">
        <v>0.90800542646156623</v>
      </c>
      <c r="H15">
        <v>0.24924233369620669</v>
      </c>
      <c r="I15">
        <v>0.67199700224711034</v>
      </c>
      <c r="J15">
        <v>0.81815599871025224</v>
      </c>
      <c r="K15">
        <v>0.19632906242842715</v>
      </c>
      <c r="L15">
        <v>0.60624608231869415</v>
      </c>
      <c r="M15">
        <v>0.98626373626373598</v>
      </c>
      <c r="N15">
        <v>0.3408894718197909</v>
      </c>
      <c r="O15">
        <v>0.85946195209608978</v>
      </c>
      <c r="AU15" t="s">
        <v>106</v>
      </c>
      <c r="AV15">
        <v>0</v>
      </c>
      <c r="AW15">
        <v>0.16464785117027633</v>
      </c>
      <c r="AX15">
        <v>3.5403489903831154E-3</v>
      </c>
      <c r="AY15">
        <v>1.5826175333683024E-3</v>
      </c>
      <c r="AZ15">
        <v>0.3350328779297051</v>
      </c>
      <c r="BA15">
        <v>3.3434639656538132E-2</v>
      </c>
      <c r="BB15">
        <v>3.5740604059656704E-3</v>
      </c>
      <c r="BC15">
        <v>0.4119825953803738</v>
      </c>
      <c r="BD15">
        <v>5.5524795130407617E-2</v>
      </c>
      <c r="BE15">
        <v>1.9382405511037115E-5</v>
      </c>
      <c r="BF15">
        <v>0.23312804412371008</v>
      </c>
      <c r="BG15">
        <v>8.8998037487476207E-3</v>
      </c>
      <c r="BI15" t="s">
        <v>106</v>
      </c>
      <c r="BJ15" t="s">
        <v>99</v>
      </c>
      <c r="BK15" t="s">
        <v>100</v>
      </c>
      <c r="BL15">
        <v>0.39358845485541655</v>
      </c>
    </row>
    <row r="16" spans="2:64" x14ac:dyDescent="0.45">
      <c r="B16" t="s">
        <v>107</v>
      </c>
      <c r="C16" t="s">
        <v>95</v>
      </c>
      <c r="D16">
        <v>0</v>
      </c>
      <c r="E16">
        <v>0.42646932048430569</v>
      </c>
      <c r="F16">
        <v>0.94608866217331711</v>
      </c>
      <c r="G16">
        <v>0.90167892334924349</v>
      </c>
      <c r="H16">
        <v>0.24140661770063437</v>
      </c>
      <c r="I16">
        <v>0.67068658205749254</v>
      </c>
      <c r="J16">
        <v>0.81074302527012654</v>
      </c>
      <c r="K16">
        <v>0.19821019079353414</v>
      </c>
      <c r="L16">
        <v>0.60312900673293501</v>
      </c>
      <c r="M16">
        <v>0.98489010989010961</v>
      </c>
      <c r="N16">
        <v>0.33491786628857001</v>
      </c>
      <c r="O16">
        <v>0.8619306027349074</v>
      </c>
      <c r="AU16" t="s">
        <v>107</v>
      </c>
      <c r="AV16">
        <v>0</v>
      </c>
      <c r="AW16">
        <v>0.15190576067889811</v>
      </c>
      <c r="AX16">
        <v>2.7708439937749315E-3</v>
      </c>
      <c r="AY16">
        <v>1.8167657214092237E-3</v>
      </c>
      <c r="AZ16">
        <v>0.32867452846555678</v>
      </c>
      <c r="BA16">
        <v>3.145060024737157E-2</v>
      </c>
      <c r="BB16">
        <v>3.9075315076803592E-3</v>
      </c>
      <c r="BC16">
        <v>0.40118911464332296</v>
      </c>
      <c r="BD16">
        <v>5.3755230508672175E-2</v>
      </c>
      <c r="BE16">
        <v>3.244827846156543E-5</v>
      </c>
      <c r="BF16">
        <v>0.22587082306931719</v>
      </c>
      <c r="BG16">
        <v>8.2251845378664874E-3</v>
      </c>
      <c r="BI16" t="s">
        <v>107</v>
      </c>
      <c r="BJ16" t="s">
        <v>99</v>
      </c>
      <c r="BK16" t="s">
        <v>100</v>
      </c>
      <c r="BL16">
        <v>0.38688783076898015</v>
      </c>
    </row>
    <row r="17" spans="2:64" x14ac:dyDescent="0.45">
      <c r="B17" t="s">
        <v>108</v>
      </c>
      <c r="C17" t="s">
        <v>95</v>
      </c>
      <c r="D17">
        <v>0</v>
      </c>
      <c r="E17">
        <v>0.4182740282450137</v>
      </c>
      <c r="F17">
        <v>0.95041073355139916</v>
      </c>
      <c r="G17">
        <v>0.88856519737676765</v>
      </c>
      <c r="H17">
        <v>0.24323019373836341</v>
      </c>
      <c r="I17">
        <v>0.67860023066502373</v>
      </c>
      <c r="J17">
        <v>0.80058709888527579</v>
      </c>
      <c r="K17">
        <v>0.19699582783041616</v>
      </c>
      <c r="L17">
        <v>0.60159852177973394</v>
      </c>
      <c r="M17">
        <v>0.98076923076923084</v>
      </c>
      <c r="N17">
        <v>0.34541613303633978</v>
      </c>
      <c r="O17">
        <v>0.8776793042711255</v>
      </c>
      <c r="AU17" t="s">
        <v>108</v>
      </c>
      <c r="AV17">
        <v>0</v>
      </c>
      <c r="AW17">
        <v>0.14905868047251639</v>
      </c>
      <c r="AX17">
        <v>1.941472100000807E-3</v>
      </c>
      <c r="AY17">
        <v>2.1427247809181495E-3</v>
      </c>
      <c r="AZ17">
        <v>0.31582003575721485</v>
      </c>
      <c r="BA17">
        <v>2.8793519211642533E-2</v>
      </c>
      <c r="BB17">
        <v>4.8955773304362486E-3</v>
      </c>
      <c r="BC17">
        <v>0.3840361154980389</v>
      </c>
      <c r="BD17">
        <v>5.084978306474297E-2</v>
      </c>
      <c r="BE17">
        <v>6.0447240238464991E-5</v>
      </c>
      <c r="BF17">
        <v>0.2163804975730701</v>
      </c>
      <c r="BG17">
        <v>6.404568673264696E-3</v>
      </c>
      <c r="BI17" t="s">
        <v>108</v>
      </c>
      <c r="BJ17" t="s">
        <v>99</v>
      </c>
      <c r="BK17" t="s">
        <v>100</v>
      </c>
      <c r="BL17">
        <v>0.3662966781743377</v>
      </c>
    </row>
    <row r="18" spans="2:64" x14ac:dyDescent="0.45">
      <c r="B18" t="s">
        <v>109</v>
      </c>
      <c r="C18" t="s">
        <v>95</v>
      </c>
      <c r="D18">
        <v>0</v>
      </c>
      <c r="E18">
        <v>0.41961565488764396</v>
      </c>
      <c r="F18">
        <v>0.94500351161459262</v>
      </c>
      <c r="G18">
        <v>0.89964392395514614</v>
      </c>
      <c r="H18">
        <v>0.23867044772511342</v>
      </c>
      <c r="I18">
        <v>0.67311811107936326</v>
      </c>
      <c r="J18">
        <v>0.81018486884048369</v>
      </c>
      <c r="K18">
        <v>0.19826331112734261</v>
      </c>
      <c r="L18">
        <v>0.59838131404926953</v>
      </c>
      <c r="M18">
        <v>0.98593171319189588</v>
      </c>
      <c r="N18">
        <v>0.33081322636194338</v>
      </c>
      <c r="O18">
        <v>0.86155270380777693</v>
      </c>
      <c r="AU18" t="s">
        <v>109</v>
      </c>
      <c r="AV18">
        <v>0</v>
      </c>
      <c r="AW18">
        <v>0.15571874866598712</v>
      </c>
      <c r="AX18">
        <v>2.7768133887643995E-3</v>
      </c>
      <c r="AY18">
        <v>1.7415908502654287E-3</v>
      </c>
      <c r="AZ18">
        <v>0.33236970382879016</v>
      </c>
      <c r="BA18">
        <v>3.4917667742540848E-2</v>
      </c>
      <c r="BB18">
        <v>4.0149301830289339E-3</v>
      </c>
      <c r="BC18">
        <v>0.39382799598511492</v>
      </c>
      <c r="BD18">
        <v>5.8082624255146681E-2</v>
      </c>
      <c r="BE18">
        <v>3.0675716783952614E-5</v>
      </c>
      <c r="BF18">
        <v>0.2162008099023808</v>
      </c>
      <c r="BG18">
        <v>8.5929704983969905E-3</v>
      </c>
      <c r="BI18" t="s">
        <v>109</v>
      </c>
      <c r="BJ18" t="s">
        <v>99</v>
      </c>
      <c r="BK18" t="s">
        <v>100</v>
      </c>
      <c r="BL18">
        <v>0.3784412028648943</v>
      </c>
    </row>
    <row r="19" spans="2:64" x14ac:dyDescent="0.45">
      <c r="B19" t="s">
        <v>110</v>
      </c>
      <c r="C19" t="s">
        <v>95</v>
      </c>
      <c r="D19">
        <v>0</v>
      </c>
      <c r="E19">
        <v>0.41104187953575505</v>
      </c>
      <c r="F19">
        <v>0.89077863624114628</v>
      </c>
      <c r="G19">
        <v>0.93317633533111966</v>
      </c>
      <c r="H19">
        <v>0.24411202989761413</v>
      </c>
      <c r="I19">
        <v>0.65086635038477569</v>
      </c>
      <c r="J19">
        <v>0.86116927619656214</v>
      </c>
      <c r="K19">
        <v>0.19720758001470262</v>
      </c>
      <c r="L19">
        <v>0.58318954241083876</v>
      </c>
      <c r="M19">
        <v>0</v>
      </c>
      <c r="N19">
        <v>0.31873399853822293</v>
      </c>
      <c r="O19">
        <v>0.81911370574866882</v>
      </c>
      <c r="AU19" t="s">
        <v>110</v>
      </c>
      <c r="AV19">
        <v>0</v>
      </c>
      <c r="AW19">
        <v>0.17978784665020839</v>
      </c>
      <c r="AX19">
        <v>7.6221795378581944E-3</v>
      </c>
      <c r="AY19">
        <v>8.8775955812818365E-4</v>
      </c>
      <c r="AZ19">
        <v>0.37187620926024445</v>
      </c>
      <c r="BA19">
        <v>5.3277762910414236E-2</v>
      </c>
      <c r="BB19">
        <v>2.1337405801902794E-3</v>
      </c>
      <c r="BC19">
        <v>0.42014053437658727</v>
      </c>
      <c r="BD19">
        <v>7.9349077719012534E-2</v>
      </c>
      <c r="BE19">
        <v>0</v>
      </c>
      <c r="BF19">
        <v>0.2626900575011431</v>
      </c>
      <c r="BG19">
        <v>1.7492783454339637E-2</v>
      </c>
      <c r="BI19" t="s">
        <v>110</v>
      </c>
      <c r="BJ19" t="s">
        <v>99</v>
      </c>
      <c r="BK19" t="s">
        <v>100</v>
      </c>
      <c r="BL19">
        <v>0.39715850466399755</v>
      </c>
    </row>
    <row r="20" spans="2:64" x14ac:dyDescent="0.45">
      <c r="B20" t="s">
        <v>111</v>
      </c>
      <c r="C20" t="s">
        <v>95</v>
      </c>
      <c r="D20">
        <v>0</v>
      </c>
      <c r="E20">
        <v>0.43435642368454142</v>
      </c>
      <c r="F20">
        <v>0.93086708366237714</v>
      </c>
      <c r="G20">
        <v>0.91445149821933924</v>
      </c>
      <c r="H20">
        <v>0.24963417078838085</v>
      </c>
      <c r="I20">
        <v>0.6638544902880319</v>
      </c>
      <c r="J20">
        <v>0.82539281972430667</v>
      </c>
      <c r="K20">
        <v>0.20606204026588737</v>
      </c>
      <c r="L20">
        <v>0.59569856341509786</v>
      </c>
      <c r="M20">
        <v>0.99313186813186816</v>
      </c>
      <c r="N20">
        <v>0.33476835003993538</v>
      </c>
      <c r="O20">
        <v>0.84609794181959685</v>
      </c>
      <c r="AU20" t="s">
        <v>111</v>
      </c>
      <c r="AV20">
        <v>0</v>
      </c>
      <c r="AW20">
        <v>0.16332299048502208</v>
      </c>
      <c r="AX20">
        <v>4.302880866229551E-3</v>
      </c>
      <c r="AY20">
        <v>1.3300515096781517E-3</v>
      </c>
      <c r="AZ20">
        <v>0.34188336920491746</v>
      </c>
      <c r="BA20">
        <v>4.0898645538753574E-2</v>
      </c>
      <c r="BB20">
        <v>3.1056645961022762E-3</v>
      </c>
      <c r="BC20">
        <v>0.3997132104030186</v>
      </c>
      <c r="BD20">
        <v>6.5139800574948933E-2</v>
      </c>
      <c r="BE20">
        <v>4.3791980019182915E-6</v>
      </c>
      <c r="BF20">
        <v>0.23097518284378651</v>
      </c>
      <c r="BG20">
        <v>1.217300519415504E-2</v>
      </c>
      <c r="BI20" t="s">
        <v>111</v>
      </c>
      <c r="BJ20" t="s">
        <v>99</v>
      </c>
      <c r="BK20" t="s">
        <v>100</v>
      </c>
      <c r="BL20">
        <v>0.38672431410412805</v>
      </c>
    </row>
    <row r="21" spans="2:64" x14ac:dyDescent="0.45">
      <c r="B21" t="s">
        <v>112</v>
      </c>
      <c r="C21" t="s">
        <v>95</v>
      </c>
      <c r="D21">
        <v>0</v>
      </c>
      <c r="E21">
        <v>0.42455601766090367</v>
      </c>
      <c r="F21">
        <v>0.92811413258176845</v>
      </c>
      <c r="G21">
        <v>0.91080416758819571</v>
      </c>
      <c r="H21">
        <v>0.24946906208198097</v>
      </c>
      <c r="I21">
        <v>0.6632683013853965</v>
      </c>
      <c r="J21">
        <v>0.82158676125880059</v>
      </c>
      <c r="K21">
        <v>0.20129886070217484</v>
      </c>
      <c r="L21">
        <v>0.59364396400783925</v>
      </c>
      <c r="M21">
        <v>0.99313186813186816</v>
      </c>
      <c r="N21">
        <v>0.32976295188816118</v>
      </c>
      <c r="O21">
        <v>0.84409358330541229</v>
      </c>
      <c r="AU21" t="s">
        <v>112</v>
      </c>
      <c r="AV21">
        <v>0</v>
      </c>
      <c r="AW21">
        <v>0.16333729104802397</v>
      </c>
      <c r="AX21">
        <v>4.1231970930962949E-3</v>
      </c>
      <c r="AY21">
        <v>1.3068435424268795E-3</v>
      </c>
      <c r="AZ21">
        <v>0.37168181766853098</v>
      </c>
      <c r="BA21">
        <v>4.665046812708773E-2</v>
      </c>
      <c r="BB21">
        <v>3.1307240342614488E-3</v>
      </c>
      <c r="BC21">
        <v>0.42442313146465982</v>
      </c>
      <c r="BD21">
        <v>7.2398522584748937E-2</v>
      </c>
      <c r="BE21">
        <v>5.0005067221057498E-6</v>
      </c>
      <c r="BF21">
        <v>0.23461730133859371</v>
      </c>
      <c r="BG21">
        <v>1.2576686807746307E-2</v>
      </c>
      <c r="BI21" t="s">
        <v>112</v>
      </c>
      <c r="BJ21" t="s">
        <v>99</v>
      </c>
      <c r="BK21" t="s">
        <v>100</v>
      </c>
      <c r="BL21">
        <v>0.39968745746910495</v>
      </c>
    </row>
    <row r="22" spans="2:64" x14ac:dyDescent="0.45">
      <c r="B22" t="s">
        <v>113</v>
      </c>
      <c r="C22" t="s">
        <v>95</v>
      </c>
      <c r="D22">
        <v>0</v>
      </c>
      <c r="E22">
        <v>0.44260213514373581</v>
      </c>
      <c r="F22">
        <v>0.95908173358471027</v>
      </c>
      <c r="G22">
        <v>0.87860112746624286</v>
      </c>
      <c r="H22">
        <v>0.2572750145003378</v>
      </c>
      <c r="I22">
        <v>0.70724423156512839</v>
      </c>
      <c r="J22">
        <v>0.79545095893979478</v>
      </c>
      <c r="K22">
        <v>0.18683040380429214</v>
      </c>
      <c r="L22">
        <v>0.61958300868611837</v>
      </c>
      <c r="M22">
        <v>0.97382374379983494</v>
      </c>
      <c r="N22">
        <v>0.34720540258249477</v>
      </c>
      <c r="O22">
        <v>0.89489842448627355</v>
      </c>
      <c r="AU22" t="s">
        <v>113</v>
      </c>
      <c r="AV22">
        <v>0</v>
      </c>
      <c r="AW22">
        <v>0.13811662811850489</v>
      </c>
      <c r="AX22">
        <v>1.0964725993606876E-3</v>
      </c>
      <c r="AY22">
        <v>2.9339111606266929E-3</v>
      </c>
      <c r="AZ22">
        <v>0.33206021269504149</v>
      </c>
      <c r="BA22">
        <v>2.234328535704001E-2</v>
      </c>
      <c r="BB22">
        <v>6.9578982354317172E-3</v>
      </c>
      <c r="BC22">
        <v>0.40603167370604704</v>
      </c>
      <c r="BD22">
        <v>4.2254582457453928E-2</v>
      </c>
      <c r="BE22">
        <v>1.7108025621926588E-4</v>
      </c>
      <c r="BF22">
        <v>0.210618457066891</v>
      </c>
      <c r="BG22">
        <v>4.7774455396966354E-3</v>
      </c>
      <c r="BI22" t="s">
        <v>113</v>
      </c>
      <c r="BJ22" t="s">
        <v>99</v>
      </c>
      <c r="BK22" t="s">
        <v>100</v>
      </c>
      <c r="BL22">
        <v>0.39610589440900151</v>
      </c>
    </row>
    <row r="23" spans="2:64" x14ac:dyDescent="0.45">
      <c r="B23" t="s">
        <v>114</v>
      </c>
      <c r="C23" t="s">
        <v>95</v>
      </c>
      <c r="D23">
        <v>0</v>
      </c>
      <c r="E23">
        <v>0.40581891013066063</v>
      </c>
      <c r="F23">
        <v>0.95722050752355703</v>
      </c>
      <c r="G23">
        <v>0.87529419760123051</v>
      </c>
      <c r="H23">
        <v>0.25186069735768146</v>
      </c>
      <c r="I23">
        <v>0.71425670245720763</v>
      </c>
      <c r="J23">
        <v>0.79667228914397081</v>
      </c>
      <c r="K23">
        <v>0.17733866634758064</v>
      </c>
      <c r="L23">
        <v>0.62597342077279228</v>
      </c>
      <c r="M23">
        <v>0.96887717025172992</v>
      </c>
      <c r="N23">
        <v>0.34600979909484053</v>
      </c>
      <c r="O23">
        <v>0.8950043615308938</v>
      </c>
      <c r="AU23" t="s">
        <v>114</v>
      </c>
      <c r="AV23">
        <v>0</v>
      </c>
      <c r="AW23">
        <v>0.17424510316888714</v>
      </c>
      <c r="AX23">
        <v>1.5334445394397257E-3</v>
      </c>
      <c r="AY23">
        <v>3.0081557312747224E-3</v>
      </c>
      <c r="AZ23">
        <v>0.32938024500363988</v>
      </c>
      <c r="BA23">
        <v>2.0968304560335053E-2</v>
      </c>
      <c r="BB23">
        <v>7.1338470708533688E-3</v>
      </c>
      <c r="BC23">
        <v>0.41558946638939687</v>
      </c>
      <c r="BD23">
        <v>4.1438912031915465E-2</v>
      </c>
      <c r="BE23">
        <v>2.0544530521417954E-4</v>
      </c>
      <c r="BF23">
        <v>0.2265109565137306</v>
      </c>
      <c r="BG23">
        <v>4.7375892402541035E-3</v>
      </c>
      <c r="BI23" t="s">
        <v>114</v>
      </c>
      <c r="BJ23" t="s">
        <v>99</v>
      </c>
      <c r="BK23" t="s">
        <v>100</v>
      </c>
      <c r="BL23">
        <v>0.40204895933967377</v>
      </c>
    </row>
    <row r="24" spans="2:64" x14ac:dyDescent="0.45">
      <c r="B24" t="s">
        <v>115</v>
      </c>
      <c r="C24" t="s">
        <v>95</v>
      </c>
      <c r="D24">
        <v>0</v>
      </c>
      <c r="E24">
        <v>0.43800497113851172</v>
      </c>
      <c r="F24">
        <v>0.95083077809329131</v>
      </c>
      <c r="G24">
        <v>0.89310689793401976</v>
      </c>
      <c r="H24">
        <v>0.25239036870151765</v>
      </c>
      <c r="I24">
        <v>0.67991156092931104</v>
      </c>
      <c r="J24">
        <v>0.80503596580010006</v>
      </c>
      <c r="K24">
        <v>0.18621023810996212</v>
      </c>
      <c r="L24">
        <v>0.61033059749905016</v>
      </c>
      <c r="M24">
        <v>0.98349441549473815</v>
      </c>
      <c r="N24">
        <v>0.34113606173038341</v>
      </c>
      <c r="O24">
        <v>0.87521954795360779</v>
      </c>
      <c r="AU24" t="s">
        <v>115</v>
      </c>
      <c r="AV24">
        <v>0</v>
      </c>
      <c r="AW24">
        <v>0.14983603007164167</v>
      </c>
      <c r="AX24">
        <v>2.2704179944598069E-3</v>
      </c>
      <c r="AY24">
        <v>2.1391914403568711E-3</v>
      </c>
      <c r="AZ24">
        <v>0.32596345187321946</v>
      </c>
      <c r="BA24">
        <v>2.7431024276943369E-2</v>
      </c>
      <c r="BB24">
        <v>4.804326219259877E-3</v>
      </c>
      <c r="BC24">
        <v>0.41234054313024443</v>
      </c>
      <c r="BD24">
        <v>5.0215620943160129E-2</v>
      </c>
      <c r="BE24">
        <v>6.2931443842071641E-5</v>
      </c>
      <c r="BF24">
        <v>0.22379580756426634</v>
      </c>
      <c r="BG24">
        <v>6.340986743405122E-3</v>
      </c>
      <c r="BI24" t="s">
        <v>115</v>
      </c>
      <c r="BJ24" t="s">
        <v>99</v>
      </c>
      <c r="BK24" t="s">
        <v>100</v>
      </c>
      <c r="BL24">
        <v>0.39628740584895367</v>
      </c>
    </row>
    <row r="25" spans="2:64" x14ac:dyDescent="0.45">
      <c r="B25" t="s">
        <v>116</v>
      </c>
      <c r="C25" t="s">
        <v>95</v>
      </c>
      <c r="D25">
        <v>0</v>
      </c>
      <c r="E25">
        <v>0.44377185743621356</v>
      </c>
      <c r="F25">
        <v>0.95257693434828494</v>
      </c>
      <c r="G25">
        <v>0.88778891029298945</v>
      </c>
      <c r="H25">
        <v>0.257068429245979</v>
      </c>
      <c r="I25">
        <v>0.69392950409308296</v>
      </c>
      <c r="J25">
        <v>0.79832179395432468</v>
      </c>
      <c r="K25">
        <v>0.19351093552441326</v>
      </c>
      <c r="L25">
        <v>0.61365354664228722</v>
      </c>
      <c r="M25">
        <v>0.97807243450914649</v>
      </c>
      <c r="N25">
        <v>0.34461400238013828</v>
      </c>
      <c r="O25">
        <v>0.8897327549501054</v>
      </c>
      <c r="AU25" t="s">
        <v>116</v>
      </c>
      <c r="AV25">
        <v>0</v>
      </c>
      <c r="AW25">
        <v>0.14677323388632557</v>
      </c>
      <c r="AX25">
        <v>1.5420312921588975E-3</v>
      </c>
      <c r="AY25">
        <v>2.3232128158089406E-3</v>
      </c>
      <c r="AZ25">
        <v>0.32250442520650263</v>
      </c>
      <c r="BA25">
        <v>2.5263463072315383E-2</v>
      </c>
      <c r="BB25">
        <v>5.6000902161359159E-3</v>
      </c>
      <c r="BC25">
        <v>0.40153267444625479</v>
      </c>
      <c r="BD25">
        <v>4.5737827496265065E-2</v>
      </c>
      <c r="BE25">
        <v>8.4117034376984652E-5</v>
      </c>
      <c r="BF25">
        <v>0.21070598853563274</v>
      </c>
      <c r="BG25">
        <v>5.4190120120872747E-3</v>
      </c>
      <c r="BI25" t="s">
        <v>116</v>
      </c>
      <c r="BJ25" t="s">
        <v>99</v>
      </c>
      <c r="BK25" t="s">
        <v>100</v>
      </c>
      <c r="BL25">
        <v>0.3860279744910935</v>
      </c>
    </row>
    <row r="26" spans="2:64" x14ac:dyDescent="0.45">
      <c r="B26" t="s">
        <v>117</v>
      </c>
      <c r="C26" t="s">
        <v>95</v>
      </c>
      <c r="D26">
        <v>0</v>
      </c>
      <c r="E26">
        <v>0.42420801824374677</v>
      </c>
      <c r="F26">
        <v>0.95135407358077917</v>
      </c>
      <c r="G26">
        <v>0.89323267235080661</v>
      </c>
      <c r="H26">
        <v>0.26359683091762026</v>
      </c>
      <c r="I26">
        <v>0.6953860905971001</v>
      </c>
      <c r="J26">
        <v>0.80218362977561308</v>
      </c>
      <c r="K26">
        <v>0.18520116230380804</v>
      </c>
      <c r="L26">
        <v>0.61661304754725077</v>
      </c>
      <c r="M26">
        <v>0.97884614619262877</v>
      </c>
      <c r="N26">
        <v>0.35405662383390935</v>
      </c>
      <c r="O26">
        <v>0.88618334482102068</v>
      </c>
      <c r="AU26" t="s">
        <v>117</v>
      </c>
      <c r="AV26">
        <v>0</v>
      </c>
      <c r="AW26">
        <v>0.17519498077540654</v>
      </c>
      <c r="AX26">
        <v>2.5754273122337453E-3</v>
      </c>
      <c r="AY26">
        <v>2.1840011533098957E-3</v>
      </c>
      <c r="AZ26">
        <v>0.31993465993952414</v>
      </c>
      <c r="BA26">
        <v>2.4064317746852713E-2</v>
      </c>
      <c r="BB26">
        <v>5.194490174550744E-3</v>
      </c>
      <c r="BC26">
        <v>0.41812112534377771</v>
      </c>
      <c r="BD26">
        <v>4.6918696272342734E-2</v>
      </c>
      <c r="BE26">
        <v>7.5211608771403319E-5</v>
      </c>
      <c r="BF26">
        <v>0.23077586384597587</v>
      </c>
      <c r="BG26">
        <v>6.1380737700553406E-3</v>
      </c>
      <c r="BI26" t="s">
        <v>117</v>
      </c>
      <c r="BJ26" t="s">
        <v>99</v>
      </c>
      <c r="BK26" t="s">
        <v>100</v>
      </c>
      <c r="BL26">
        <v>0.396554103838132</v>
      </c>
    </row>
    <row r="27" spans="2:64" x14ac:dyDescent="0.45">
      <c r="B27" t="s">
        <v>118</v>
      </c>
      <c r="C27" t="s">
        <v>95</v>
      </c>
      <c r="D27">
        <v>0</v>
      </c>
      <c r="E27">
        <v>0.41456901328845031</v>
      </c>
      <c r="F27">
        <v>0.9464886519566702</v>
      </c>
      <c r="G27">
        <v>0.90269595787353796</v>
      </c>
      <c r="H27">
        <v>0.25661669008360649</v>
      </c>
      <c r="I27">
        <v>0.68484176352068171</v>
      </c>
      <c r="J27">
        <v>0.81163853028977162</v>
      </c>
      <c r="K27">
        <v>0.18435612027440124</v>
      </c>
      <c r="L27">
        <v>0.61571956712065101</v>
      </c>
      <c r="M27">
        <v>0.98326004726816063</v>
      </c>
      <c r="N27">
        <v>0.34024542703157495</v>
      </c>
      <c r="O27">
        <v>0.87191430977680007</v>
      </c>
      <c r="AU27" t="s">
        <v>118</v>
      </c>
      <c r="AV27">
        <v>0</v>
      </c>
      <c r="AW27">
        <v>0.17218910321626774</v>
      </c>
      <c r="AX27">
        <v>3.02617745734862E-3</v>
      </c>
      <c r="AY27">
        <v>1.8034602673835196E-3</v>
      </c>
      <c r="AZ27">
        <v>0.3283318003033508</v>
      </c>
      <c r="BA27">
        <v>2.8752821925127816E-2</v>
      </c>
      <c r="BB27">
        <v>4.2416479407386704E-3</v>
      </c>
      <c r="BC27">
        <v>0.42134117357566125</v>
      </c>
      <c r="BD27">
        <v>5.1196531031957905E-2</v>
      </c>
      <c r="BE27">
        <v>4.6329566956368263E-5</v>
      </c>
      <c r="BF27">
        <v>0.23694418711162807</v>
      </c>
      <c r="BG27">
        <v>7.3453901709389308E-3</v>
      </c>
      <c r="BI27" t="s">
        <v>118</v>
      </c>
      <c r="BJ27" t="s">
        <v>99</v>
      </c>
      <c r="BK27" t="s">
        <v>100</v>
      </c>
      <c r="BL27">
        <v>0.40995548603310206</v>
      </c>
    </row>
    <row r="28" spans="2:64" x14ac:dyDescent="0.45">
      <c r="B28" t="s">
        <v>119</v>
      </c>
      <c r="C28" t="s">
        <v>95</v>
      </c>
      <c r="D28">
        <v>0</v>
      </c>
      <c r="E28">
        <v>0.29876088634348874</v>
      </c>
      <c r="F28">
        <v>0.94729055919945393</v>
      </c>
      <c r="G28">
        <v>0.87763515268256076</v>
      </c>
      <c r="H28">
        <v>0.20514102621785058</v>
      </c>
      <c r="I28">
        <v>0.74718523709134754</v>
      </c>
      <c r="J28">
        <v>0.80264488774361875</v>
      </c>
      <c r="K28">
        <v>0.13407611659279103</v>
      </c>
      <c r="L28">
        <v>0.66533607713478482</v>
      </c>
      <c r="M28">
        <v>0.95732824551829265</v>
      </c>
      <c r="N28">
        <v>0.24123920462902818</v>
      </c>
      <c r="O28">
        <v>0.90037627167050649</v>
      </c>
      <c r="AU28" t="s">
        <v>119</v>
      </c>
      <c r="AV28">
        <v>0</v>
      </c>
      <c r="AW28">
        <v>0.2896413022865007</v>
      </c>
      <c r="AX28">
        <v>2.4422627892790897E-3</v>
      </c>
      <c r="AY28">
        <v>4.4275869042017012E-3</v>
      </c>
      <c r="AZ28">
        <v>0.42474760193656996</v>
      </c>
      <c r="BA28">
        <v>2.4079209909363474E-2</v>
      </c>
      <c r="BB28">
        <v>8.2266930685332487E-3</v>
      </c>
      <c r="BC28">
        <v>0.49948910501798888</v>
      </c>
      <c r="BD28">
        <v>3.9376898252534112E-2</v>
      </c>
      <c r="BE28">
        <v>6.9063459532855119E-4</v>
      </c>
      <c r="BF28">
        <v>0.35488592840489497</v>
      </c>
      <c r="BG28">
        <v>5.6799975537451114E-3</v>
      </c>
      <c r="BI28" t="s">
        <v>119</v>
      </c>
      <c r="BJ28" t="s">
        <v>99</v>
      </c>
      <c r="BK28" t="s">
        <v>100</v>
      </c>
      <c r="BL28">
        <v>0.43528125846355653</v>
      </c>
    </row>
    <row r="29" spans="2:64" x14ac:dyDescent="0.45">
      <c r="B29" t="s">
        <v>120</v>
      </c>
      <c r="C29" t="s">
        <v>95</v>
      </c>
      <c r="D29">
        <v>0</v>
      </c>
      <c r="E29">
        <v>0.30893126038075641</v>
      </c>
      <c r="F29">
        <v>0.93796753121888665</v>
      </c>
      <c r="G29">
        <v>0.88563390593413627</v>
      </c>
      <c r="H29">
        <v>0.22798558594691717</v>
      </c>
      <c r="I29">
        <v>0.71529963634940119</v>
      </c>
      <c r="J29">
        <v>0.80522154911155308</v>
      </c>
      <c r="K29">
        <v>0.14131798773472029</v>
      </c>
      <c r="L29">
        <v>0.63571548465816929</v>
      </c>
      <c r="M29">
        <v>0.96682470196475812</v>
      </c>
      <c r="N29">
        <v>0.26026911602094327</v>
      </c>
      <c r="O29">
        <v>0.87854404573339084</v>
      </c>
      <c r="AU29" t="s">
        <v>120</v>
      </c>
      <c r="AV29">
        <v>0</v>
      </c>
      <c r="AW29">
        <v>0.31656472542567693</v>
      </c>
      <c r="AX29">
        <v>4.1935290460534229E-3</v>
      </c>
      <c r="AY29">
        <v>3.0940986693372176E-3</v>
      </c>
      <c r="AZ29">
        <v>0.41274941329442233</v>
      </c>
      <c r="BA29">
        <v>2.9515452782746358E-2</v>
      </c>
      <c r="BB29">
        <v>5.9817410024198938E-3</v>
      </c>
      <c r="BC29">
        <v>0.48125037011329452</v>
      </c>
      <c r="BD29">
        <v>4.5467546029513362E-2</v>
      </c>
      <c r="BE29">
        <v>2.147023522307798E-4</v>
      </c>
      <c r="BF29">
        <v>0.32769158764895528</v>
      </c>
      <c r="BG29">
        <v>7.8391009998604235E-3</v>
      </c>
      <c r="BI29" t="s">
        <v>120</v>
      </c>
      <c r="BJ29" t="s">
        <v>99</v>
      </c>
      <c r="BK29" t="s">
        <v>100</v>
      </c>
      <c r="BL29">
        <v>0.41671326375789958</v>
      </c>
    </row>
    <row r="30" spans="2:64" x14ac:dyDescent="0.45">
      <c r="B30" t="s">
        <v>121</v>
      </c>
      <c r="C30" t="s">
        <v>95</v>
      </c>
      <c r="D30">
        <v>0</v>
      </c>
      <c r="E30">
        <v>0.28853481962982863</v>
      </c>
      <c r="F30">
        <v>0.88690781106034955</v>
      </c>
      <c r="G30">
        <v>0.92238557520111408</v>
      </c>
      <c r="H30">
        <v>0.22126523416346025</v>
      </c>
      <c r="I30">
        <v>0.67728513020719427</v>
      </c>
      <c r="J30">
        <v>0.84598118508974307</v>
      </c>
      <c r="K30">
        <v>0.15701499891418397</v>
      </c>
      <c r="L30">
        <v>0.62135262429298999</v>
      </c>
      <c r="M30">
        <v>0.98763736263736279</v>
      </c>
      <c r="N30">
        <v>0.25011062140659918</v>
      </c>
      <c r="O30">
        <v>0.82596820659278014</v>
      </c>
      <c r="AU30" t="s">
        <v>121</v>
      </c>
      <c r="AV30">
        <v>0</v>
      </c>
      <c r="AW30">
        <v>0.32288782294384077</v>
      </c>
      <c r="AX30">
        <v>8.7705979755740553E-3</v>
      </c>
      <c r="AY30">
        <v>1.2573267731874344E-3</v>
      </c>
      <c r="AZ30">
        <v>0.41167998569318931</v>
      </c>
      <c r="BA30">
        <v>3.9422848944474398E-2</v>
      </c>
      <c r="BB30">
        <v>2.8285070452596724E-3</v>
      </c>
      <c r="BC30">
        <v>0.46779806534862373</v>
      </c>
      <c r="BD30">
        <v>5.6749595323028097E-2</v>
      </c>
      <c r="BE30">
        <v>1.6069036992895158E-5</v>
      </c>
      <c r="BF30">
        <v>0.35570428993495889</v>
      </c>
      <c r="BG30">
        <v>1.3822545218951461E-2</v>
      </c>
      <c r="BI30" t="s">
        <v>121</v>
      </c>
      <c r="BJ30" t="s">
        <v>99</v>
      </c>
      <c r="BK30" t="s">
        <v>100</v>
      </c>
      <c r="BL30">
        <v>0.4358023990826293</v>
      </c>
    </row>
    <row r="31" spans="2:64" x14ac:dyDescent="0.45">
      <c r="B31" t="s">
        <v>122</v>
      </c>
      <c r="C31" t="s">
        <v>95</v>
      </c>
      <c r="D31">
        <v>0</v>
      </c>
      <c r="E31">
        <v>0.31508528819730108</v>
      </c>
      <c r="F31">
        <v>0.92571763012039554</v>
      </c>
      <c r="G31">
        <v>0.90100627748819884</v>
      </c>
      <c r="H31">
        <v>0.23464537514851369</v>
      </c>
      <c r="I31">
        <v>0.69515500149150777</v>
      </c>
      <c r="J31">
        <v>0.81707067148904744</v>
      </c>
      <c r="K31">
        <v>0.15235846853546794</v>
      </c>
      <c r="L31">
        <v>0.62826039220284424</v>
      </c>
      <c r="M31">
        <v>0.98069942728156179</v>
      </c>
      <c r="N31">
        <v>0.27188055769548247</v>
      </c>
      <c r="O31">
        <v>0.85466950747747428</v>
      </c>
      <c r="AU31" t="s">
        <v>122</v>
      </c>
      <c r="AV31">
        <v>0</v>
      </c>
      <c r="AW31">
        <v>0.29620940094963899</v>
      </c>
      <c r="AX31">
        <v>6.3850895977049967E-3</v>
      </c>
      <c r="AY31">
        <v>1.8594710771156191E-3</v>
      </c>
      <c r="AZ31">
        <v>0.39289522786103753</v>
      </c>
      <c r="BA31">
        <v>3.4786436292423888E-2</v>
      </c>
      <c r="BB31">
        <v>3.9243893837068123E-3</v>
      </c>
      <c r="BC31">
        <v>0.48841111413270577</v>
      </c>
      <c r="BD31">
        <v>5.443380998294084E-2</v>
      </c>
      <c r="BE31">
        <v>5.7767923117790607E-5</v>
      </c>
      <c r="BF31">
        <v>0.31987016555850301</v>
      </c>
      <c r="BG31">
        <v>1.0102133687013303E-2</v>
      </c>
      <c r="BI31" t="s">
        <v>122</v>
      </c>
      <c r="BJ31" t="s">
        <v>99</v>
      </c>
      <c r="BK31" t="s">
        <v>100</v>
      </c>
      <c r="BL31">
        <v>0.44273546003840386</v>
      </c>
    </row>
    <row r="32" spans="2:64" x14ac:dyDescent="0.45">
      <c r="B32" t="s">
        <v>123</v>
      </c>
      <c r="C32" t="s">
        <v>95</v>
      </c>
      <c r="D32">
        <v>0</v>
      </c>
      <c r="E32">
        <v>0.35503067931407106</v>
      </c>
      <c r="F32">
        <v>0.90892709466543242</v>
      </c>
      <c r="G32">
        <v>0.92775947975754081</v>
      </c>
      <c r="H32">
        <v>0.2461136494758861</v>
      </c>
      <c r="I32">
        <v>0.68072742530130914</v>
      </c>
      <c r="J32">
        <v>0.8587363752945204</v>
      </c>
      <c r="K32">
        <v>0.18580452395543576</v>
      </c>
      <c r="L32">
        <v>0.62123840039609035</v>
      </c>
      <c r="M32">
        <v>0.99450549450549464</v>
      </c>
      <c r="N32">
        <v>0.3181971986891034</v>
      </c>
      <c r="O32">
        <v>0.8329657266042334</v>
      </c>
      <c r="AU32" t="s">
        <v>123</v>
      </c>
      <c r="AV32">
        <v>0</v>
      </c>
      <c r="AW32">
        <v>0.25323503620876209</v>
      </c>
      <c r="AX32">
        <v>7.3192174549888663E-3</v>
      </c>
      <c r="AY32">
        <v>1.0192382294376379E-3</v>
      </c>
      <c r="AZ32">
        <v>0.37464065872212832</v>
      </c>
      <c r="BA32">
        <v>3.7624331524135343E-2</v>
      </c>
      <c r="BB32">
        <v>2.3099463075475389E-3</v>
      </c>
      <c r="BC32">
        <v>0.44023003400272886</v>
      </c>
      <c r="BD32">
        <v>5.6926227448375583E-2</v>
      </c>
      <c r="BE32">
        <v>5.3662929481032313E-6</v>
      </c>
      <c r="BF32">
        <v>0.27430641511337506</v>
      </c>
      <c r="BG32">
        <v>1.2108742931177183E-2</v>
      </c>
      <c r="BI32" t="s">
        <v>123</v>
      </c>
      <c r="BJ32" t="s">
        <v>99</v>
      </c>
      <c r="BK32" t="s">
        <v>100</v>
      </c>
      <c r="BL32">
        <v>0.41270511074284078</v>
      </c>
    </row>
    <row r="33" spans="2:64" x14ac:dyDescent="0.45">
      <c r="B33" t="s">
        <v>124</v>
      </c>
      <c r="C33" t="s">
        <v>95</v>
      </c>
      <c r="D33">
        <v>0</v>
      </c>
      <c r="E33">
        <v>0.34071877227014963</v>
      </c>
      <c r="F33">
        <v>0.88251588002431303</v>
      </c>
      <c r="G33">
        <v>0.93613370714411037</v>
      </c>
      <c r="H33">
        <v>0.25361508167936081</v>
      </c>
      <c r="I33">
        <v>0.66588955499550573</v>
      </c>
      <c r="J33">
        <v>0.88434595582896469</v>
      </c>
      <c r="K33">
        <v>0.2008757653436499</v>
      </c>
      <c r="L33">
        <v>0.61665398715063025</v>
      </c>
      <c r="M33">
        <v>0</v>
      </c>
      <c r="N33">
        <v>0.30972232691640406</v>
      </c>
      <c r="O33">
        <v>0.82566925675894565</v>
      </c>
      <c r="AU33" t="s">
        <v>124</v>
      </c>
      <c r="AV33">
        <v>0</v>
      </c>
      <c r="AW33">
        <v>0.25847885561916034</v>
      </c>
      <c r="AX33">
        <v>8.4712642705192971E-3</v>
      </c>
      <c r="AY33">
        <v>7.6244088195848928E-4</v>
      </c>
      <c r="AZ33">
        <v>0.36182866612531395</v>
      </c>
      <c r="BA33">
        <v>4.2927124442992112E-2</v>
      </c>
      <c r="BB33">
        <v>1.8243158570083872E-3</v>
      </c>
      <c r="BC33">
        <v>0.42730315214875864</v>
      </c>
      <c r="BD33">
        <v>6.346507839661146E-2</v>
      </c>
      <c r="BE33">
        <v>0</v>
      </c>
      <c r="BF33">
        <v>0.28359119424922347</v>
      </c>
      <c r="BG33">
        <v>1.4776830695049486E-2</v>
      </c>
      <c r="BI33" t="s">
        <v>124</v>
      </c>
      <c r="BJ33" t="s">
        <v>99</v>
      </c>
      <c r="BK33" t="s">
        <v>100</v>
      </c>
      <c r="BL33">
        <v>0.41209975703258073</v>
      </c>
    </row>
    <row r="34" spans="2:64" x14ac:dyDescent="0.45">
      <c r="B34" t="s">
        <v>125</v>
      </c>
      <c r="C34" t="s">
        <v>95</v>
      </c>
      <c r="D34">
        <v>0</v>
      </c>
      <c r="E34">
        <v>0.3562047823427395</v>
      </c>
      <c r="F34">
        <v>0.89629440973953489</v>
      </c>
      <c r="G34">
        <v>0.93257591397604178</v>
      </c>
      <c r="H34">
        <v>0.23279006997931453</v>
      </c>
      <c r="I34">
        <v>0.66059908039938098</v>
      </c>
      <c r="J34">
        <v>0.87025146789386143</v>
      </c>
      <c r="K34">
        <v>0.1933878498222722</v>
      </c>
      <c r="L34">
        <v>0.61525000810983743</v>
      </c>
      <c r="M34">
        <v>0.99862637362637319</v>
      </c>
      <c r="N34">
        <v>0.30912766867756991</v>
      </c>
      <c r="O34">
        <v>0.82799137711617488</v>
      </c>
      <c r="AU34" t="s">
        <v>125</v>
      </c>
      <c r="AV34">
        <v>0</v>
      </c>
      <c r="AW34">
        <v>0.24467656198990073</v>
      </c>
      <c r="AX34">
        <v>7.9546252957995393E-3</v>
      </c>
      <c r="AY34">
        <v>9.1956860174185378E-4</v>
      </c>
      <c r="AZ34">
        <v>0.37174674744916991</v>
      </c>
      <c r="BA34">
        <v>4.2987783567284207E-2</v>
      </c>
      <c r="BB34">
        <v>2.034058040313147E-3</v>
      </c>
      <c r="BC34">
        <v>0.43257682794037489</v>
      </c>
      <c r="BD34">
        <v>6.3846605861622732E-2</v>
      </c>
      <c r="BE34">
        <v>2.1933390479339842E-7</v>
      </c>
      <c r="BF34">
        <v>0.27328121498306263</v>
      </c>
      <c r="BG34">
        <v>1.3747128655558931E-2</v>
      </c>
      <c r="BI34" t="s">
        <v>125</v>
      </c>
      <c r="BJ34" t="s">
        <v>99</v>
      </c>
      <c r="BK34" t="s">
        <v>100</v>
      </c>
      <c r="BL34">
        <v>0.4190812689881861</v>
      </c>
    </row>
    <row r="35" spans="2:64" x14ac:dyDescent="0.45">
      <c r="B35" t="s">
        <v>126</v>
      </c>
      <c r="C35" t="s">
        <v>95</v>
      </c>
      <c r="D35">
        <v>0</v>
      </c>
      <c r="E35">
        <v>0.3780538223944786</v>
      </c>
      <c r="F35">
        <v>0.9209911627839894</v>
      </c>
      <c r="G35">
        <v>0.92233824741108683</v>
      </c>
      <c r="H35">
        <v>0.24116053260006018</v>
      </c>
      <c r="I35">
        <v>0.67879989672522389</v>
      </c>
      <c r="J35">
        <v>0.84021439101774253</v>
      </c>
      <c r="K35">
        <v>0.18059825089231207</v>
      </c>
      <c r="L35">
        <v>0.62326691091297581</v>
      </c>
      <c r="M35">
        <v>0.99041198019855103</v>
      </c>
      <c r="N35">
        <v>0.32455353096198908</v>
      </c>
      <c r="O35">
        <v>0.84308014735269365</v>
      </c>
      <c r="AU35" t="s">
        <v>126</v>
      </c>
      <c r="AV35">
        <v>0</v>
      </c>
      <c r="AW35">
        <v>0.2297559648265449</v>
      </c>
      <c r="AX35">
        <v>6.5997760353047E-3</v>
      </c>
      <c r="AY35">
        <v>1.2263101693839563E-3</v>
      </c>
      <c r="AZ35">
        <v>0.36473800039627419</v>
      </c>
      <c r="BA35">
        <v>3.7096699744253836E-2</v>
      </c>
      <c r="BB35">
        <v>2.799584997963434E-3</v>
      </c>
      <c r="BC35">
        <v>0.44642365774166309</v>
      </c>
      <c r="BD35">
        <v>5.8046514982452668E-2</v>
      </c>
      <c r="BE35">
        <v>1.378357238392833E-5</v>
      </c>
      <c r="BF35">
        <v>0.27160085381996774</v>
      </c>
      <c r="BG35">
        <v>1.0283917931740133E-2</v>
      </c>
      <c r="BI35" t="s">
        <v>126</v>
      </c>
      <c r="BJ35" t="s">
        <v>99</v>
      </c>
      <c r="BK35" t="s">
        <v>100</v>
      </c>
      <c r="BL35">
        <v>0.41951589324936234</v>
      </c>
    </row>
    <row r="36" spans="2:64" x14ac:dyDescent="0.45">
      <c r="B36" t="s">
        <v>127</v>
      </c>
      <c r="C36" t="s">
        <v>95</v>
      </c>
      <c r="D36">
        <v>0</v>
      </c>
      <c r="E36">
        <v>0.38208025343179652</v>
      </c>
      <c r="F36">
        <v>0.91749333799608468</v>
      </c>
      <c r="G36">
        <v>0.92432498713016475</v>
      </c>
      <c r="H36">
        <v>0.23216632003152105</v>
      </c>
      <c r="I36">
        <v>0.66592712674912746</v>
      </c>
      <c r="J36">
        <v>0.84182575478249644</v>
      </c>
      <c r="K36">
        <v>0.18455504441692455</v>
      </c>
      <c r="L36">
        <v>0.61495997982480144</v>
      </c>
      <c r="M36">
        <v>0.99313186813186827</v>
      </c>
      <c r="N36">
        <v>0.32755668519390518</v>
      </c>
      <c r="O36">
        <v>0.84465169289360054</v>
      </c>
      <c r="AU36" t="s">
        <v>127</v>
      </c>
      <c r="AV36">
        <v>0</v>
      </c>
      <c r="AW36">
        <v>0.23162413234732326</v>
      </c>
      <c r="AX36">
        <v>7.0197117557683122E-3</v>
      </c>
      <c r="AY36">
        <v>1.1679438305326961E-3</v>
      </c>
      <c r="AZ36">
        <v>0.36153575684692435</v>
      </c>
      <c r="BA36">
        <v>3.8926797893891731E-2</v>
      </c>
      <c r="BB36">
        <v>2.6539861749765095E-3</v>
      </c>
      <c r="BC36">
        <v>0.43589935276573638</v>
      </c>
      <c r="BD36">
        <v>5.9836504034791488E-2</v>
      </c>
      <c r="BE36">
        <v>6.3590099323134399E-6</v>
      </c>
      <c r="BF36">
        <v>0.25895112582404023</v>
      </c>
      <c r="BG36">
        <v>1.1263196924290149E-2</v>
      </c>
      <c r="BI36" t="s">
        <v>127</v>
      </c>
      <c r="BJ36" t="s">
        <v>99</v>
      </c>
      <c r="BK36" t="s">
        <v>100</v>
      </c>
      <c r="BL36">
        <v>0.41758351661493609</v>
      </c>
    </row>
    <row r="37" spans="2:64" x14ac:dyDescent="0.45">
      <c r="B37" t="s">
        <v>128</v>
      </c>
      <c r="C37" t="s">
        <v>95</v>
      </c>
      <c r="D37">
        <v>0</v>
      </c>
      <c r="E37">
        <v>0.34614701213707655</v>
      </c>
      <c r="F37">
        <v>0.94259089332131019</v>
      </c>
      <c r="G37">
        <v>0.88808995922634493</v>
      </c>
      <c r="H37">
        <v>0.23706043175665459</v>
      </c>
      <c r="I37">
        <v>0.70716834616636104</v>
      </c>
      <c r="J37">
        <v>0.80548537287729916</v>
      </c>
      <c r="K37">
        <v>0.17086877816535509</v>
      </c>
      <c r="L37">
        <v>0.63240239836343359</v>
      </c>
      <c r="M37">
        <v>0.96858635950515326</v>
      </c>
      <c r="N37">
        <v>0.30450245594619529</v>
      </c>
      <c r="O37">
        <v>0.88561797506537121</v>
      </c>
      <c r="AU37" t="s">
        <v>128</v>
      </c>
      <c r="AV37">
        <v>0</v>
      </c>
      <c r="AW37">
        <v>0.27247202860874764</v>
      </c>
      <c r="AX37">
        <v>3.6012760335186697E-3</v>
      </c>
      <c r="AY37">
        <v>2.5946582838291469E-3</v>
      </c>
      <c r="AZ37">
        <v>0.37425359646467615</v>
      </c>
      <c r="BA37">
        <v>2.6920827062752638E-2</v>
      </c>
      <c r="BB37">
        <v>5.6753868937668064E-3</v>
      </c>
      <c r="BC37">
        <v>0.4417575179801736</v>
      </c>
      <c r="BD37">
        <v>4.4330897299676299E-2</v>
      </c>
      <c r="BE37">
        <v>1.3614654104808729E-4</v>
      </c>
      <c r="BF37">
        <v>0.2903046755087707</v>
      </c>
      <c r="BG37">
        <v>6.6611980732780001E-3</v>
      </c>
      <c r="BI37" t="s">
        <v>128</v>
      </c>
      <c r="BJ37" t="s">
        <v>99</v>
      </c>
      <c r="BK37" t="s">
        <v>100</v>
      </c>
      <c r="BL37">
        <v>0.43022177653324367</v>
      </c>
    </row>
    <row r="38" spans="2:64" x14ac:dyDescent="0.45">
      <c r="B38" t="s">
        <v>129</v>
      </c>
      <c r="C38" t="s">
        <v>95</v>
      </c>
      <c r="D38">
        <v>0</v>
      </c>
      <c r="E38">
        <v>0.37814114838078478</v>
      </c>
      <c r="F38">
        <v>0.95336919183044666</v>
      </c>
      <c r="G38">
        <v>0.88787825291604916</v>
      </c>
      <c r="H38">
        <v>0.25100769942827256</v>
      </c>
      <c r="I38">
        <v>0.71078816356594343</v>
      </c>
      <c r="J38">
        <v>0.80443842764042195</v>
      </c>
      <c r="K38">
        <v>0.17947574397727339</v>
      </c>
      <c r="L38">
        <v>0.62591722028228891</v>
      </c>
      <c r="M38">
        <v>0.97085283203231998</v>
      </c>
      <c r="N38">
        <v>0.32207161386806443</v>
      </c>
      <c r="O38">
        <v>0.89026683608005486</v>
      </c>
      <c r="AU38" t="s">
        <v>129</v>
      </c>
      <c r="AV38">
        <v>0</v>
      </c>
      <c r="AW38">
        <v>0.22617205568576945</v>
      </c>
      <c r="AX38">
        <v>2.9779584048497312E-3</v>
      </c>
      <c r="AY38">
        <v>2.3021289627042606E-3</v>
      </c>
      <c r="AZ38">
        <v>0.335719504172587</v>
      </c>
      <c r="BA38">
        <v>2.3804585863684218E-2</v>
      </c>
      <c r="BB38">
        <v>5.7364674516265802E-3</v>
      </c>
      <c r="BC38">
        <v>0.43048027780145803</v>
      </c>
      <c r="BD38">
        <v>4.3521264246472041E-2</v>
      </c>
      <c r="BE38">
        <v>1.2616735331892005E-4</v>
      </c>
      <c r="BF38">
        <v>0.25743586315260497</v>
      </c>
      <c r="BG38">
        <v>5.8799109750767922E-3</v>
      </c>
      <c r="BI38" t="s">
        <v>129</v>
      </c>
      <c r="BJ38" t="s">
        <v>99</v>
      </c>
      <c r="BK38" t="s">
        <v>100</v>
      </c>
      <c r="BL38">
        <v>0.41332440136302412</v>
      </c>
    </row>
    <row r="39" spans="2:64" x14ac:dyDescent="0.45">
      <c r="B39" t="s">
        <v>130</v>
      </c>
      <c r="C39" t="s">
        <v>95</v>
      </c>
      <c r="D39">
        <v>0</v>
      </c>
      <c r="E39">
        <v>0.35530594317109782</v>
      </c>
      <c r="F39">
        <v>0.93323857068397831</v>
      </c>
      <c r="G39">
        <v>0.9021756153940087</v>
      </c>
      <c r="H39">
        <v>0.24170611600913444</v>
      </c>
      <c r="I39">
        <v>0.68967935798896363</v>
      </c>
      <c r="J39">
        <v>0.81509788774576619</v>
      </c>
      <c r="K39">
        <v>0.17397782754363278</v>
      </c>
      <c r="L39">
        <v>0.62470772984109779</v>
      </c>
      <c r="M39">
        <v>0.98072466273144865</v>
      </c>
      <c r="N39">
        <v>0.31035478536005506</v>
      </c>
      <c r="O39">
        <v>0.86147527978653171</v>
      </c>
      <c r="AU39" t="s">
        <v>130</v>
      </c>
      <c r="AV39">
        <v>0</v>
      </c>
      <c r="AW39">
        <v>0.24627674502964295</v>
      </c>
      <c r="AX39">
        <v>5.1862828670897598E-3</v>
      </c>
      <c r="AY39">
        <v>1.6802258661174246E-3</v>
      </c>
      <c r="AZ39">
        <v>0.35383681063939632</v>
      </c>
      <c r="BA39">
        <v>3.1013637384861341E-2</v>
      </c>
      <c r="BB39">
        <v>3.9266873144082667E-3</v>
      </c>
      <c r="BC39">
        <v>0.45241091752578805</v>
      </c>
      <c r="BD39">
        <v>5.2597112308032448E-2</v>
      </c>
      <c r="BE39">
        <v>4.8934318682499134E-5</v>
      </c>
      <c r="BF39">
        <v>0.26907097628458249</v>
      </c>
      <c r="BG39">
        <v>8.5600888972484617E-3</v>
      </c>
      <c r="BI39" t="s">
        <v>130</v>
      </c>
      <c r="BJ39" t="s">
        <v>99</v>
      </c>
      <c r="BK39" t="s">
        <v>100</v>
      </c>
      <c r="BL39">
        <v>0.42389539563313683</v>
      </c>
    </row>
    <row r="40" spans="2:64" x14ac:dyDescent="0.45">
      <c r="B40" t="s">
        <v>131</v>
      </c>
      <c r="C40" t="s">
        <v>95</v>
      </c>
      <c r="D40">
        <v>0</v>
      </c>
      <c r="E40">
        <v>0.38479636124366562</v>
      </c>
      <c r="F40">
        <v>0.94568586862790172</v>
      </c>
      <c r="G40">
        <v>0.89897214834030581</v>
      </c>
      <c r="H40">
        <v>0.24426334524494031</v>
      </c>
      <c r="I40">
        <v>0.68923382098936203</v>
      </c>
      <c r="J40">
        <v>0.81034121065469567</v>
      </c>
      <c r="K40">
        <v>0.18514025521515043</v>
      </c>
      <c r="L40">
        <v>0.61897611506802885</v>
      </c>
      <c r="M40">
        <v>0.98156789115927801</v>
      </c>
      <c r="N40">
        <v>0.32532796942845321</v>
      </c>
      <c r="O40">
        <v>0.86863082923298351</v>
      </c>
      <c r="AU40" t="s">
        <v>131</v>
      </c>
      <c r="AV40">
        <v>0</v>
      </c>
      <c r="AW40">
        <v>0.20442691200924756</v>
      </c>
      <c r="AX40">
        <v>3.7109970160432732E-3</v>
      </c>
      <c r="AY40">
        <v>1.8558183897303706E-3</v>
      </c>
      <c r="AZ40">
        <v>0.33200123288485361</v>
      </c>
      <c r="BA40">
        <v>2.8336658864411644E-2</v>
      </c>
      <c r="BB40">
        <v>4.3434321094856457E-3</v>
      </c>
      <c r="BC40">
        <v>0.42854555565811364</v>
      </c>
      <c r="BD40">
        <v>4.9685977562917739E-2</v>
      </c>
      <c r="BE40">
        <v>5.5711808589399195E-5</v>
      </c>
      <c r="BF40">
        <v>0.24817836101996349</v>
      </c>
      <c r="BG40">
        <v>7.6836306941612731E-3</v>
      </c>
      <c r="BI40" t="s">
        <v>131</v>
      </c>
      <c r="BJ40" t="s">
        <v>99</v>
      </c>
      <c r="BK40" t="s">
        <v>100</v>
      </c>
      <c r="BL40">
        <v>0.40068439818486712</v>
      </c>
    </row>
    <row r="41" spans="2:64" x14ac:dyDescent="0.45">
      <c r="B41" t="s">
        <v>132</v>
      </c>
      <c r="C41" t="s">
        <v>95</v>
      </c>
      <c r="D41">
        <v>0.26398840160692555</v>
      </c>
      <c r="E41">
        <v>0.3117700210325734</v>
      </c>
      <c r="F41">
        <v>0.26940253169909917</v>
      </c>
      <c r="G41">
        <v>0.29336850558655925</v>
      </c>
      <c r="H41">
        <v>0.31993267608705722</v>
      </c>
      <c r="I41">
        <v>0.28846973357235517</v>
      </c>
      <c r="J41">
        <v>0.39213338643762319</v>
      </c>
      <c r="K41">
        <v>0.39848547683361912</v>
      </c>
      <c r="L41">
        <v>0.364509720006022</v>
      </c>
      <c r="M41">
        <v>0.27304244470579453</v>
      </c>
      <c r="N41">
        <v>0.30786723092654927</v>
      </c>
      <c r="O41">
        <v>0.26926662679652269</v>
      </c>
      <c r="AU41" t="s">
        <v>132</v>
      </c>
      <c r="AV41">
        <v>0.56416555650064137</v>
      </c>
      <c r="AW41">
        <v>0.53078576677537881</v>
      </c>
      <c r="AX41">
        <v>0.57305703261096452</v>
      </c>
      <c r="AY41">
        <v>0.50291354843615277</v>
      </c>
      <c r="AZ41">
        <v>0.49039674831325175</v>
      </c>
      <c r="BA41">
        <v>0.51173234981661808</v>
      </c>
      <c r="BB41">
        <v>0.38281506956053279</v>
      </c>
      <c r="BC41">
        <v>0.35655406013904173</v>
      </c>
      <c r="BD41">
        <v>0.41076597944242027</v>
      </c>
      <c r="BE41">
        <v>0.57008690330430545</v>
      </c>
      <c r="BF41">
        <v>0.52057068053954914</v>
      </c>
      <c r="BG41">
        <v>0.5685496354810351</v>
      </c>
      <c r="BI41" t="s">
        <v>133</v>
      </c>
      <c r="BJ41" t="s">
        <v>99</v>
      </c>
      <c r="BK41" t="s">
        <v>100</v>
      </c>
      <c r="BL41">
        <v>0.19313557047367536</v>
      </c>
    </row>
    <row r="42" spans="2:64" x14ac:dyDescent="0.45">
      <c r="B42" t="s">
        <v>134</v>
      </c>
      <c r="C42" t="s">
        <v>95</v>
      </c>
      <c r="D42">
        <v>0.47953607303573531</v>
      </c>
      <c r="E42">
        <v>0.48380778277119368</v>
      </c>
      <c r="F42">
        <v>0.49558008618814187</v>
      </c>
      <c r="G42">
        <v>0.40648204813980759</v>
      </c>
      <c r="H42">
        <v>0.41627113072333155</v>
      </c>
      <c r="I42">
        <v>0.41904810330768316</v>
      </c>
      <c r="J42">
        <v>0.4913498224950717</v>
      </c>
      <c r="K42">
        <v>0.46697485119711146</v>
      </c>
      <c r="L42">
        <v>0.46062244598487312</v>
      </c>
      <c r="M42">
        <v>0.4619963198360803</v>
      </c>
      <c r="N42">
        <v>0.46525559718746473</v>
      </c>
      <c r="O42">
        <v>0.44566100577708145</v>
      </c>
      <c r="AU42" t="s">
        <v>134</v>
      </c>
      <c r="AV42">
        <v>0.21441405845681202</v>
      </c>
      <c r="AW42">
        <v>0.20669591007789984</v>
      </c>
      <c r="AX42">
        <v>0.20936977318739999</v>
      </c>
      <c r="AY42">
        <v>0.30738142407203761</v>
      </c>
      <c r="AZ42">
        <v>0.30328594031285255</v>
      </c>
      <c r="BA42">
        <v>0.29194343006768592</v>
      </c>
      <c r="BB42">
        <v>8.5650809298812233E-2</v>
      </c>
      <c r="BC42">
        <v>8.7139803258462989E-2</v>
      </c>
      <c r="BD42">
        <v>0.10293781556975287</v>
      </c>
      <c r="BE42">
        <v>0.29171225316043581</v>
      </c>
      <c r="BF42">
        <v>0.27963515659274601</v>
      </c>
      <c r="BG42">
        <v>0.30345599324667188</v>
      </c>
      <c r="BI42" t="s">
        <v>135</v>
      </c>
      <c r="BJ42" t="s">
        <v>99</v>
      </c>
      <c r="BK42" t="s">
        <v>100</v>
      </c>
      <c r="BL42">
        <v>0.21319019985911744</v>
      </c>
    </row>
    <row r="43" spans="2:64" x14ac:dyDescent="0.45">
      <c r="B43" t="s">
        <v>136</v>
      </c>
      <c r="C43" t="s">
        <v>95</v>
      </c>
      <c r="D43">
        <v>0.47031244631018121</v>
      </c>
      <c r="E43">
        <v>0.47231988044828033</v>
      </c>
      <c r="F43">
        <v>0.46060796325113496</v>
      </c>
      <c r="G43">
        <v>0.41197349327286864</v>
      </c>
      <c r="H43">
        <v>0.40575218115032291</v>
      </c>
      <c r="I43">
        <v>0.40521342760766038</v>
      </c>
      <c r="J43">
        <v>0.49624763463975191</v>
      </c>
      <c r="K43">
        <v>0.50505838748092158</v>
      </c>
      <c r="L43">
        <v>0.45557016302436287</v>
      </c>
      <c r="M43">
        <v>0.43439983140319949</v>
      </c>
      <c r="N43">
        <v>0.43356491489828758</v>
      </c>
      <c r="O43">
        <v>0.42680260651714164</v>
      </c>
      <c r="AU43" t="s">
        <v>136</v>
      </c>
      <c r="AV43">
        <v>0.26760415123157322</v>
      </c>
      <c r="AW43">
        <v>0.2727942046435583</v>
      </c>
      <c r="AX43">
        <v>0.26373985769556518</v>
      </c>
      <c r="AY43">
        <v>0.33720348620586849</v>
      </c>
      <c r="AZ43">
        <v>0.33721735904908895</v>
      </c>
      <c r="BA43">
        <v>0.33676221793717398</v>
      </c>
      <c r="BB43">
        <v>0.11570384048208066</v>
      </c>
      <c r="BC43">
        <v>0.11138922418850965</v>
      </c>
      <c r="BD43">
        <v>0.1280899271052722</v>
      </c>
      <c r="BE43">
        <v>0.33017259732455101</v>
      </c>
      <c r="BF43">
        <v>0.30193552618490604</v>
      </c>
      <c r="BG43">
        <v>0.34236359514355774</v>
      </c>
      <c r="BI43" t="s">
        <v>137</v>
      </c>
      <c r="BJ43" t="s">
        <v>99</v>
      </c>
      <c r="BK43" t="s">
        <v>100</v>
      </c>
      <c r="BL43">
        <v>0.26893431497753717</v>
      </c>
    </row>
    <row r="44" spans="2:64" x14ac:dyDescent="0.45">
      <c r="B44" t="s">
        <v>138</v>
      </c>
      <c r="C44" t="s">
        <v>95</v>
      </c>
      <c r="D44">
        <v>0.52429563120312972</v>
      </c>
      <c r="E44">
        <v>0.5143803866837896</v>
      </c>
      <c r="F44">
        <v>0.51949812158622233</v>
      </c>
      <c r="G44">
        <v>0.4878558553972161</v>
      </c>
      <c r="H44">
        <v>0.49562790036642562</v>
      </c>
      <c r="I44">
        <v>0.51629477760678233</v>
      </c>
      <c r="J44">
        <v>0.56339665631689695</v>
      </c>
      <c r="K44">
        <v>0.54486386217369998</v>
      </c>
      <c r="L44">
        <v>0.50382032506167962</v>
      </c>
      <c r="M44">
        <v>0.4610142211083047</v>
      </c>
      <c r="N44">
        <v>0.45088764771751283</v>
      </c>
      <c r="O44">
        <v>0.43420871147585172</v>
      </c>
      <c r="AU44" t="s">
        <v>138</v>
      </c>
      <c r="AV44">
        <v>0.26629756469467086</v>
      </c>
      <c r="AW44">
        <v>0.29017725723355803</v>
      </c>
      <c r="AX44">
        <v>0.26588082781031347</v>
      </c>
      <c r="AY44">
        <v>0.32097558556502603</v>
      </c>
      <c r="AZ44">
        <v>0.32040528631819737</v>
      </c>
      <c r="BA44">
        <v>0.3230818891825038</v>
      </c>
      <c r="BB44">
        <v>0.11087665922233376</v>
      </c>
      <c r="BC44">
        <v>0.1104611926528615</v>
      </c>
      <c r="BD44">
        <v>0.10877508015002367</v>
      </c>
      <c r="BE44">
        <v>0.3160964873116297</v>
      </c>
      <c r="BF44">
        <v>0.33944022460715273</v>
      </c>
      <c r="BG44">
        <v>0.36608701822658807</v>
      </c>
      <c r="BI44" t="s">
        <v>139</v>
      </c>
      <c r="BJ44" t="s">
        <v>99</v>
      </c>
      <c r="BK44" t="s">
        <v>100</v>
      </c>
      <c r="BL44">
        <v>0.52284199830823797</v>
      </c>
    </row>
    <row r="45" spans="2:64" x14ac:dyDescent="0.45">
      <c r="B45" t="s">
        <v>140</v>
      </c>
      <c r="C45" t="s">
        <v>95</v>
      </c>
      <c r="D45">
        <v>0.36170547541396775</v>
      </c>
      <c r="E45">
        <v>0.38603782787997248</v>
      </c>
      <c r="F45">
        <v>0.3541696313774062</v>
      </c>
      <c r="G45">
        <v>0.38568203082432267</v>
      </c>
      <c r="H45">
        <v>0.32816308301841024</v>
      </c>
      <c r="I45">
        <v>0.30953871674714356</v>
      </c>
      <c r="J45">
        <v>0.51162937334898706</v>
      </c>
      <c r="K45">
        <v>0.47685896936997746</v>
      </c>
      <c r="L45">
        <v>0.49771453204269206</v>
      </c>
      <c r="M45">
        <v>0.39273620179517482</v>
      </c>
      <c r="N45">
        <v>0.39670645851249792</v>
      </c>
      <c r="O45">
        <v>0.37415164698931391</v>
      </c>
      <c r="AU45" t="s">
        <v>140</v>
      </c>
      <c r="AV45">
        <v>0.40115969529356793</v>
      </c>
      <c r="AW45">
        <v>0.39701263232262424</v>
      </c>
      <c r="AX45">
        <v>0.41394262614532423</v>
      </c>
      <c r="AY45">
        <v>0.40427481134315513</v>
      </c>
      <c r="AZ45">
        <v>0.47114728030567116</v>
      </c>
      <c r="BA45">
        <v>0.47723910564482175</v>
      </c>
      <c r="BB45">
        <v>0.20265711540183248</v>
      </c>
      <c r="BC45">
        <v>0.2198424868489644</v>
      </c>
      <c r="BD45">
        <v>0.25260530780481405</v>
      </c>
      <c r="BE45">
        <v>0.41793817441059644</v>
      </c>
      <c r="BF45">
        <v>0.4067098777138935</v>
      </c>
      <c r="BG45">
        <v>0.43964475919296492</v>
      </c>
      <c r="BI45" t="s">
        <v>141</v>
      </c>
      <c r="BJ45" t="s">
        <v>99</v>
      </c>
      <c r="BK45" t="s">
        <v>100</v>
      </c>
      <c r="BL45">
        <v>0.39202228653146753</v>
      </c>
    </row>
    <row r="46" spans="2:64" x14ac:dyDescent="0.45">
      <c r="B46" t="s">
        <v>142</v>
      </c>
      <c r="C46" t="s">
        <v>95</v>
      </c>
      <c r="D46">
        <v>0.48716182720304352</v>
      </c>
      <c r="E46">
        <v>0.52460349651276517</v>
      </c>
      <c r="F46">
        <v>0.46315192380645764</v>
      </c>
      <c r="G46">
        <v>0.53045013926732365</v>
      </c>
      <c r="H46">
        <v>0.44343363576942957</v>
      </c>
      <c r="I46">
        <v>0.46227317637091003</v>
      </c>
      <c r="J46">
        <v>0.59941585352144056</v>
      </c>
      <c r="K46">
        <v>0.49691591647455718</v>
      </c>
      <c r="L46">
        <v>0.51765935804737517</v>
      </c>
      <c r="M46">
        <v>0.49724970506950489</v>
      </c>
      <c r="N46">
        <v>0.48079689656311686</v>
      </c>
      <c r="O46">
        <v>0.47280187042120936</v>
      </c>
      <c r="AU46" t="s">
        <v>142</v>
      </c>
      <c r="AV46">
        <v>0.25069516746476034</v>
      </c>
      <c r="AW46">
        <v>0.25148942991974765</v>
      </c>
      <c r="AX46">
        <v>0.2640673101615566</v>
      </c>
      <c r="AY46">
        <v>0.22893226762765984</v>
      </c>
      <c r="AZ46">
        <v>0.30168199371116278</v>
      </c>
      <c r="BA46">
        <v>0.27360586718113272</v>
      </c>
      <c r="BB46">
        <v>0.1043467518437588</v>
      </c>
      <c r="BC46">
        <v>0.15709022685085708</v>
      </c>
      <c r="BD46">
        <v>0.16348115169271099</v>
      </c>
      <c r="BE46">
        <v>0.2179201255094485</v>
      </c>
      <c r="BF46">
        <v>0.23119749838337916</v>
      </c>
      <c r="BG46">
        <v>0.2409971148901851</v>
      </c>
      <c r="BI46" t="s">
        <v>143</v>
      </c>
      <c r="BJ46" t="s">
        <v>99</v>
      </c>
      <c r="BK46" t="s">
        <v>100</v>
      </c>
      <c r="BL46">
        <v>0.3373093250733204</v>
      </c>
    </row>
    <row r="47" spans="2:64" x14ac:dyDescent="0.45">
      <c r="B47" t="s">
        <v>144</v>
      </c>
      <c r="C47" t="s">
        <v>95</v>
      </c>
      <c r="D47">
        <v>0.40303678603125714</v>
      </c>
      <c r="E47">
        <v>0.43252975337490956</v>
      </c>
      <c r="F47">
        <v>0.40509008170762245</v>
      </c>
      <c r="G47">
        <v>0.32284940200459233</v>
      </c>
      <c r="H47">
        <v>0.3205447040507079</v>
      </c>
      <c r="I47">
        <v>0.32110913982700923</v>
      </c>
      <c r="J47">
        <v>0.45842193217441596</v>
      </c>
      <c r="K47">
        <v>0.46635423982549801</v>
      </c>
      <c r="L47">
        <v>0.43103600742881598</v>
      </c>
      <c r="M47">
        <v>0.39094636304463776</v>
      </c>
      <c r="N47">
        <v>0.40718487431456096</v>
      </c>
      <c r="O47">
        <v>0.3779078605867896</v>
      </c>
      <c r="AU47" t="s">
        <v>144</v>
      </c>
      <c r="AV47">
        <v>0.29435263207926848</v>
      </c>
      <c r="AW47">
        <v>0.29972818142277979</v>
      </c>
      <c r="AX47">
        <v>0.30179294721199768</v>
      </c>
      <c r="AY47">
        <v>0.33913250559887265</v>
      </c>
      <c r="AZ47">
        <v>0.36704633347588561</v>
      </c>
      <c r="BA47">
        <v>0.35686360733176714</v>
      </c>
      <c r="BB47">
        <v>0.12169695341096215</v>
      </c>
      <c r="BC47">
        <v>0.13384128582974006</v>
      </c>
      <c r="BD47">
        <v>0.14456257458076827</v>
      </c>
      <c r="BE47">
        <v>0.29379330192956976</v>
      </c>
      <c r="BF47">
        <v>0.31090819456361951</v>
      </c>
      <c r="BG47">
        <v>0.3115843517990135</v>
      </c>
      <c r="BI47" t="s">
        <v>145</v>
      </c>
      <c r="BJ47" t="s">
        <v>99</v>
      </c>
      <c r="BK47" t="s">
        <v>100</v>
      </c>
      <c r="BL47">
        <v>0.34331665004962059</v>
      </c>
    </row>
    <row r="48" spans="2:64" x14ac:dyDescent="0.45">
      <c r="B48" t="s">
        <v>146</v>
      </c>
      <c r="C48" t="s">
        <v>95</v>
      </c>
      <c r="D48">
        <v>0.46290591095912814</v>
      </c>
      <c r="E48">
        <v>0.46076618763083277</v>
      </c>
      <c r="F48">
        <v>0.4571019772993587</v>
      </c>
      <c r="G48">
        <v>0.41348152589957698</v>
      </c>
      <c r="H48">
        <v>0.41022690745958679</v>
      </c>
      <c r="I48">
        <v>0.39232801020905389</v>
      </c>
      <c r="J48">
        <v>0.53818887590291309</v>
      </c>
      <c r="K48">
        <v>0.45291800646774344</v>
      </c>
      <c r="L48">
        <v>0.50092176367402264</v>
      </c>
      <c r="M48">
        <v>0.44053065307397182</v>
      </c>
      <c r="N48">
        <v>0.44311445411634676</v>
      </c>
      <c r="O48">
        <v>0.4170135239250688</v>
      </c>
      <c r="AU48" t="s">
        <v>146</v>
      </c>
      <c r="AV48">
        <v>0.26480526124699583</v>
      </c>
      <c r="AW48">
        <v>0.2905892921784996</v>
      </c>
      <c r="AX48">
        <v>0.28226383253630183</v>
      </c>
      <c r="AY48">
        <v>0.29975341115246207</v>
      </c>
      <c r="AZ48">
        <v>0.30851939462806077</v>
      </c>
      <c r="BA48">
        <v>0.31241211964663596</v>
      </c>
      <c r="BB48">
        <v>9.5732473167869175E-2</v>
      </c>
      <c r="BC48">
        <v>0.12318511108473024</v>
      </c>
      <c r="BD48">
        <v>0.10747128692025359</v>
      </c>
      <c r="BE48">
        <v>0.27345650588932374</v>
      </c>
      <c r="BF48">
        <v>0.27727937829453025</v>
      </c>
      <c r="BG48">
        <v>0.29721263488123512</v>
      </c>
      <c r="BI48" t="s">
        <v>147</v>
      </c>
      <c r="BJ48" t="s">
        <v>99</v>
      </c>
      <c r="BK48" t="s">
        <v>100</v>
      </c>
      <c r="BL48">
        <v>0.40799102752779903</v>
      </c>
    </row>
    <row r="49" spans="2:64" x14ac:dyDescent="0.45">
      <c r="B49" t="s">
        <v>148</v>
      </c>
      <c r="C49" t="s">
        <v>95</v>
      </c>
      <c r="D49">
        <v>0.3279899875578578</v>
      </c>
      <c r="E49">
        <v>0.35578052313863129</v>
      </c>
      <c r="F49">
        <v>0.30035891687025651</v>
      </c>
      <c r="G49">
        <v>0.3251072960600016</v>
      </c>
      <c r="H49">
        <v>0.34086474361585178</v>
      </c>
      <c r="I49">
        <v>0.31592954143830598</v>
      </c>
      <c r="J49">
        <v>0.34059071884391146</v>
      </c>
      <c r="K49">
        <v>0.37913893567428186</v>
      </c>
      <c r="L49">
        <v>0.28020177849608602</v>
      </c>
      <c r="M49">
        <v>0.32977967676181641</v>
      </c>
      <c r="N49">
        <v>0.36119749176213661</v>
      </c>
      <c r="O49">
        <v>0.34288848298086555</v>
      </c>
      <c r="AU49" t="s">
        <v>148</v>
      </c>
      <c r="AV49">
        <v>0.4785482779141369</v>
      </c>
      <c r="AW49">
        <v>0.42415413985721512</v>
      </c>
      <c r="AX49">
        <v>0.46671125743950787</v>
      </c>
      <c r="AY49">
        <v>0.39192343139092439</v>
      </c>
      <c r="AZ49">
        <v>0.38065909494776939</v>
      </c>
      <c r="BA49">
        <v>0.38815991834902841</v>
      </c>
      <c r="BB49">
        <v>0.19761456125048135</v>
      </c>
      <c r="BC49">
        <v>0.21212019962330272</v>
      </c>
      <c r="BD49">
        <v>0.30427603497088895</v>
      </c>
      <c r="BE49">
        <v>0.39349775344812166</v>
      </c>
      <c r="BF49">
        <v>0.38100769620739056</v>
      </c>
      <c r="BG49">
        <v>0.42244780426255646</v>
      </c>
      <c r="BI49" t="s">
        <v>149</v>
      </c>
      <c r="BJ49" t="s">
        <v>99</v>
      </c>
      <c r="BK49" t="s">
        <v>100</v>
      </c>
      <c r="BL49">
        <v>0.38872356613274517</v>
      </c>
    </row>
    <row r="50" spans="2:64" x14ac:dyDescent="0.45">
      <c r="B50" t="s">
        <v>150</v>
      </c>
      <c r="C50" t="s">
        <v>95</v>
      </c>
      <c r="D50">
        <v>0.43025172233755649</v>
      </c>
      <c r="E50">
        <v>0.4618220635269763</v>
      </c>
      <c r="F50">
        <v>0.42619806008500166</v>
      </c>
      <c r="G50">
        <v>0.44084263311476696</v>
      </c>
      <c r="H50">
        <v>0.42551129359260575</v>
      </c>
      <c r="I50">
        <v>0.43674038413248517</v>
      </c>
      <c r="J50">
        <v>0.48787532697320246</v>
      </c>
      <c r="K50">
        <v>0.43143872957885376</v>
      </c>
      <c r="L50">
        <v>0.38521748780185117</v>
      </c>
      <c r="M50">
        <v>0.45345464243275252</v>
      </c>
      <c r="N50">
        <v>0.47419251639396781</v>
      </c>
      <c r="O50">
        <v>0.46179168806348847</v>
      </c>
      <c r="AU50" t="s">
        <v>150</v>
      </c>
      <c r="AV50">
        <v>0.35331423666890865</v>
      </c>
      <c r="AW50">
        <v>0.31530959986991042</v>
      </c>
      <c r="AX50">
        <v>0.30847148857450252</v>
      </c>
      <c r="AY50">
        <v>0.25309083500320889</v>
      </c>
      <c r="AZ50">
        <v>0.27375460801362667</v>
      </c>
      <c r="BA50">
        <v>0.24951961690786065</v>
      </c>
      <c r="BB50">
        <v>8.7487022028653882E-2</v>
      </c>
      <c r="BC50">
        <v>0.12718202935648151</v>
      </c>
      <c r="BD50">
        <v>0.10350733720364244</v>
      </c>
      <c r="BE50">
        <v>0.22680766440564665</v>
      </c>
      <c r="BF50">
        <v>0.21789068063391004</v>
      </c>
      <c r="BG50">
        <v>0.24633892178906455</v>
      </c>
      <c r="BI50" t="s">
        <v>151</v>
      </c>
      <c r="BJ50" t="s">
        <v>99</v>
      </c>
      <c r="BK50" t="s">
        <v>100</v>
      </c>
      <c r="BL50">
        <v>0.32464349403516257</v>
      </c>
    </row>
    <row r="51" spans="2:64" x14ac:dyDescent="0.45">
      <c r="B51" t="s">
        <v>152</v>
      </c>
      <c r="C51" t="s">
        <v>95</v>
      </c>
      <c r="D51">
        <v>0.28118020566323115</v>
      </c>
      <c r="E51">
        <v>0.28277796062445226</v>
      </c>
      <c r="F51">
        <v>0.25106643008824608</v>
      </c>
      <c r="G51">
        <v>0.28526247749035977</v>
      </c>
      <c r="H51">
        <v>0.27731031089050051</v>
      </c>
      <c r="I51">
        <v>0.27292313888325564</v>
      </c>
      <c r="J51">
        <v>0.34316930449851757</v>
      </c>
      <c r="K51">
        <v>0.37348380910624479</v>
      </c>
      <c r="L51">
        <v>0.32495717598530266</v>
      </c>
      <c r="M51">
        <v>0.29644724577218473</v>
      </c>
      <c r="N51">
        <v>0.3085899992406001</v>
      </c>
      <c r="O51">
        <v>0.30989182935803949</v>
      </c>
      <c r="AU51" t="s">
        <v>152</v>
      </c>
      <c r="AV51">
        <v>0.58114374773207678</v>
      </c>
      <c r="AW51">
        <v>0.55215346315610192</v>
      </c>
      <c r="AX51">
        <v>0.59703416725776404</v>
      </c>
      <c r="AY51">
        <v>0.51975795265995473</v>
      </c>
      <c r="AZ51">
        <v>0.48417664629453677</v>
      </c>
      <c r="BA51">
        <v>0.50838942359733963</v>
      </c>
      <c r="BB51">
        <v>0.34786554490208116</v>
      </c>
      <c r="BC51">
        <v>0.29315400853913293</v>
      </c>
      <c r="BD51">
        <v>0.34988395214406798</v>
      </c>
      <c r="BE51">
        <v>0.50416182598348935</v>
      </c>
      <c r="BF51">
        <v>0.50241782958199876</v>
      </c>
      <c r="BG51">
        <v>0.5051697792391453</v>
      </c>
      <c r="BI51" t="s">
        <v>153</v>
      </c>
      <c r="BJ51" t="s">
        <v>99</v>
      </c>
      <c r="BK51" t="s">
        <v>100</v>
      </c>
      <c r="BL51">
        <v>0.25082722318433237</v>
      </c>
    </row>
    <row r="52" spans="2:64" x14ac:dyDescent="0.45">
      <c r="B52" t="s">
        <v>154</v>
      </c>
      <c r="C52" t="s">
        <v>95</v>
      </c>
      <c r="D52">
        <v>0.28938580319200408</v>
      </c>
      <c r="E52">
        <v>0.31558724481881778</v>
      </c>
      <c r="F52">
        <v>0.276731548865635</v>
      </c>
      <c r="G52">
        <v>0.30719955730787607</v>
      </c>
      <c r="H52">
        <v>0.31808678755415887</v>
      </c>
      <c r="I52">
        <v>0.29091450596187762</v>
      </c>
      <c r="J52">
        <v>0.34390243939070941</v>
      </c>
      <c r="K52">
        <v>0.35704816253295407</v>
      </c>
      <c r="L52">
        <v>0.28401703935003675</v>
      </c>
      <c r="M52">
        <v>0.31598060250219762</v>
      </c>
      <c r="N52">
        <v>0.33306282926265102</v>
      </c>
      <c r="O52">
        <v>0.32228010178495181</v>
      </c>
      <c r="AU52" t="s">
        <v>154</v>
      </c>
      <c r="AV52">
        <v>0.54488310971517495</v>
      </c>
      <c r="AW52">
        <v>0.49451541861623316</v>
      </c>
      <c r="AX52">
        <v>0.54880946725181978</v>
      </c>
      <c r="AY52">
        <v>0.46026037764504202</v>
      </c>
      <c r="AZ52">
        <v>0.41892317032281784</v>
      </c>
      <c r="BA52">
        <v>0.44826680984879957</v>
      </c>
      <c r="BB52">
        <v>0.30680461448481894</v>
      </c>
      <c r="BC52">
        <v>0.25732830715600341</v>
      </c>
      <c r="BD52">
        <v>0.35917706836805963</v>
      </c>
      <c r="BE52">
        <v>0.45240989321294811</v>
      </c>
      <c r="BF52">
        <v>0.46225012626683637</v>
      </c>
      <c r="BG52">
        <v>0.47501463756937023</v>
      </c>
      <c r="BI52" t="s">
        <v>155</v>
      </c>
      <c r="BJ52" t="s">
        <v>99</v>
      </c>
      <c r="BK52" t="s">
        <v>100</v>
      </c>
      <c r="BL52">
        <v>0.35798752790735644</v>
      </c>
    </row>
    <row r="53" spans="2:64" x14ac:dyDescent="0.45">
      <c r="B53" t="s">
        <v>156</v>
      </c>
      <c r="C53" t="s">
        <v>95</v>
      </c>
      <c r="D53">
        <v>0.25190846302007286</v>
      </c>
      <c r="E53">
        <v>0.22833309285155207</v>
      </c>
      <c r="F53">
        <v>0.25652628448201892</v>
      </c>
      <c r="G53">
        <v>0.23107621081490617</v>
      </c>
      <c r="H53">
        <v>0.26339804926255034</v>
      </c>
      <c r="I53">
        <v>0.21552259863358053</v>
      </c>
      <c r="J53">
        <v>0.34665940327320161</v>
      </c>
      <c r="K53">
        <v>0.35533982164127892</v>
      </c>
      <c r="L53">
        <v>0.31145535908084271</v>
      </c>
      <c r="M53">
        <v>0.27928570850371859</v>
      </c>
      <c r="N53">
        <v>0.29670865736791441</v>
      </c>
      <c r="O53">
        <v>0.2781765683596592</v>
      </c>
      <c r="AU53" t="s">
        <v>156</v>
      </c>
      <c r="AV53">
        <v>0.61695148102592745</v>
      </c>
      <c r="AW53">
        <v>0.6164857140999096</v>
      </c>
      <c r="AX53">
        <v>0.61546887817347862</v>
      </c>
      <c r="AY53">
        <v>0.58219069130213086</v>
      </c>
      <c r="AZ53">
        <v>0.55915775483513575</v>
      </c>
      <c r="BA53">
        <v>0.61499693565048941</v>
      </c>
      <c r="BB53">
        <v>0.42388873638485902</v>
      </c>
      <c r="BC53">
        <v>0.40697680695378025</v>
      </c>
      <c r="BD53">
        <v>0.44448605218411158</v>
      </c>
      <c r="BE53">
        <v>0.55149777931927857</v>
      </c>
      <c r="BF53">
        <v>0.5371648556552453</v>
      </c>
      <c r="BG53">
        <v>0.56024597390642605</v>
      </c>
      <c r="BI53" t="s">
        <v>157</v>
      </c>
      <c r="BJ53" t="s">
        <v>99</v>
      </c>
      <c r="BK53" t="s">
        <v>100</v>
      </c>
      <c r="BL53">
        <v>0.24989314084445235</v>
      </c>
    </row>
    <row r="54" spans="2:64" x14ac:dyDescent="0.45">
      <c r="B54" t="s">
        <v>158</v>
      </c>
      <c r="C54" t="s">
        <v>95</v>
      </c>
      <c r="D54">
        <v>0.25140269592903375</v>
      </c>
      <c r="E54">
        <v>0.25162962239749764</v>
      </c>
      <c r="F54">
        <v>0.25475628435516268</v>
      </c>
      <c r="G54">
        <v>0.26359810890033647</v>
      </c>
      <c r="H54">
        <v>0.2934233674626559</v>
      </c>
      <c r="I54">
        <v>0.26255151401644794</v>
      </c>
      <c r="J54">
        <v>0.32235696608397224</v>
      </c>
      <c r="K54">
        <v>0.34923575483168512</v>
      </c>
      <c r="L54">
        <v>0.30692709000762791</v>
      </c>
      <c r="M54">
        <v>0.31046524556200983</v>
      </c>
      <c r="N54">
        <v>0.28695596382477084</v>
      </c>
      <c r="O54">
        <v>0.27568396229446157</v>
      </c>
      <c r="AU54" t="s">
        <v>158</v>
      </c>
      <c r="AV54">
        <v>0.59777751860393125</v>
      </c>
      <c r="AW54">
        <v>0.58719922415871884</v>
      </c>
      <c r="AX54">
        <v>0.59905481808150818</v>
      </c>
      <c r="AY54">
        <v>0.55530598619563709</v>
      </c>
      <c r="AZ54">
        <v>0.51806561982266253</v>
      </c>
      <c r="BA54">
        <v>0.56157899777140496</v>
      </c>
      <c r="BB54">
        <v>0.42033602691769972</v>
      </c>
      <c r="BC54">
        <v>0.40057362213359043</v>
      </c>
      <c r="BD54">
        <v>0.45548603709162871</v>
      </c>
      <c r="BE54">
        <v>0.53065889765361773</v>
      </c>
      <c r="BF54">
        <v>0.54903951008681873</v>
      </c>
      <c r="BG54">
        <v>0.56801565822787703</v>
      </c>
      <c r="BI54" t="s">
        <v>159</v>
      </c>
      <c r="BJ54" t="s">
        <v>99</v>
      </c>
      <c r="BK54" t="s">
        <v>100</v>
      </c>
      <c r="BL54">
        <v>0.12383310202033802</v>
      </c>
    </row>
    <row r="55" spans="2:64" x14ac:dyDescent="0.45">
      <c r="B55" t="s">
        <v>160</v>
      </c>
      <c r="C55" t="s">
        <v>95</v>
      </c>
      <c r="D55">
        <v>0.20982848647470775</v>
      </c>
      <c r="E55">
        <v>0.19592278018044595</v>
      </c>
      <c r="F55">
        <v>0.21062717504497233</v>
      </c>
      <c r="G55">
        <v>0.19371235368190562</v>
      </c>
      <c r="H55">
        <v>0.21877572883227461</v>
      </c>
      <c r="I55">
        <v>0.19624475522254434</v>
      </c>
      <c r="J55">
        <v>0.31540738342592084</v>
      </c>
      <c r="K55">
        <v>0.32966720815533967</v>
      </c>
      <c r="L55">
        <v>0.29745850127398743</v>
      </c>
      <c r="M55">
        <v>0.28646783790203478</v>
      </c>
      <c r="N55">
        <v>0.28928185330023065</v>
      </c>
      <c r="O55">
        <v>0.27158647885811393</v>
      </c>
      <c r="AU55" t="s">
        <v>160</v>
      </c>
      <c r="AV55">
        <v>0.68233443054114085</v>
      </c>
      <c r="AW55">
        <v>0.67659423416386255</v>
      </c>
      <c r="AX55">
        <v>0.67807498494633256</v>
      </c>
      <c r="AY55">
        <v>0.65128588798131182</v>
      </c>
      <c r="AZ55">
        <v>0.63903096429659612</v>
      </c>
      <c r="BA55">
        <v>0.65337672961294546</v>
      </c>
      <c r="BB55">
        <v>0.45174003880718322</v>
      </c>
      <c r="BC55">
        <v>0.43663230648504686</v>
      </c>
      <c r="BD55">
        <v>0.47649909221666142</v>
      </c>
      <c r="BE55">
        <v>0.54202539396388216</v>
      </c>
      <c r="BF55">
        <v>0.54441563521861958</v>
      </c>
      <c r="BG55">
        <v>0.55608660298136792</v>
      </c>
      <c r="BI55" t="s">
        <v>161</v>
      </c>
      <c r="BJ55" t="s">
        <v>99</v>
      </c>
      <c r="BK55" t="s">
        <v>100</v>
      </c>
      <c r="BL55">
        <v>0.30152561885837326</v>
      </c>
    </row>
    <row r="56" spans="2:64" x14ac:dyDescent="0.45">
      <c r="B56" t="s">
        <v>162</v>
      </c>
      <c r="C56" t="s">
        <v>95</v>
      </c>
      <c r="D56">
        <v>0.23327222131243641</v>
      </c>
      <c r="E56">
        <v>0.22271869061979263</v>
      </c>
      <c r="F56">
        <v>0.22495532791775952</v>
      </c>
      <c r="G56">
        <v>0.2287393675675039</v>
      </c>
      <c r="H56">
        <v>0.2465654420318657</v>
      </c>
      <c r="I56">
        <v>0.23994881091941683</v>
      </c>
      <c r="J56">
        <v>0.32679044406902374</v>
      </c>
      <c r="K56">
        <v>0.35056865460325526</v>
      </c>
      <c r="L56">
        <v>0.31484134956765064</v>
      </c>
      <c r="M56">
        <v>0.29104584729885025</v>
      </c>
      <c r="N56">
        <v>0.29220794863828564</v>
      </c>
      <c r="O56">
        <v>0.30053266179875232</v>
      </c>
      <c r="AU56" t="s">
        <v>162</v>
      </c>
      <c r="AV56">
        <v>0.64954635910555703</v>
      </c>
      <c r="AW56">
        <v>0.63448679459808621</v>
      </c>
      <c r="AX56">
        <v>0.65024736692506091</v>
      </c>
      <c r="AY56">
        <v>0.60694655290654131</v>
      </c>
      <c r="AZ56">
        <v>0.61214274576948957</v>
      </c>
      <c r="BA56">
        <v>0.61323972932615889</v>
      </c>
      <c r="BB56">
        <v>0.41950092467297567</v>
      </c>
      <c r="BC56">
        <v>0.36372011340943833</v>
      </c>
      <c r="BD56">
        <v>0.450072181265459</v>
      </c>
      <c r="BE56">
        <v>0.54695945579410066</v>
      </c>
      <c r="BF56">
        <v>0.5403174238618863</v>
      </c>
      <c r="BG56">
        <v>0.53602324956662883</v>
      </c>
      <c r="BI56" t="s">
        <v>163</v>
      </c>
      <c r="BJ56" t="s">
        <v>99</v>
      </c>
      <c r="BK56" t="s">
        <v>100</v>
      </c>
      <c r="BL56">
        <v>0.23649694235749771</v>
      </c>
    </row>
    <row r="57" spans="2:64" x14ac:dyDescent="0.45">
      <c r="B57" t="s">
        <v>164</v>
      </c>
      <c r="C57" t="s">
        <v>95</v>
      </c>
      <c r="D57">
        <v>0.27101950123862062</v>
      </c>
      <c r="E57">
        <v>0.26579978759779355</v>
      </c>
      <c r="F57">
        <v>0.25234088548014905</v>
      </c>
      <c r="G57">
        <v>0.25912825356930858</v>
      </c>
      <c r="H57">
        <v>0.27232845079589235</v>
      </c>
      <c r="I57">
        <v>0.25189862077203262</v>
      </c>
      <c r="J57">
        <v>0.3240312185820578</v>
      </c>
      <c r="K57">
        <v>0.37415868369193717</v>
      </c>
      <c r="L57">
        <v>0.27855545689639882</v>
      </c>
      <c r="M57">
        <v>0.28846238995738771</v>
      </c>
      <c r="N57">
        <v>0.30016871425254493</v>
      </c>
      <c r="O57">
        <v>0.29577413393797175</v>
      </c>
      <c r="AU57" t="s">
        <v>164</v>
      </c>
      <c r="AV57">
        <v>0.5847482735451569</v>
      </c>
      <c r="AW57">
        <v>0.56552268732950151</v>
      </c>
      <c r="AX57">
        <v>0.59724554439424182</v>
      </c>
      <c r="AY57">
        <v>0.55582774992982598</v>
      </c>
      <c r="AZ57">
        <v>0.52004738119392979</v>
      </c>
      <c r="BA57">
        <v>0.56249895282672269</v>
      </c>
      <c r="BB57">
        <v>0.40155489172068848</v>
      </c>
      <c r="BC57">
        <v>0.31257513757424887</v>
      </c>
      <c r="BD57">
        <v>0.41895386775077548</v>
      </c>
      <c r="BE57">
        <v>0.52661435890020802</v>
      </c>
      <c r="BF57">
        <v>0.5123871168986992</v>
      </c>
      <c r="BG57">
        <v>0.52331299014042754</v>
      </c>
      <c r="BI57" t="s">
        <v>165</v>
      </c>
      <c r="BJ57" t="s">
        <v>99</v>
      </c>
      <c r="BK57" t="s">
        <v>100</v>
      </c>
      <c r="BL57">
        <v>0.3331018829362416</v>
      </c>
    </row>
    <row r="58" spans="2:64" x14ac:dyDescent="0.45">
      <c r="B58" t="s">
        <v>133</v>
      </c>
      <c r="C58" t="s">
        <v>95</v>
      </c>
      <c r="D58">
        <v>0.41652563120367969</v>
      </c>
      <c r="E58">
        <v>0.44941781895976241</v>
      </c>
      <c r="F58">
        <v>0.40852537879633294</v>
      </c>
      <c r="G58">
        <v>0.35404510402506595</v>
      </c>
      <c r="H58">
        <v>0.42626709906220833</v>
      </c>
      <c r="I58">
        <v>0.3568429922639158</v>
      </c>
      <c r="J58">
        <v>0.36951908094946456</v>
      </c>
      <c r="K58">
        <v>0.41890732412899562</v>
      </c>
      <c r="L58">
        <v>0.35361394608148911</v>
      </c>
      <c r="M58">
        <v>0.43684940754576596</v>
      </c>
      <c r="N58">
        <v>0.45942597451013517</v>
      </c>
      <c r="O58">
        <v>0.39428579519501716</v>
      </c>
      <c r="AU58" t="s">
        <v>133</v>
      </c>
      <c r="AV58">
        <v>0.18527785460867602</v>
      </c>
      <c r="AW58">
        <v>0.17791662767406535</v>
      </c>
      <c r="AX58">
        <v>0.19884478941926786</v>
      </c>
      <c r="AY58">
        <v>0.13555657107870064</v>
      </c>
      <c r="AZ58">
        <v>0.12195016768231975</v>
      </c>
      <c r="BA58">
        <v>0.13273310064370719</v>
      </c>
      <c r="BB58">
        <v>8.17545915678239E-2</v>
      </c>
      <c r="BC58">
        <v>7.0017400499544247E-2</v>
      </c>
      <c r="BD58">
        <v>9.7761244328587571E-2</v>
      </c>
      <c r="BE58">
        <v>0.18259318079664527</v>
      </c>
      <c r="BF58">
        <v>0.16359085718840266</v>
      </c>
      <c r="BG58">
        <v>0.17480221970582785</v>
      </c>
      <c r="BI58" t="s">
        <v>166</v>
      </c>
      <c r="BJ58" t="s">
        <v>99</v>
      </c>
      <c r="BK58" t="s">
        <v>100</v>
      </c>
      <c r="BL58">
        <v>0.37111554050416273</v>
      </c>
    </row>
    <row r="59" spans="2:64" x14ac:dyDescent="0.45">
      <c r="B59" t="s">
        <v>135</v>
      </c>
      <c r="C59" t="s">
        <v>95</v>
      </c>
      <c r="D59">
        <v>0.45008155211654316</v>
      </c>
      <c r="E59">
        <v>0.46929532859397516</v>
      </c>
      <c r="F59">
        <v>0.42860001392154629</v>
      </c>
      <c r="G59">
        <v>0.37589702563618516</v>
      </c>
      <c r="H59">
        <v>0.41922317432171957</v>
      </c>
      <c r="I59">
        <v>0.35606893763023767</v>
      </c>
      <c r="J59">
        <v>0.36570534270044264</v>
      </c>
      <c r="K59">
        <v>0.4129753036945939</v>
      </c>
      <c r="L59">
        <v>0.31525072765535178</v>
      </c>
      <c r="M59">
        <v>0.40147214360349759</v>
      </c>
      <c r="N59">
        <v>0.44413992537986252</v>
      </c>
      <c r="O59">
        <v>0.37612826664551269</v>
      </c>
      <c r="AU59" t="s">
        <v>135</v>
      </c>
      <c r="AV59">
        <v>0.2014701725366608</v>
      </c>
      <c r="AW59">
        <v>0.17815345852056294</v>
      </c>
      <c r="AX59">
        <v>0.21691296030584173</v>
      </c>
      <c r="AY59">
        <v>0.13392943321661879</v>
      </c>
      <c r="AZ59">
        <v>0.1219052866367213</v>
      </c>
      <c r="BA59">
        <v>0.13796422096621175</v>
      </c>
      <c r="BB59">
        <v>9.2036944903170895E-2</v>
      </c>
      <c r="BC59">
        <v>7.5531165935638328E-2</v>
      </c>
      <c r="BD59">
        <v>9.8530570990350633E-2</v>
      </c>
      <c r="BE59">
        <v>0.2037965054922585</v>
      </c>
      <c r="BF59">
        <v>0.19110891235554711</v>
      </c>
      <c r="BG59">
        <v>0.19646787907999369</v>
      </c>
      <c r="BI59" t="s">
        <v>167</v>
      </c>
      <c r="BJ59" t="s">
        <v>99</v>
      </c>
      <c r="BK59" t="s">
        <v>100</v>
      </c>
      <c r="BL59">
        <v>0.30148895611062998</v>
      </c>
    </row>
    <row r="60" spans="2:64" x14ac:dyDescent="0.45">
      <c r="B60" t="s">
        <v>137</v>
      </c>
      <c r="C60" t="s">
        <v>95</v>
      </c>
      <c r="D60">
        <v>0.41180184475877873</v>
      </c>
      <c r="E60">
        <v>0.42239468839318423</v>
      </c>
      <c r="F60">
        <v>0.4126168053089449</v>
      </c>
      <c r="G60">
        <v>0.32925188121020083</v>
      </c>
      <c r="H60">
        <v>0.40769954202899256</v>
      </c>
      <c r="I60">
        <v>0.34494835004658031</v>
      </c>
      <c r="J60">
        <v>0.34888101102385544</v>
      </c>
      <c r="K60">
        <v>0.41825321256772524</v>
      </c>
      <c r="L60">
        <v>0.3259425361119993</v>
      </c>
      <c r="M60">
        <v>0.36904077148253994</v>
      </c>
      <c r="N60">
        <v>0.41629021786662024</v>
      </c>
      <c r="O60">
        <v>0.33814923747209263</v>
      </c>
      <c r="AU60" t="s">
        <v>137</v>
      </c>
      <c r="AV60">
        <v>0.25769582349221232</v>
      </c>
      <c r="AW60">
        <v>0.23093403253391279</v>
      </c>
      <c r="AX60">
        <v>0.27327819883437487</v>
      </c>
      <c r="AY60">
        <v>0.20186425893063259</v>
      </c>
      <c r="AZ60">
        <v>0.15969329017781261</v>
      </c>
      <c r="BA60">
        <v>0.19873700380840228</v>
      </c>
      <c r="BB60">
        <v>0.1434733425175071</v>
      </c>
      <c r="BC60">
        <v>0.10576094878168346</v>
      </c>
      <c r="BD60">
        <v>0.14939904055798667</v>
      </c>
      <c r="BE60">
        <v>0.27240064223142846</v>
      </c>
      <c r="BF60">
        <v>0.24097792711636934</v>
      </c>
      <c r="BG60">
        <v>0.27249582952758</v>
      </c>
      <c r="BI60" t="s">
        <v>168</v>
      </c>
      <c r="BJ60" t="s">
        <v>99</v>
      </c>
      <c r="BK60" t="s">
        <v>100</v>
      </c>
      <c r="BL60">
        <v>0.21509144806704603</v>
      </c>
    </row>
    <row r="61" spans="2:64" x14ac:dyDescent="0.45">
      <c r="B61" t="s">
        <v>139</v>
      </c>
      <c r="C61" t="s">
        <v>95</v>
      </c>
      <c r="D61">
        <v>0.25046835192040762</v>
      </c>
      <c r="E61">
        <v>0.24667452948412619</v>
      </c>
      <c r="F61">
        <v>0.2407853764142682</v>
      </c>
      <c r="G61">
        <v>0.23019532077914356</v>
      </c>
      <c r="H61">
        <v>0.25941252184746166</v>
      </c>
      <c r="I61">
        <v>0.22303179660977102</v>
      </c>
      <c r="J61">
        <v>0.31676356142799927</v>
      </c>
      <c r="K61">
        <v>0.33222930804504941</v>
      </c>
      <c r="L61">
        <v>0.28813418194600782</v>
      </c>
      <c r="M61">
        <v>0.28380086475963362</v>
      </c>
      <c r="N61">
        <v>0.29907353416562921</v>
      </c>
      <c r="O61">
        <v>0.29533709864343699</v>
      </c>
      <c r="AU61" t="s">
        <v>139</v>
      </c>
      <c r="AV61">
        <v>0.53080042301706165</v>
      </c>
      <c r="AW61">
        <v>0.51576849434805405</v>
      </c>
      <c r="AX61">
        <v>0.53517968066809174</v>
      </c>
      <c r="AY61">
        <v>0.47665624974458437</v>
      </c>
      <c r="AZ61">
        <v>0.46556759735854636</v>
      </c>
      <c r="BA61">
        <v>0.4981198906390058</v>
      </c>
      <c r="BB61">
        <v>0.34783875793181634</v>
      </c>
      <c r="BC61">
        <v>0.32521719851096254</v>
      </c>
      <c r="BD61">
        <v>0.37620697327901786</v>
      </c>
      <c r="BE61">
        <v>0.47603421213630737</v>
      </c>
      <c r="BF61">
        <v>0.46541344780009225</v>
      </c>
      <c r="BG61">
        <v>0.47339844738763437</v>
      </c>
      <c r="BI61" t="s">
        <v>169</v>
      </c>
      <c r="BJ61" t="s">
        <v>99</v>
      </c>
      <c r="BK61" t="s">
        <v>100</v>
      </c>
      <c r="BL61">
        <v>0.26123707499700927</v>
      </c>
    </row>
    <row r="62" spans="2:64" x14ac:dyDescent="0.45">
      <c r="B62" t="s">
        <v>141</v>
      </c>
      <c r="C62" t="s">
        <v>95</v>
      </c>
      <c r="D62">
        <v>0.29772667332814012</v>
      </c>
      <c r="E62">
        <v>0.32740595048764548</v>
      </c>
      <c r="F62">
        <v>0.28749341557014085</v>
      </c>
      <c r="G62">
        <v>0.26583400639283228</v>
      </c>
      <c r="H62">
        <v>0.30796052132532131</v>
      </c>
      <c r="I62">
        <v>0.25682825133714904</v>
      </c>
      <c r="J62">
        <v>0.28444349241745409</v>
      </c>
      <c r="K62">
        <v>0.36402045057887139</v>
      </c>
      <c r="L62">
        <v>0.25936866856395341</v>
      </c>
      <c r="M62">
        <v>0.31251131335085269</v>
      </c>
      <c r="N62">
        <v>0.32986504257668137</v>
      </c>
      <c r="O62">
        <v>0.31411079685015603</v>
      </c>
      <c r="AU62" t="s">
        <v>141</v>
      </c>
      <c r="AV62">
        <v>0.39885329602653091</v>
      </c>
      <c r="AW62">
        <v>0.36874555936231762</v>
      </c>
      <c r="AX62">
        <v>0.39589366914115792</v>
      </c>
      <c r="AY62">
        <v>0.33271297231633756</v>
      </c>
      <c r="AZ62">
        <v>0.31521351067676512</v>
      </c>
      <c r="BA62">
        <v>0.34455476325629086</v>
      </c>
      <c r="BB62">
        <v>0.24207227100318909</v>
      </c>
      <c r="BC62">
        <v>0.20676746499405529</v>
      </c>
      <c r="BD62">
        <v>0.26156437258749737</v>
      </c>
      <c r="BE62">
        <v>0.35114644476439733</v>
      </c>
      <c r="BF62">
        <v>0.33793784949631939</v>
      </c>
      <c r="BG62">
        <v>0.3600808804623199</v>
      </c>
      <c r="BI62" t="s">
        <v>170</v>
      </c>
      <c r="BJ62" t="s">
        <v>99</v>
      </c>
      <c r="BK62" t="s">
        <v>100</v>
      </c>
      <c r="BL62">
        <v>0.2454116567742361</v>
      </c>
    </row>
    <row r="63" spans="2:64" x14ac:dyDescent="0.45">
      <c r="B63" t="s">
        <v>143</v>
      </c>
      <c r="C63" t="s">
        <v>95</v>
      </c>
      <c r="D63">
        <v>0.33175638520274314</v>
      </c>
      <c r="E63">
        <v>0.35912111533652963</v>
      </c>
      <c r="F63">
        <v>0.32082484606130818</v>
      </c>
      <c r="G63">
        <v>0.28351606435637194</v>
      </c>
      <c r="H63">
        <v>0.36951211581156435</v>
      </c>
      <c r="I63">
        <v>0.29291466924591386</v>
      </c>
      <c r="J63">
        <v>0.29885585498499961</v>
      </c>
      <c r="K63">
        <v>0.38392388547887935</v>
      </c>
      <c r="L63">
        <v>0.29899186197454841</v>
      </c>
      <c r="M63">
        <v>0.33940376433126401</v>
      </c>
      <c r="N63">
        <v>0.386331639190231</v>
      </c>
      <c r="O63">
        <v>0.33530495817528699</v>
      </c>
      <c r="AU63" t="s">
        <v>143</v>
      </c>
      <c r="AV63">
        <v>0.34087221739192963</v>
      </c>
      <c r="AW63">
        <v>0.31580815844036147</v>
      </c>
      <c r="AX63">
        <v>0.33837252808095741</v>
      </c>
      <c r="AY63">
        <v>0.25387650343120688</v>
      </c>
      <c r="AZ63">
        <v>0.21829843375422309</v>
      </c>
      <c r="BA63">
        <v>0.25296506292385934</v>
      </c>
      <c r="BB63">
        <v>0.17159137437325606</v>
      </c>
      <c r="BC63">
        <v>0.13914990403936908</v>
      </c>
      <c r="BD63">
        <v>0.17774788441864656</v>
      </c>
      <c r="BE63">
        <v>0.30289686639637031</v>
      </c>
      <c r="BF63">
        <v>0.27368000032462236</v>
      </c>
      <c r="BG63">
        <v>0.30747262875517539</v>
      </c>
      <c r="BI63" t="s">
        <v>171</v>
      </c>
      <c r="BJ63" t="s">
        <v>99</v>
      </c>
      <c r="BK63" t="s">
        <v>100</v>
      </c>
      <c r="BL63">
        <v>0.19018248649392824</v>
      </c>
    </row>
    <row r="64" spans="2:64" x14ac:dyDescent="0.45">
      <c r="B64" t="s">
        <v>145</v>
      </c>
      <c r="C64" t="s">
        <v>95</v>
      </c>
      <c r="D64">
        <v>0.34544897675914082</v>
      </c>
      <c r="E64">
        <v>0.38131965672826612</v>
      </c>
      <c r="F64">
        <v>0.33724709363026073</v>
      </c>
      <c r="G64">
        <v>0.27383317614803998</v>
      </c>
      <c r="H64">
        <v>0.35991401186936267</v>
      </c>
      <c r="I64">
        <v>0.30125249742227228</v>
      </c>
      <c r="J64">
        <v>0.30626440149582274</v>
      </c>
      <c r="K64">
        <v>0.40633858103686565</v>
      </c>
      <c r="L64">
        <v>0.3095025936702086</v>
      </c>
      <c r="M64">
        <v>0.35991559120878064</v>
      </c>
      <c r="N64">
        <v>0.38876208499666004</v>
      </c>
      <c r="O64">
        <v>0.33883614961531855</v>
      </c>
      <c r="AU64" t="s">
        <v>145</v>
      </c>
      <c r="AV64">
        <v>0.34363826411887832</v>
      </c>
      <c r="AW64">
        <v>0.31042481803766137</v>
      </c>
      <c r="AX64">
        <v>0.35257714652076561</v>
      </c>
      <c r="AY64">
        <v>0.27508917063572402</v>
      </c>
      <c r="AZ64">
        <v>0.22683703923534612</v>
      </c>
      <c r="BA64">
        <v>0.27235157302006185</v>
      </c>
      <c r="BB64">
        <v>0.2060741022064862</v>
      </c>
      <c r="BC64">
        <v>0.14647718743465377</v>
      </c>
      <c r="BD64">
        <v>0.20253377376523615</v>
      </c>
      <c r="BE64">
        <v>0.31700451543783387</v>
      </c>
      <c r="BF64">
        <v>0.28589391085079369</v>
      </c>
      <c r="BG64">
        <v>0.33640643394491937</v>
      </c>
      <c r="BI64" t="s">
        <v>172</v>
      </c>
      <c r="BJ64" t="s">
        <v>99</v>
      </c>
      <c r="BK64" t="s">
        <v>100</v>
      </c>
      <c r="BL64">
        <v>0.18549981193022885</v>
      </c>
    </row>
    <row r="65" spans="2:64" x14ac:dyDescent="0.45">
      <c r="B65" t="s">
        <v>147</v>
      </c>
      <c r="C65" t="s">
        <v>95</v>
      </c>
      <c r="D65">
        <v>0.29904331831244951</v>
      </c>
      <c r="E65">
        <v>0.33771530749840939</v>
      </c>
      <c r="F65">
        <v>0.28897099530748455</v>
      </c>
      <c r="G65">
        <v>0.25758923434160474</v>
      </c>
      <c r="H65">
        <v>0.30909427076280555</v>
      </c>
      <c r="I65">
        <v>0.27460085559226749</v>
      </c>
      <c r="J65">
        <v>0.28948407450202546</v>
      </c>
      <c r="K65">
        <v>0.35330249457159668</v>
      </c>
      <c r="L65">
        <v>0.29134909749466686</v>
      </c>
      <c r="M65">
        <v>0.32401607305049629</v>
      </c>
      <c r="N65">
        <v>0.34915589850635642</v>
      </c>
      <c r="O65">
        <v>0.31434204023325424</v>
      </c>
      <c r="AU65" t="s">
        <v>147</v>
      </c>
      <c r="AV65">
        <v>0.41605961755995297</v>
      </c>
      <c r="AW65">
        <v>0.38437726851004578</v>
      </c>
      <c r="AX65">
        <v>0.42590448328317199</v>
      </c>
      <c r="AY65">
        <v>0.33572865989498146</v>
      </c>
      <c r="AZ65">
        <v>0.30856058118027213</v>
      </c>
      <c r="BA65">
        <v>0.32780416977979321</v>
      </c>
      <c r="BB65">
        <v>0.25274440262131642</v>
      </c>
      <c r="BC65">
        <v>0.20562854276221973</v>
      </c>
      <c r="BD65">
        <v>0.26660687517812182</v>
      </c>
      <c r="BE65">
        <v>0.36339050820976954</v>
      </c>
      <c r="BF65">
        <v>0.34757577553105229</v>
      </c>
      <c r="BG65">
        <v>0.38370087768967071</v>
      </c>
      <c r="BI65" t="s">
        <v>173</v>
      </c>
      <c r="BJ65" t="s">
        <v>99</v>
      </c>
      <c r="BK65" t="s">
        <v>100</v>
      </c>
      <c r="BL65">
        <v>0.27373889483645858</v>
      </c>
    </row>
    <row r="66" spans="2:64" x14ac:dyDescent="0.45">
      <c r="B66" t="s">
        <v>149</v>
      </c>
      <c r="C66" t="s">
        <v>95</v>
      </c>
      <c r="D66">
        <v>0.32113505832967637</v>
      </c>
      <c r="E66">
        <v>0.36563530708477682</v>
      </c>
      <c r="F66">
        <v>0.30832034592043261</v>
      </c>
      <c r="G66">
        <v>0.29596360114292597</v>
      </c>
      <c r="H66">
        <v>0.33504280172213569</v>
      </c>
      <c r="I66">
        <v>0.31909091241937371</v>
      </c>
      <c r="J66">
        <v>0.29770995328283845</v>
      </c>
      <c r="K66">
        <v>0.37987488126531144</v>
      </c>
      <c r="L66">
        <v>0.32669800869135135</v>
      </c>
      <c r="M66">
        <v>0.33298576097834159</v>
      </c>
      <c r="N66">
        <v>0.3727465920545856</v>
      </c>
      <c r="O66">
        <v>0.31788046186460045</v>
      </c>
      <c r="AU66" t="s">
        <v>149</v>
      </c>
      <c r="AV66">
        <v>0.39391699980975647</v>
      </c>
      <c r="AW66">
        <v>0.35268958971661429</v>
      </c>
      <c r="AX66">
        <v>0.3989159883305346</v>
      </c>
      <c r="AY66">
        <v>0.30947515115309032</v>
      </c>
      <c r="AZ66">
        <v>0.2696231457988516</v>
      </c>
      <c r="BA66">
        <v>0.29962210282366131</v>
      </c>
      <c r="BB66">
        <v>0.23239347768501231</v>
      </c>
      <c r="BC66">
        <v>0.16759033481651642</v>
      </c>
      <c r="BD66">
        <v>0.21823231904534801</v>
      </c>
      <c r="BE66">
        <v>0.3536451186989425</v>
      </c>
      <c r="BF66">
        <v>0.32345217646110286</v>
      </c>
      <c r="BG66">
        <v>0.37818507894074072</v>
      </c>
      <c r="BI66" t="s">
        <v>174</v>
      </c>
      <c r="BJ66" t="s">
        <v>99</v>
      </c>
      <c r="BK66" t="s">
        <v>100</v>
      </c>
      <c r="BL66">
        <v>0.23527892406365636</v>
      </c>
    </row>
    <row r="67" spans="2:64" x14ac:dyDescent="0.45">
      <c r="B67" t="s">
        <v>151</v>
      </c>
      <c r="C67" t="s">
        <v>95</v>
      </c>
      <c r="D67">
        <v>0.35725604913465409</v>
      </c>
      <c r="E67">
        <v>0.38590020873810249</v>
      </c>
      <c r="F67">
        <v>0.3413434938329642</v>
      </c>
      <c r="G67">
        <v>0.30043871068172123</v>
      </c>
      <c r="H67">
        <v>0.38056031004587182</v>
      </c>
      <c r="I67">
        <v>0.31164391391960627</v>
      </c>
      <c r="J67">
        <v>0.31320189163744888</v>
      </c>
      <c r="K67">
        <v>0.40959463493381998</v>
      </c>
      <c r="L67">
        <v>0.32496894151317546</v>
      </c>
      <c r="M67">
        <v>0.35156652596916932</v>
      </c>
      <c r="N67">
        <v>0.39932205684673644</v>
      </c>
      <c r="O67">
        <v>0.3359418352417719</v>
      </c>
      <c r="AU67" t="s">
        <v>151</v>
      </c>
      <c r="AV67">
        <v>0.33247212083490857</v>
      </c>
      <c r="AW67">
        <v>0.29627847156955855</v>
      </c>
      <c r="AX67">
        <v>0.33572749808557278</v>
      </c>
      <c r="AY67">
        <v>0.2721993319641649</v>
      </c>
      <c r="AZ67">
        <v>0.2235744239228554</v>
      </c>
      <c r="BA67">
        <v>0.2530836564265268</v>
      </c>
      <c r="BB67">
        <v>0.18895622689057143</v>
      </c>
      <c r="BC67">
        <v>0.12967695717701946</v>
      </c>
      <c r="BD67">
        <v>0.17683632989979639</v>
      </c>
      <c r="BE67">
        <v>0.30825167608747545</v>
      </c>
      <c r="BF67">
        <v>0.26453656178598572</v>
      </c>
      <c r="BG67">
        <v>0.31500808000923919</v>
      </c>
      <c r="BI67" t="s">
        <v>175</v>
      </c>
      <c r="BJ67" t="s">
        <v>99</v>
      </c>
      <c r="BK67" t="s">
        <v>100</v>
      </c>
      <c r="BL67">
        <v>0.19591429949362063</v>
      </c>
    </row>
    <row r="68" spans="2:64" x14ac:dyDescent="0.45">
      <c r="B68" t="s">
        <v>153</v>
      </c>
      <c r="C68" t="s">
        <v>95</v>
      </c>
      <c r="D68">
        <v>0.42410736108217895</v>
      </c>
      <c r="E68">
        <v>0.43629659587048658</v>
      </c>
      <c r="F68">
        <v>0.41787801438629457</v>
      </c>
      <c r="G68">
        <v>0.32651815097637049</v>
      </c>
      <c r="H68">
        <v>0.3292191727528721</v>
      </c>
      <c r="I68">
        <v>0.31952484596603259</v>
      </c>
      <c r="J68">
        <v>0.46019614062661701</v>
      </c>
      <c r="K68">
        <v>0.39360206756164123</v>
      </c>
      <c r="L68">
        <v>0.38861404979090436</v>
      </c>
      <c r="M68">
        <v>0.39529105818889693</v>
      </c>
      <c r="N68">
        <v>0.38766196947615145</v>
      </c>
      <c r="O68">
        <v>0.36868792288157454</v>
      </c>
      <c r="AU68" t="s">
        <v>153</v>
      </c>
      <c r="AV68">
        <v>0.1822444721642911</v>
      </c>
      <c r="AW68">
        <v>0.20217555419635858</v>
      </c>
      <c r="AX68">
        <v>0.19192220275957819</v>
      </c>
      <c r="AY68">
        <v>0.23832818193349248</v>
      </c>
      <c r="AZ68">
        <v>0.25399168591584315</v>
      </c>
      <c r="BA68">
        <v>0.2535159041995837</v>
      </c>
      <c r="BB68">
        <v>7.8653580849031929E-2</v>
      </c>
      <c r="BC68">
        <v>9.3780602955642708E-2</v>
      </c>
      <c r="BD68">
        <v>8.7698390409142665E-2</v>
      </c>
      <c r="BE68">
        <v>0.20717735531404505</v>
      </c>
      <c r="BF68">
        <v>0.2106346566801425</v>
      </c>
      <c r="BG68">
        <v>0.21616252492085536</v>
      </c>
      <c r="BI68" t="s">
        <v>176</v>
      </c>
      <c r="BJ68" t="s">
        <v>99</v>
      </c>
      <c r="BK68" t="s">
        <v>100</v>
      </c>
      <c r="BL68">
        <v>0.22402534853496509</v>
      </c>
    </row>
    <row r="69" spans="2:64" x14ac:dyDescent="0.45">
      <c r="B69" t="s">
        <v>155</v>
      </c>
      <c r="C69" t="s">
        <v>95</v>
      </c>
      <c r="D69">
        <v>0.4528666549760062</v>
      </c>
      <c r="E69">
        <v>0.47648549474648444</v>
      </c>
      <c r="F69">
        <v>0.43986508630849164</v>
      </c>
      <c r="G69">
        <v>0.44240229231222583</v>
      </c>
      <c r="H69">
        <v>0.38261115724958922</v>
      </c>
      <c r="I69">
        <v>0.34567523080009566</v>
      </c>
      <c r="J69">
        <v>0.53480323926930828</v>
      </c>
      <c r="K69">
        <v>0.50006362551236405</v>
      </c>
      <c r="L69">
        <v>0.48373035457240227</v>
      </c>
      <c r="M69">
        <v>0.48155226868900014</v>
      </c>
      <c r="N69">
        <v>0.46320736024429376</v>
      </c>
      <c r="O69">
        <v>0.45366303661886009</v>
      </c>
      <c r="AU69" t="s">
        <v>155</v>
      </c>
      <c r="AV69">
        <v>0.26741501454751498</v>
      </c>
      <c r="AW69">
        <v>0.26876310390713604</v>
      </c>
      <c r="AX69">
        <v>0.27404615832084706</v>
      </c>
      <c r="AY69">
        <v>0.28360794950810764</v>
      </c>
      <c r="AZ69">
        <v>0.34743980902774702</v>
      </c>
      <c r="BA69">
        <v>0.36002127388570027</v>
      </c>
      <c r="BB69">
        <v>0.11473583136878679</v>
      </c>
      <c r="BC69">
        <v>0.13704138240421682</v>
      </c>
      <c r="BD69">
        <v>0.1731524000253975</v>
      </c>
      <c r="BE69">
        <v>0.27596329877123271</v>
      </c>
      <c r="BF69">
        <v>0.27475207386581202</v>
      </c>
      <c r="BG69">
        <v>0.3102783437485403</v>
      </c>
      <c r="BI69" t="s">
        <v>132</v>
      </c>
      <c r="BJ69" t="s">
        <v>99</v>
      </c>
      <c r="BK69" t="s">
        <v>100</v>
      </c>
      <c r="BL69">
        <v>0.56636210015158772</v>
      </c>
    </row>
    <row r="70" spans="2:64" x14ac:dyDescent="0.45">
      <c r="B70" t="s">
        <v>157</v>
      </c>
      <c r="C70" t="s">
        <v>95</v>
      </c>
      <c r="D70">
        <v>0.57134695990559026</v>
      </c>
      <c r="E70">
        <v>0.57931937867572891</v>
      </c>
      <c r="F70">
        <v>0.55742977252538983</v>
      </c>
      <c r="G70">
        <v>0.51530835764147809</v>
      </c>
      <c r="H70">
        <v>0.47108355739105556</v>
      </c>
      <c r="I70">
        <v>0.45540912106921927</v>
      </c>
      <c r="J70">
        <v>0.59154721283904177</v>
      </c>
      <c r="K70">
        <v>0.49402431208313236</v>
      </c>
      <c r="L70">
        <v>0.54587638064690402</v>
      </c>
      <c r="M70">
        <v>0.54925322419109068</v>
      </c>
      <c r="N70">
        <v>0.51242621598332772</v>
      </c>
      <c r="O70">
        <v>0.52397776694876674</v>
      </c>
      <c r="AU70" t="s">
        <v>157</v>
      </c>
      <c r="AV70">
        <v>0.15547150228960543</v>
      </c>
      <c r="AW70">
        <v>0.16553989726809556</v>
      </c>
      <c r="AX70">
        <v>0.14929614659771853</v>
      </c>
      <c r="AY70">
        <v>0.20043437635291608</v>
      </c>
      <c r="AZ70">
        <v>0.23830317641060925</v>
      </c>
      <c r="BA70">
        <v>0.25123091479936455</v>
      </c>
      <c r="BB70">
        <v>5.3523604345692116E-2</v>
      </c>
      <c r="BC70">
        <v>6.7711281878943499E-2</v>
      </c>
      <c r="BD70">
        <v>8.3065128323733542E-2</v>
      </c>
      <c r="BE70">
        <v>0.18741789718790902</v>
      </c>
      <c r="BF70">
        <v>0.19536200869827311</v>
      </c>
      <c r="BG70">
        <v>0.24212236089995565</v>
      </c>
      <c r="BI70" t="s">
        <v>134</v>
      </c>
      <c r="BJ70" t="s">
        <v>99</v>
      </c>
      <c r="BK70" t="s">
        <v>100</v>
      </c>
      <c r="BL70">
        <v>0.30563667234962677</v>
      </c>
    </row>
    <row r="71" spans="2:64" x14ac:dyDescent="0.45">
      <c r="B71" t="s">
        <v>159</v>
      </c>
      <c r="C71" t="s">
        <v>95</v>
      </c>
      <c r="D71">
        <v>0.55727837074684949</v>
      </c>
      <c r="E71">
        <v>0.57437458679549536</v>
      </c>
      <c r="F71">
        <v>0.56586915776057445</v>
      </c>
      <c r="G71">
        <v>0.56712228544353915</v>
      </c>
      <c r="H71">
        <v>0.49650731274782262</v>
      </c>
      <c r="I71">
        <v>0.57802077859743028</v>
      </c>
      <c r="J71">
        <v>0.54891118322600185</v>
      </c>
      <c r="K71">
        <v>0.41896061226138648</v>
      </c>
      <c r="L71">
        <v>0.43421469819159658</v>
      </c>
      <c r="M71">
        <v>0.53350077762512327</v>
      </c>
      <c r="N71">
        <v>0.4736896406199696</v>
      </c>
      <c r="O71">
        <v>0.52541567064698258</v>
      </c>
      <c r="AU71" t="s">
        <v>159</v>
      </c>
      <c r="AV71">
        <v>0.12487877540746316</v>
      </c>
      <c r="AW71">
        <v>0.12418833690824815</v>
      </c>
      <c r="AX71">
        <v>0.1216042015921428</v>
      </c>
      <c r="AY71">
        <v>0.108958108173639</v>
      </c>
      <c r="AZ71">
        <v>0.11149968763208523</v>
      </c>
      <c r="BA71">
        <v>0.1069693745040517</v>
      </c>
      <c r="BB71">
        <v>3.3753809061043125E-2</v>
      </c>
      <c r="BC71">
        <v>3.158103429722478E-2</v>
      </c>
      <c r="BD71">
        <v>2.1467079764461494E-2</v>
      </c>
      <c r="BE71">
        <v>0.11661240387727778</v>
      </c>
      <c r="BF71">
        <v>0.1029239335762603</v>
      </c>
      <c r="BG71">
        <v>0.11688473393702231</v>
      </c>
      <c r="BI71" t="s">
        <v>136</v>
      </c>
      <c r="BJ71" t="s">
        <v>99</v>
      </c>
      <c r="BK71" t="s">
        <v>100</v>
      </c>
      <c r="BL71">
        <v>0.33929474615515359</v>
      </c>
    </row>
    <row r="72" spans="2:64" x14ac:dyDescent="0.45">
      <c r="B72" t="s">
        <v>161</v>
      </c>
      <c r="C72" t="s">
        <v>95</v>
      </c>
      <c r="D72">
        <v>0.34386912969897476</v>
      </c>
      <c r="E72">
        <v>0.38553605986645589</v>
      </c>
      <c r="F72">
        <v>0.33503172289349242</v>
      </c>
      <c r="G72">
        <v>0.38798202166278595</v>
      </c>
      <c r="H72">
        <v>0.41824626654193092</v>
      </c>
      <c r="I72">
        <v>0.38306678923771736</v>
      </c>
      <c r="J72">
        <v>0.42053766669715609</v>
      </c>
      <c r="K72">
        <v>0.44843379201933481</v>
      </c>
      <c r="L72">
        <v>0.3878917178474689</v>
      </c>
      <c r="M72">
        <v>0.35033480213017887</v>
      </c>
      <c r="N72">
        <v>0.38145607234983059</v>
      </c>
      <c r="O72">
        <v>0.34745281546528606</v>
      </c>
      <c r="AU72" t="s">
        <v>161</v>
      </c>
      <c r="AV72">
        <v>0.28736208054920365</v>
      </c>
      <c r="AW72">
        <v>0.28050792357614485</v>
      </c>
      <c r="AX72">
        <v>0.3069741260831263</v>
      </c>
      <c r="AY72">
        <v>0.18352751484887789</v>
      </c>
      <c r="AZ72">
        <v>0.22453292554233009</v>
      </c>
      <c r="BA72">
        <v>0.22469288603296661</v>
      </c>
      <c r="BB72">
        <v>0.17666597677361087</v>
      </c>
      <c r="BC72">
        <v>0.18892963912256475</v>
      </c>
      <c r="BD72">
        <v>0.20487453655807639</v>
      </c>
      <c r="BE72">
        <v>0.24690454443090928</v>
      </c>
      <c r="BF72">
        <v>0.24507811977600327</v>
      </c>
      <c r="BG72">
        <v>0.25749017297350602</v>
      </c>
      <c r="BI72" t="s">
        <v>138</v>
      </c>
      <c r="BJ72" t="s">
        <v>99</v>
      </c>
      <c r="BK72" t="s">
        <v>100</v>
      </c>
      <c r="BL72">
        <v>0.36523107218634143</v>
      </c>
    </row>
    <row r="73" spans="2:64" x14ac:dyDescent="0.45">
      <c r="B73" t="s">
        <v>163</v>
      </c>
      <c r="C73" t="s">
        <v>95</v>
      </c>
      <c r="D73">
        <v>0.43623150607131816</v>
      </c>
      <c r="E73">
        <v>0.50668274118569701</v>
      </c>
      <c r="F73">
        <v>0.43449066097433392</v>
      </c>
      <c r="G73">
        <v>0.50736278665138745</v>
      </c>
      <c r="H73">
        <v>0.45092388774374664</v>
      </c>
      <c r="I73">
        <v>0.43287273702855406</v>
      </c>
      <c r="J73">
        <v>0.55119265438725118</v>
      </c>
      <c r="K73">
        <v>0.48165364729050075</v>
      </c>
      <c r="L73">
        <v>0.45016537586666344</v>
      </c>
      <c r="M73">
        <v>0.44924123703224766</v>
      </c>
      <c r="N73">
        <v>0.44743031193669069</v>
      </c>
      <c r="O73">
        <v>0.41986930774211462</v>
      </c>
      <c r="AU73" t="s">
        <v>163</v>
      </c>
      <c r="AV73">
        <v>0.21216395077185776</v>
      </c>
      <c r="AW73">
        <v>0.21171654200937276</v>
      </c>
      <c r="AX73">
        <v>0.22694340465539323</v>
      </c>
      <c r="AY73">
        <v>0.17509758895297198</v>
      </c>
      <c r="AZ73">
        <v>0.23837091391236107</v>
      </c>
      <c r="BA73">
        <v>0.22743640692379685</v>
      </c>
      <c r="BB73">
        <v>9.8631073108625844E-2</v>
      </c>
      <c r="BC73">
        <v>0.13409503068383263</v>
      </c>
      <c r="BD73">
        <v>0.15425783391488657</v>
      </c>
      <c r="BE73">
        <v>0.16988409708076291</v>
      </c>
      <c r="BF73">
        <v>0.17895104756280464</v>
      </c>
      <c r="BG73">
        <v>0.1909925714151364</v>
      </c>
      <c r="BI73" t="s">
        <v>140</v>
      </c>
      <c r="BJ73" t="s">
        <v>99</v>
      </c>
      <c r="BK73" t="s">
        <v>100</v>
      </c>
      <c r="BL73">
        <v>0.47398003145553769</v>
      </c>
    </row>
    <row r="74" spans="2:64" x14ac:dyDescent="0.45">
      <c r="B74" t="s">
        <v>165</v>
      </c>
      <c r="C74" t="s">
        <v>95</v>
      </c>
      <c r="D74">
        <v>0.3242632197427151</v>
      </c>
      <c r="E74">
        <v>0.37892091659877375</v>
      </c>
      <c r="F74">
        <v>0.32366864491713021</v>
      </c>
      <c r="G74">
        <v>0.32480157528360248</v>
      </c>
      <c r="H74">
        <v>0.34515468371990921</v>
      </c>
      <c r="I74">
        <v>0.33862741890776193</v>
      </c>
      <c r="J74">
        <v>0.39673392568796317</v>
      </c>
      <c r="K74">
        <v>0.4354279392082292</v>
      </c>
      <c r="L74">
        <v>0.38002595392401867</v>
      </c>
      <c r="M74">
        <v>0.32862159524265555</v>
      </c>
      <c r="N74">
        <v>0.35694291087526059</v>
      </c>
      <c r="O74">
        <v>0.32671401264511751</v>
      </c>
      <c r="AU74" t="s">
        <v>165</v>
      </c>
      <c r="AV74">
        <v>0.32180212969917321</v>
      </c>
      <c r="AW74">
        <v>0.32921456878628658</v>
      </c>
      <c r="AX74">
        <v>0.34177128678455287</v>
      </c>
      <c r="AY74">
        <v>0.27082064391965743</v>
      </c>
      <c r="AZ74">
        <v>0.31310332391289214</v>
      </c>
      <c r="BA74">
        <v>0.29696413182155912</v>
      </c>
      <c r="BB74">
        <v>0.19198214535351482</v>
      </c>
      <c r="BC74">
        <v>0.2146472570937332</v>
      </c>
      <c r="BD74">
        <v>0.21515204200979579</v>
      </c>
      <c r="BE74">
        <v>0.31188170005032229</v>
      </c>
      <c r="BF74">
        <v>0.32682352160152628</v>
      </c>
      <c r="BG74">
        <v>0.32457107301668481</v>
      </c>
      <c r="BI74" t="s">
        <v>142</v>
      </c>
      <c r="BJ74" t="s">
        <v>99</v>
      </c>
      <c r="BK74" t="s">
        <v>100</v>
      </c>
      <c r="BL74">
        <v>0.30014199653675822</v>
      </c>
    </row>
    <row r="75" spans="2:64" x14ac:dyDescent="0.45">
      <c r="B75" t="s">
        <v>166</v>
      </c>
      <c r="C75" t="s">
        <v>95</v>
      </c>
      <c r="D75">
        <v>0.28518061768766328</v>
      </c>
      <c r="E75">
        <v>0.35281803964752845</v>
      </c>
      <c r="F75">
        <v>0.30057625714764968</v>
      </c>
      <c r="G75">
        <v>0.29708877625466301</v>
      </c>
      <c r="H75">
        <v>0.34577535386904951</v>
      </c>
      <c r="I75">
        <v>0.29034513867103651</v>
      </c>
      <c r="J75">
        <v>0.30866502695836423</v>
      </c>
      <c r="K75">
        <v>0.37474313511241453</v>
      </c>
      <c r="L75">
        <v>0.28593141964775243</v>
      </c>
      <c r="M75">
        <v>0.33296937758133172</v>
      </c>
      <c r="N75">
        <v>0.36322856714974944</v>
      </c>
      <c r="O75">
        <v>0.31884111891221611</v>
      </c>
      <c r="AU75" t="s">
        <v>166</v>
      </c>
      <c r="AV75">
        <v>0.3736599648934692</v>
      </c>
      <c r="AW75">
        <v>0.3338254610537903</v>
      </c>
      <c r="AX75">
        <v>0.35958024592892301</v>
      </c>
      <c r="AY75">
        <v>0.28827190237305983</v>
      </c>
      <c r="AZ75">
        <v>0.24706638688988522</v>
      </c>
      <c r="BA75">
        <v>0.27697949889465134</v>
      </c>
      <c r="BB75">
        <v>0.20193108322835485</v>
      </c>
      <c r="BC75">
        <v>0.15753630314646752</v>
      </c>
      <c r="BD75">
        <v>0.20411728437039328</v>
      </c>
      <c r="BE75">
        <v>0.30071582777178557</v>
      </c>
      <c r="BF75">
        <v>0.29342488111354637</v>
      </c>
      <c r="BG75">
        <v>0.32394023981799669</v>
      </c>
      <c r="BI75" t="s">
        <v>144</v>
      </c>
      <c r="BJ75" t="s">
        <v>99</v>
      </c>
      <c r="BK75" t="s">
        <v>100</v>
      </c>
      <c r="BL75">
        <v>0.36222953501966265</v>
      </c>
    </row>
    <row r="76" spans="2:64" x14ac:dyDescent="0.45">
      <c r="B76" t="s">
        <v>167</v>
      </c>
      <c r="C76" t="s">
        <v>95</v>
      </c>
      <c r="D76">
        <v>0.28864224205130229</v>
      </c>
      <c r="E76">
        <v>0.35925080726273068</v>
      </c>
      <c r="F76">
        <v>0.31965696713929764</v>
      </c>
      <c r="G76">
        <v>0.30875631764826267</v>
      </c>
      <c r="H76">
        <v>0.37885932310658749</v>
      </c>
      <c r="I76">
        <v>0.31949466689015921</v>
      </c>
      <c r="J76">
        <v>0.28951256948522408</v>
      </c>
      <c r="K76">
        <v>0.37561283499884662</v>
      </c>
      <c r="L76">
        <v>0.25978579064533674</v>
      </c>
      <c r="M76">
        <v>0.31966449890852555</v>
      </c>
      <c r="N76">
        <v>0.38333192214402306</v>
      </c>
      <c r="O76">
        <v>0.32901883732661036</v>
      </c>
      <c r="AU76" t="s">
        <v>167</v>
      </c>
      <c r="AV76">
        <v>0.30334563548171056</v>
      </c>
      <c r="AW76">
        <v>0.25297058051065324</v>
      </c>
      <c r="AX76">
        <v>0.28717951081334619</v>
      </c>
      <c r="AY76">
        <v>0.23281885948963862</v>
      </c>
      <c r="AZ76">
        <v>0.21612211304021611</v>
      </c>
      <c r="BA76">
        <v>0.24438853475573499</v>
      </c>
      <c r="BB76">
        <v>0.15305541774102291</v>
      </c>
      <c r="BC76">
        <v>0.10727313990241483</v>
      </c>
      <c r="BD76">
        <v>0.17626281688808679</v>
      </c>
      <c r="BE76">
        <v>0.24938479687456178</v>
      </c>
      <c r="BF76">
        <v>0.22493917125823987</v>
      </c>
      <c r="BG76">
        <v>0.25941701938999329</v>
      </c>
      <c r="BI76" t="s">
        <v>146</v>
      </c>
      <c r="BJ76" t="s">
        <v>99</v>
      </c>
      <c r="BK76" t="s">
        <v>100</v>
      </c>
      <c r="BL76">
        <v>0.31129060889509053</v>
      </c>
    </row>
    <row r="77" spans="2:64" x14ac:dyDescent="0.45">
      <c r="B77" t="s">
        <v>168</v>
      </c>
      <c r="C77" t="s">
        <v>95</v>
      </c>
      <c r="D77">
        <v>0.40894050329963644</v>
      </c>
      <c r="E77">
        <v>0.46280356306028153</v>
      </c>
      <c r="F77">
        <v>0.38338870285692006</v>
      </c>
      <c r="G77">
        <v>0.37657439219888117</v>
      </c>
      <c r="H77">
        <v>0.44433051541718038</v>
      </c>
      <c r="I77">
        <v>0.371670490796768</v>
      </c>
      <c r="J77">
        <v>0.35152266455245512</v>
      </c>
      <c r="K77">
        <v>0.49154836126327095</v>
      </c>
      <c r="L77">
        <v>0.35756121297868171</v>
      </c>
      <c r="M77">
        <v>0.38600357883381298</v>
      </c>
      <c r="N77">
        <v>0.45368568411030852</v>
      </c>
      <c r="O77">
        <v>0.39839493032404644</v>
      </c>
      <c r="AU77" t="s">
        <v>168</v>
      </c>
      <c r="AV77">
        <v>0.21973826315677056</v>
      </c>
      <c r="AW77">
        <v>0.2021003167215891</v>
      </c>
      <c r="AX77">
        <v>0.21143960462677747</v>
      </c>
      <c r="AY77">
        <v>0.19316590837386205</v>
      </c>
      <c r="AZ77">
        <v>0.19124037613893996</v>
      </c>
      <c r="BA77">
        <v>0.21269263436340147</v>
      </c>
      <c r="BB77">
        <v>8.9470614208344748E-2</v>
      </c>
      <c r="BC77">
        <v>7.6728013057001637E-2</v>
      </c>
      <c r="BD77">
        <v>0.10144693446190696</v>
      </c>
      <c r="BE77">
        <v>0.15350149278486722</v>
      </c>
      <c r="BF77">
        <v>0.1368155675350182</v>
      </c>
      <c r="BG77">
        <v>0.16660199294245881</v>
      </c>
      <c r="BI77" t="s">
        <v>148</v>
      </c>
      <c r="BJ77" t="s">
        <v>99</v>
      </c>
      <c r="BK77" t="s">
        <v>100</v>
      </c>
      <c r="BL77">
        <v>0.47683075825860993</v>
      </c>
    </row>
    <row r="78" spans="2:64" x14ac:dyDescent="0.45">
      <c r="B78" t="s">
        <v>169</v>
      </c>
      <c r="C78" t="s">
        <v>95</v>
      </c>
      <c r="D78">
        <v>0.3119678602560465</v>
      </c>
      <c r="E78">
        <v>0.39252297911117828</v>
      </c>
      <c r="F78">
        <v>0.34123420625549766</v>
      </c>
      <c r="G78">
        <v>0.32547523147136187</v>
      </c>
      <c r="H78">
        <v>0.39942344551542014</v>
      </c>
      <c r="I78">
        <v>0.32308047756083458</v>
      </c>
      <c r="J78">
        <v>0.26736813790503139</v>
      </c>
      <c r="K78">
        <v>0.43362197275275105</v>
      </c>
      <c r="L78">
        <v>0.23949275412583146</v>
      </c>
      <c r="M78">
        <v>0.32078326312379729</v>
      </c>
      <c r="N78">
        <v>0.39529103781764974</v>
      </c>
      <c r="O78">
        <v>0.33015548328707867</v>
      </c>
      <c r="AU78" t="s">
        <v>169</v>
      </c>
      <c r="AV78">
        <v>0.26487708005360266</v>
      </c>
      <c r="AW78">
        <v>0.21986169766796648</v>
      </c>
      <c r="AX78">
        <v>0.25136577787508352</v>
      </c>
      <c r="AY78">
        <v>0.23155671150454063</v>
      </c>
      <c r="AZ78">
        <v>0.21389533504307159</v>
      </c>
      <c r="BA78">
        <v>0.24619009792847105</v>
      </c>
      <c r="BB78">
        <v>0.11831807299890236</v>
      </c>
      <c r="BC78">
        <v>8.7706325106432531E-2</v>
      </c>
      <c r="BD78">
        <v>0.15054985249496203</v>
      </c>
      <c r="BE78">
        <v>0.21684802796381678</v>
      </c>
      <c r="BF78">
        <v>0.18753694492343367</v>
      </c>
      <c r="BG78">
        <v>0.22381276480099754</v>
      </c>
      <c r="BI78" t="s">
        <v>150</v>
      </c>
      <c r="BJ78" t="s">
        <v>99</v>
      </c>
      <c r="BK78" t="s">
        <v>100</v>
      </c>
      <c r="BL78">
        <v>0.35233108610943115</v>
      </c>
    </row>
    <row r="79" spans="2:64" x14ac:dyDescent="0.45">
      <c r="B79" t="s">
        <v>170</v>
      </c>
      <c r="C79" t="s">
        <v>95</v>
      </c>
      <c r="D79">
        <v>0.38178834136786666</v>
      </c>
      <c r="E79">
        <v>0.39809900869043813</v>
      </c>
      <c r="F79">
        <v>0.34628962504743649</v>
      </c>
      <c r="G79">
        <v>0.33505278259860566</v>
      </c>
      <c r="H79">
        <v>0.38641196169748926</v>
      </c>
      <c r="I79">
        <v>0.34290586004712914</v>
      </c>
      <c r="J79">
        <v>0.34527676326166928</v>
      </c>
      <c r="K79">
        <v>0.47585140112774937</v>
      </c>
      <c r="L79">
        <v>0.31253904172949065</v>
      </c>
      <c r="M79">
        <v>0.36756205271007991</v>
      </c>
      <c r="N79">
        <v>0.41196028283146902</v>
      </c>
      <c r="O79">
        <v>0.35600944189090472</v>
      </c>
      <c r="AU79" t="s">
        <v>170</v>
      </c>
      <c r="AV79">
        <v>0.23848166295735868</v>
      </c>
      <c r="AW79">
        <v>0.23225718583506805</v>
      </c>
      <c r="AX79">
        <v>0.25086520201394524</v>
      </c>
      <c r="AY79">
        <v>0.21893502027895725</v>
      </c>
      <c r="AZ79">
        <v>0.22197381501747096</v>
      </c>
      <c r="BA79">
        <v>0.24015562460710804</v>
      </c>
      <c r="BB79">
        <v>0.13900115155141887</v>
      </c>
      <c r="BC79">
        <v>0.1182299170411035</v>
      </c>
      <c r="BD79">
        <v>0.14948535138995289</v>
      </c>
      <c r="BE79">
        <v>0.23972189419909909</v>
      </c>
      <c r="BF79">
        <v>0.23132971718604564</v>
      </c>
      <c r="BG79">
        <v>0.24957248893635747</v>
      </c>
      <c r="BI79" t="s">
        <v>152</v>
      </c>
      <c r="BJ79" t="s">
        <v>99</v>
      </c>
      <c r="BK79" t="s">
        <v>100</v>
      </c>
      <c r="BL79">
        <v>0.59307868562336641</v>
      </c>
    </row>
    <row r="80" spans="2:64" x14ac:dyDescent="0.45">
      <c r="B80" t="s">
        <v>171</v>
      </c>
      <c r="C80" t="s">
        <v>95</v>
      </c>
      <c r="D80">
        <v>0.41386453292688136</v>
      </c>
      <c r="E80">
        <v>0.41878277668445563</v>
      </c>
      <c r="F80">
        <v>0.43157402290048463</v>
      </c>
      <c r="G80">
        <v>0.41352551788296804</v>
      </c>
      <c r="H80">
        <v>0.39658176132626383</v>
      </c>
      <c r="I80">
        <v>0.41189872289780266</v>
      </c>
      <c r="J80">
        <v>0.38593654378594422</v>
      </c>
      <c r="K80">
        <v>0.40011983759590442</v>
      </c>
      <c r="L80">
        <v>0.32718106757971321</v>
      </c>
      <c r="M80">
        <v>0.41886162758207146</v>
      </c>
      <c r="N80">
        <v>0.39392650286678571</v>
      </c>
      <c r="O80">
        <v>0.43155308145939791</v>
      </c>
      <c r="AU80" t="s">
        <v>171</v>
      </c>
      <c r="AV80">
        <v>0.1876168025483938</v>
      </c>
      <c r="AW80">
        <v>0.1922225070371632</v>
      </c>
      <c r="AX80">
        <v>0.17503219982021259</v>
      </c>
      <c r="AY80">
        <v>0.12827797759005169</v>
      </c>
      <c r="AZ80">
        <v>0.19076395775010402</v>
      </c>
      <c r="BA80">
        <v>0.14970650003539684</v>
      </c>
      <c r="BB80">
        <v>4.5648412988186358E-2</v>
      </c>
      <c r="BC80">
        <v>7.8601725784270743E-2</v>
      </c>
      <c r="BD80">
        <v>6.9579069383134226E-2</v>
      </c>
      <c r="BE80">
        <v>0.16156607670659837</v>
      </c>
      <c r="BF80">
        <v>0.17497158233645421</v>
      </c>
      <c r="BG80">
        <v>0.16393177330431238</v>
      </c>
      <c r="BI80" t="s">
        <v>154</v>
      </c>
      <c r="BJ80" t="s">
        <v>99</v>
      </c>
      <c r="BK80" t="s">
        <v>100</v>
      </c>
      <c r="BL80">
        <v>0.54744535801468597</v>
      </c>
    </row>
    <row r="81" spans="2:64" x14ac:dyDescent="0.45">
      <c r="B81" t="s">
        <v>172</v>
      </c>
      <c r="C81" t="s">
        <v>95</v>
      </c>
      <c r="D81">
        <v>0.42587906641266504</v>
      </c>
      <c r="E81">
        <v>0.4382602163973115</v>
      </c>
      <c r="F81">
        <v>0.37858266067073654</v>
      </c>
      <c r="G81">
        <v>0.39654664377124388</v>
      </c>
      <c r="H81">
        <v>0.41695813334916831</v>
      </c>
      <c r="I81">
        <v>0.4049378616458208</v>
      </c>
      <c r="J81">
        <v>0.39545685320130453</v>
      </c>
      <c r="K81">
        <v>0.42635250259412399</v>
      </c>
      <c r="L81">
        <v>0.38874861657490994</v>
      </c>
      <c r="M81">
        <v>0.4053192660756203</v>
      </c>
      <c r="N81">
        <v>0.42774801557628223</v>
      </c>
      <c r="O81">
        <v>0.40761848345617951</v>
      </c>
      <c r="AU81" t="s">
        <v>172</v>
      </c>
      <c r="AV81">
        <v>0.16073133203173712</v>
      </c>
      <c r="AW81">
        <v>0.18777983995775269</v>
      </c>
      <c r="AX81">
        <v>0.16132067858241333</v>
      </c>
      <c r="AY81">
        <v>0.12429039531226733</v>
      </c>
      <c r="AZ81">
        <v>0.15808497604674343</v>
      </c>
      <c r="BA81">
        <v>0.14638866925582983</v>
      </c>
      <c r="BB81">
        <v>7.111798865994641E-2</v>
      </c>
      <c r="BC81">
        <v>7.685690531682339E-2</v>
      </c>
      <c r="BD81">
        <v>7.9665519253260764E-2</v>
      </c>
      <c r="BE81">
        <v>0.1411899238806269</v>
      </c>
      <c r="BF81">
        <v>0.14786517519186129</v>
      </c>
      <c r="BG81">
        <v>0.15349040425591343</v>
      </c>
      <c r="BI81" t="s">
        <v>156</v>
      </c>
      <c r="BJ81" t="s">
        <v>99</v>
      </c>
      <c r="BK81" t="s">
        <v>100</v>
      </c>
      <c r="BL81">
        <v>0.61161180282732652</v>
      </c>
    </row>
    <row r="82" spans="2:64" x14ac:dyDescent="0.45">
      <c r="B82" t="s">
        <v>173</v>
      </c>
      <c r="C82" t="s">
        <v>95</v>
      </c>
      <c r="D82">
        <v>0.34838695503675199</v>
      </c>
      <c r="E82">
        <v>0.35092480416286864</v>
      </c>
      <c r="F82">
        <v>0.34612993916964158</v>
      </c>
      <c r="G82">
        <v>0.33914714084403108</v>
      </c>
      <c r="H82">
        <v>0.3997780942589127</v>
      </c>
      <c r="I82">
        <v>0.35791363060367914</v>
      </c>
      <c r="J82">
        <v>0.34714799674526664</v>
      </c>
      <c r="K82">
        <v>0.4097805300683528</v>
      </c>
      <c r="L82">
        <v>0.33010974697572726</v>
      </c>
      <c r="M82">
        <v>0.35575566046019691</v>
      </c>
      <c r="N82">
        <v>0.38758605526447276</v>
      </c>
      <c r="O82">
        <v>0.34467343639535242</v>
      </c>
      <c r="AU82" t="s">
        <v>173</v>
      </c>
      <c r="AV82">
        <v>0.27367204706554737</v>
      </c>
      <c r="AW82">
        <v>0.25566462988267297</v>
      </c>
      <c r="AX82">
        <v>0.2760033623334921</v>
      </c>
      <c r="AY82">
        <v>0.20532213936114027</v>
      </c>
      <c r="AZ82">
        <v>0.21027235824558299</v>
      </c>
      <c r="BA82">
        <v>0.21742018830366378</v>
      </c>
      <c r="BB82">
        <v>0.14515617812575965</v>
      </c>
      <c r="BC82">
        <v>0.11303984379592023</v>
      </c>
      <c r="BD82">
        <v>0.14116518347753873</v>
      </c>
      <c r="BE82">
        <v>0.27600091589570674</v>
      </c>
      <c r="BF82">
        <v>0.25689668749378314</v>
      </c>
      <c r="BG82">
        <v>0.27948690139718979</v>
      </c>
      <c r="BI82" t="s">
        <v>158</v>
      </c>
      <c r="BJ82" t="s">
        <v>99</v>
      </c>
      <c r="BK82" t="s">
        <v>100</v>
      </c>
      <c r="BL82">
        <v>0.58697035247585772</v>
      </c>
    </row>
    <row r="83" spans="2:64" x14ac:dyDescent="0.45">
      <c r="B83" t="s">
        <v>174</v>
      </c>
      <c r="C83" t="s">
        <v>95</v>
      </c>
      <c r="D83">
        <v>0.3842495260046232</v>
      </c>
      <c r="E83">
        <v>0.38912187632961076</v>
      </c>
      <c r="F83">
        <v>0.37586156539587434</v>
      </c>
      <c r="G83">
        <v>0.32613384551478036</v>
      </c>
      <c r="H83">
        <v>0.41924477230347029</v>
      </c>
      <c r="I83">
        <v>0.35489847017958581</v>
      </c>
      <c r="J83">
        <v>0.3410215826150314</v>
      </c>
      <c r="K83">
        <v>0.41533492369090103</v>
      </c>
      <c r="L83">
        <v>0.30030040573269656</v>
      </c>
      <c r="M83">
        <v>0.38522486588830784</v>
      </c>
      <c r="N83">
        <v>0.43507046087741508</v>
      </c>
      <c r="O83">
        <v>0.36632567320102827</v>
      </c>
      <c r="AU83" t="s">
        <v>174</v>
      </c>
      <c r="AV83">
        <v>0.230794637023745</v>
      </c>
      <c r="AW83">
        <v>0.22668788718389471</v>
      </c>
      <c r="AX83">
        <v>0.23952883183343027</v>
      </c>
      <c r="AY83">
        <v>0.17827625507882</v>
      </c>
      <c r="AZ83">
        <v>0.16364623222752236</v>
      </c>
      <c r="BA83">
        <v>0.19340415437141553</v>
      </c>
      <c r="BB83">
        <v>0.11751036662749516</v>
      </c>
      <c r="BC83">
        <v>0.10188507146746101</v>
      </c>
      <c r="BD83">
        <v>0.12728915156501044</v>
      </c>
      <c r="BE83">
        <v>0.24066692922744876</v>
      </c>
      <c r="BF83">
        <v>0.21610502013881608</v>
      </c>
      <c r="BG83">
        <v>0.23893222670294903</v>
      </c>
      <c r="BI83" t="s">
        <v>160</v>
      </c>
      <c r="BJ83" t="s">
        <v>99</v>
      </c>
      <c r="BK83" t="s">
        <v>100</v>
      </c>
      <c r="BL83">
        <v>0.67507505332674789</v>
      </c>
    </row>
    <row r="84" spans="2:64" x14ac:dyDescent="0.45">
      <c r="B84" t="s">
        <v>175</v>
      </c>
      <c r="C84" t="s">
        <v>95</v>
      </c>
      <c r="D84">
        <v>0.4454067285874746</v>
      </c>
      <c r="E84">
        <v>0.41990014168192363</v>
      </c>
      <c r="F84">
        <v>0.40490000666281029</v>
      </c>
      <c r="G84">
        <v>0.42473936793323008</v>
      </c>
      <c r="H84">
        <v>0.4369798976300639</v>
      </c>
      <c r="I84">
        <v>0.40069588085887381</v>
      </c>
      <c r="J84">
        <v>0.41132391609871255</v>
      </c>
      <c r="K84">
        <v>0.4796264549093312</v>
      </c>
      <c r="L84">
        <v>0.39186008791261751</v>
      </c>
      <c r="M84">
        <v>0.41041457057699871</v>
      </c>
      <c r="N84">
        <v>0.43829302617235788</v>
      </c>
      <c r="O84">
        <v>0.38127251981352789</v>
      </c>
      <c r="AU84" t="s">
        <v>175</v>
      </c>
      <c r="AV84">
        <v>0.17250745965340433</v>
      </c>
      <c r="AW84">
        <v>0.1626217378435017</v>
      </c>
      <c r="AX84">
        <v>0.19240946808538095</v>
      </c>
      <c r="AY84">
        <v>0.12910407535635629</v>
      </c>
      <c r="AZ84">
        <v>0.12284618041939135</v>
      </c>
      <c r="BA84">
        <v>0.15541887942198263</v>
      </c>
      <c r="BB84">
        <v>9.8749493277547187E-2</v>
      </c>
      <c r="BC84">
        <v>9.5078698742919035E-2</v>
      </c>
      <c r="BD84">
        <v>0.12994712676577894</v>
      </c>
      <c r="BE84">
        <v>0.19814831747323755</v>
      </c>
      <c r="BF84">
        <v>0.18360496708459115</v>
      </c>
      <c r="BG84">
        <v>0.19852954194255845</v>
      </c>
      <c r="BI84" t="s">
        <v>162</v>
      </c>
      <c r="BJ84" t="s">
        <v>99</v>
      </c>
      <c r="BK84" t="s">
        <v>100</v>
      </c>
      <c r="BL84">
        <v>0.64839102083444677</v>
      </c>
    </row>
    <row r="85" spans="2:64" x14ac:dyDescent="0.45">
      <c r="B85" t="s">
        <v>176</v>
      </c>
      <c r="C85" t="s">
        <v>95</v>
      </c>
      <c r="D85">
        <v>0.42047570819760238</v>
      </c>
      <c r="E85">
        <v>0.40444620827788108</v>
      </c>
      <c r="F85">
        <v>0.39874486494253791</v>
      </c>
      <c r="G85">
        <v>0.39168789881487931</v>
      </c>
      <c r="H85">
        <v>0.39738315555943221</v>
      </c>
      <c r="I85">
        <v>0.39884765131321781</v>
      </c>
      <c r="J85">
        <v>0.43044002691032229</v>
      </c>
      <c r="K85">
        <v>0.46290775992242639</v>
      </c>
      <c r="L85">
        <v>0.34639538843328127</v>
      </c>
      <c r="M85">
        <v>0.4171668061514604</v>
      </c>
      <c r="N85">
        <v>0.4251643890556876</v>
      </c>
      <c r="O85">
        <v>0.38735048599448529</v>
      </c>
      <c r="AU85" t="s">
        <v>176</v>
      </c>
      <c r="AV85">
        <v>0.19816184963563924</v>
      </c>
      <c r="AW85">
        <v>0.20714256839057291</v>
      </c>
      <c r="AX85">
        <v>0.21594512439837246</v>
      </c>
      <c r="AY85">
        <v>0.15331089612651844</v>
      </c>
      <c r="AZ85">
        <v>0.18892348692219132</v>
      </c>
      <c r="BA85">
        <v>0.18960220377394671</v>
      </c>
      <c r="BB85">
        <v>0.10485087784501562</v>
      </c>
      <c r="BC85">
        <v>0.12627029162522202</v>
      </c>
      <c r="BD85">
        <v>0.13015113247262061</v>
      </c>
      <c r="BE85">
        <v>0.2184128962253532</v>
      </c>
      <c r="BF85">
        <v>0.22555987162438138</v>
      </c>
      <c r="BG85">
        <v>0.22693282443303409</v>
      </c>
      <c r="BI85" t="s">
        <v>164</v>
      </c>
      <c r="BJ85" t="s">
        <v>99</v>
      </c>
      <c r="BK85" t="s">
        <v>100</v>
      </c>
      <c r="BL85">
        <v>0.59231708253375948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331C8-1BF5-4D23-A74F-B4F186FFA486}">
  <dimension ref="A9:S1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region=FRA")</f>
        <v>~TFM_DINS-AT: region=FRA</v>
      </c>
      <c r="H9" t="str">
        <f>IF(A11="x","DeActivated","~TFM_DINS-AT: region=FRA")</f>
        <v>~TFM_DINS-AT: region=FRA</v>
      </c>
      <c r="L9" t="str">
        <f>IF(A11="x","DeActivated","~TFM_DINS-AT: region=FRA")</f>
        <v>~TFM_DINS-AT: region=FRA</v>
      </c>
      <c r="P9" t="str">
        <f>IF(A11="x","DeActivated","~TFM_INS-AT: region=FRA")</f>
        <v>~TFM_INS-AT: region=FRA</v>
      </c>
    </row>
    <row r="10" spans="1:19" x14ac:dyDescent="0.45">
      <c r="A10" t="s">
        <v>177</v>
      </c>
      <c r="C10" t="s">
        <v>178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179</v>
      </c>
      <c r="P10" t="s">
        <v>180</v>
      </c>
      <c r="Q10" t="s">
        <v>1</v>
      </c>
      <c r="R10" t="s">
        <v>181</v>
      </c>
      <c r="S10" t="s">
        <v>182</v>
      </c>
    </row>
    <row r="11" spans="1:19" x14ac:dyDescent="0.45">
      <c r="C11">
        <v>8.2191780821917804E-2</v>
      </c>
      <c r="D11">
        <v>4.555602515973449E-2</v>
      </c>
      <c r="E11" t="s">
        <v>5</v>
      </c>
      <c r="F11" t="s">
        <v>183</v>
      </c>
      <c r="H11" t="s">
        <v>184</v>
      </c>
      <c r="I11" t="s">
        <v>5</v>
      </c>
      <c r="L11" t="s">
        <v>185</v>
      </c>
      <c r="M11" t="s">
        <v>5</v>
      </c>
      <c r="N11">
        <v>0.33422375616539246</v>
      </c>
      <c r="P11">
        <v>2020</v>
      </c>
      <c r="Q11" t="s">
        <v>186</v>
      </c>
      <c r="R11">
        <v>0.31556666666666672</v>
      </c>
      <c r="S11" t="s">
        <v>187</v>
      </c>
    </row>
    <row r="12" spans="1:19" x14ac:dyDescent="0.45">
      <c r="C12">
        <v>0.10273972602739725</v>
      </c>
      <c r="D12">
        <v>0.14672202471222937</v>
      </c>
      <c r="E12" t="s">
        <v>9</v>
      </c>
      <c r="F12" t="s">
        <v>183</v>
      </c>
      <c r="H12" t="s">
        <v>184</v>
      </c>
      <c r="I12" t="s">
        <v>9</v>
      </c>
      <c r="L12" t="s">
        <v>185</v>
      </c>
      <c r="M12" t="s">
        <v>9</v>
      </c>
      <c r="N12">
        <v>8.9903744818597753E-2</v>
      </c>
      <c r="P12">
        <v>2020</v>
      </c>
      <c r="Q12" t="s">
        <v>188</v>
      </c>
      <c r="R12">
        <v>0.32903333333333334</v>
      </c>
      <c r="S12" t="s">
        <v>187</v>
      </c>
    </row>
    <row r="13" spans="1:19" x14ac:dyDescent="0.45">
      <c r="C13">
        <v>6.1643835616438353E-2</v>
      </c>
      <c r="D13">
        <v>5.4297292593789633E-2</v>
      </c>
      <c r="E13" t="s">
        <v>10</v>
      </c>
      <c r="F13" t="s">
        <v>183</v>
      </c>
      <c r="H13" t="s">
        <v>184</v>
      </c>
      <c r="I13" t="s">
        <v>10</v>
      </c>
      <c r="L13" t="s">
        <v>185</v>
      </c>
      <c r="M13" t="s">
        <v>10</v>
      </c>
      <c r="N13">
        <v>0.16135490523742346</v>
      </c>
      <c r="P13">
        <v>2020</v>
      </c>
      <c r="Q13" t="s">
        <v>189</v>
      </c>
      <c r="R13">
        <v>0.2475333333333333</v>
      </c>
      <c r="S13" t="s">
        <v>187</v>
      </c>
    </row>
    <row r="14" spans="1:19" x14ac:dyDescent="0.45">
      <c r="C14">
        <v>8.4018264840182655E-2</v>
      </c>
      <c r="D14">
        <v>4.6568381274395249E-2</v>
      </c>
      <c r="E14" t="s">
        <v>11</v>
      </c>
      <c r="F14" t="s">
        <v>183</v>
      </c>
      <c r="H14" t="s">
        <v>184</v>
      </c>
      <c r="I14" t="s">
        <v>11</v>
      </c>
      <c r="L14" t="s">
        <v>185</v>
      </c>
      <c r="M14" t="s">
        <v>11</v>
      </c>
      <c r="N14">
        <v>0.34341032577090225</v>
      </c>
      <c r="P14">
        <v>2020</v>
      </c>
      <c r="Q14" t="s">
        <v>190</v>
      </c>
      <c r="R14">
        <v>0.21636666666666668</v>
      </c>
      <c r="S14" t="s">
        <v>187</v>
      </c>
    </row>
    <row r="15" spans="1:19" x14ac:dyDescent="0.45">
      <c r="C15">
        <v>0.1050228310502283</v>
      </c>
      <c r="D15">
        <v>0.14998251415027888</v>
      </c>
      <c r="E15" t="s">
        <v>12</v>
      </c>
      <c r="F15" t="s">
        <v>183</v>
      </c>
      <c r="H15" t="s">
        <v>184</v>
      </c>
      <c r="I15" t="s">
        <v>12</v>
      </c>
      <c r="L15" t="s">
        <v>185</v>
      </c>
      <c r="M15" t="s">
        <v>12</v>
      </c>
      <c r="N15">
        <v>0.13281779002140848</v>
      </c>
      <c r="P15">
        <v>2021</v>
      </c>
      <c r="Q15" t="s">
        <v>186</v>
      </c>
      <c r="R15">
        <v>0.33883333333333332</v>
      </c>
      <c r="S15" t="s">
        <v>187</v>
      </c>
    </row>
    <row r="16" spans="1:19" x14ac:dyDescent="0.45">
      <c r="C16">
        <v>6.3013698630136991E-2</v>
      </c>
      <c r="D16">
        <v>5.5503899095873853E-2</v>
      </c>
      <c r="E16" t="s">
        <v>13</v>
      </c>
      <c r="F16" t="s">
        <v>183</v>
      </c>
      <c r="H16" t="s">
        <v>184</v>
      </c>
      <c r="I16" t="s">
        <v>13</v>
      </c>
      <c r="L16" t="s">
        <v>185</v>
      </c>
      <c r="M16" t="s">
        <v>13</v>
      </c>
      <c r="N16">
        <v>0.21033216469750315</v>
      </c>
      <c r="P16">
        <v>2021</v>
      </c>
      <c r="Q16" t="s">
        <v>188</v>
      </c>
      <c r="R16">
        <v>0.27746666666666669</v>
      </c>
      <c r="S16" t="s">
        <v>187</v>
      </c>
    </row>
    <row r="17" spans="3:19" x14ac:dyDescent="0.45">
      <c r="C17">
        <v>8.4018264840182655E-2</v>
      </c>
      <c r="D17">
        <v>4.6568381274395249E-2</v>
      </c>
      <c r="E17" t="s">
        <v>14</v>
      </c>
      <c r="F17" t="s">
        <v>183</v>
      </c>
      <c r="H17" t="s">
        <v>184</v>
      </c>
      <c r="I17" t="s">
        <v>14</v>
      </c>
      <c r="L17" t="s">
        <v>185</v>
      </c>
      <c r="M17" t="s">
        <v>14</v>
      </c>
      <c r="N17">
        <v>0.25648962628082539</v>
      </c>
      <c r="P17">
        <v>2021</v>
      </c>
      <c r="Q17" t="s">
        <v>189</v>
      </c>
      <c r="R17">
        <v>0.27649999999999997</v>
      </c>
      <c r="S17" t="s">
        <v>187</v>
      </c>
    </row>
    <row r="18" spans="3:19" x14ac:dyDescent="0.45">
      <c r="C18">
        <v>0.1050228310502283</v>
      </c>
      <c r="D18">
        <v>0.14998251415027888</v>
      </c>
      <c r="E18" t="s">
        <v>15</v>
      </c>
      <c r="F18" t="s">
        <v>183</v>
      </c>
      <c r="H18" t="s">
        <v>184</v>
      </c>
      <c r="I18" t="s">
        <v>15</v>
      </c>
      <c r="L18" t="s">
        <v>185</v>
      </c>
      <c r="M18" t="s">
        <v>15</v>
      </c>
      <c r="N18">
        <v>0.10536236988881864</v>
      </c>
      <c r="P18">
        <v>2021</v>
      </c>
      <c r="Q18" t="s">
        <v>190</v>
      </c>
      <c r="R18">
        <v>0.17016666666666666</v>
      </c>
      <c r="S18" t="s">
        <v>187</v>
      </c>
    </row>
    <row r="19" spans="3:19" x14ac:dyDescent="0.45">
      <c r="C19">
        <v>6.3013698630136991E-2</v>
      </c>
      <c r="D19">
        <v>5.5503899095873853E-2</v>
      </c>
      <c r="E19" t="s">
        <v>16</v>
      </c>
      <c r="F19" t="s">
        <v>183</v>
      </c>
      <c r="H19" t="s">
        <v>184</v>
      </c>
      <c r="I19" t="s">
        <v>16</v>
      </c>
      <c r="L19" t="s">
        <v>185</v>
      </c>
      <c r="M19" t="s">
        <v>16</v>
      </c>
      <c r="N19">
        <v>0.13209071708321041</v>
      </c>
      <c r="P19">
        <v>2022</v>
      </c>
      <c r="Q19" t="s">
        <v>186</v>
      </c>
      <c r="R19">
        <v>0.25390000000000001</v>
      </c>
      <c r="S19" t="s">
        <v>187</v>
      </c>
    </row>
    <row r="20" spans="3:19" x14ac:dyDescent="0.45">
      <c r="C20">
        <v>8.3105022831050229E-2</v>
      </c>
      <c r="D20">
        <v>4.6062203217064869E-2</v>
      </c>
      <c r="E20" t="s">
        <v>17</v>
      </c>
      <c r="F20" t="s">
        <v>183</v>
      </c>
      <c r="H20" t="s">
        <v>184</v>
      </c>
      <c r="I20" t="s">
        <v>17</v>
      </c>
      <c r="L20" t="s">
        <v>185</v>
      </c>
      <c r="M20" t="s">
        <v>17</v>
      </c>
      <c r="N20">
        <v>0.37086759523409962</v>
      </c>
      <c r="P20">
        <v>2022</v>
      </c>
      <c r="Q20" t="s">
        <v>188</v>
      </c>
      <c r="R20">
        <v>0.23780000000000001</v>
      </c>
      <c r="S20" t="s">
        <v>187</v>
      </c>
    </row>
    <row r="21" spans="3:19" x14ac:dyDescent="0.45">
      <c r="C21">
        <v>0.10388127853881278</v>
      </c>
      <c r="D21">
        <v>0.14835226943125412</v>
      </c>
      <c r="E21" t="s">
        <v>18</v>
      </c>
      <c r="F21" t="s">
        <v>183</v>
      </c>
      <c r="H21" t="s">
        <v>184</v>
      </c>
      <c r="I21" t="s">
        <v>18</v>
      </c>
      <c r="L21" t="s">
        <v>185</v>
      </c>
      <c r="M21" t="s">
        <v>18</v>
      </c>
      <c r="N21">
        <v>0.1709931594553209</v>
      </c>
      <c r="P21">
        <v>2022</v>
      </c>
      <c r="Q21" t="s">
        <v>189</v>
      </c>
      <c r="R21">
        <v>0.16893333333333335</v>
      </c>
      <c r="S21" t="s">
        <v>187</v>
      </c>
    </row>
    <row r="22" spans="3:19" x14ac:dyDescent="0.45">
      <c r="C22">
        <v>6.2328767123287672E-2</v>
      </c>
      <c r="D22">
        <v>5.4900595844831736E-2</v>
      </c>
      <c r="E22" t="s">
        <v>19</v>
      </c>
      <c r="F22" t="s">
        <v>183</v>
      </c>
      <c r="H22" t="s">
        <v>184</v>
      </c>
      <c r="I22" t="s">
        <v>19</v>
      </c>
      <c r="L22" t="s">
        <v>185</v>
      </c>
      <c r="M22" t="s">
        <v>19</v>
      </c>
      <c r="N22">
        <v>0.23823455411858552</v>
      </c>
      <c r="P22">
        <v>2022</v>
      </c>
      <c r="Q22" t="s">
        <v>190</v>
      </c>
      <c r="R22">
        <v>0.15003333333333332</v>
      </c>
      <c r="S22" t="s">
        <v>187</v>
      </c>
    </row>
    <row r="23" spans="3:19" x14ac:dyDescent="0.45">
      <c r="H23" t="s">
        <v>191</v>
      </c>
      <c r="I23" t="s">
        <v>5</v>
      </c>
      <c r="P23">
        <v>2025</v>
      </c>
      <c r="Q23" t="s">
        <v>186</v>
      </c>
      <c r="R23">
        <v>0.29619999999999996</v>
      </c>
      <c r="S23" t="s">
        <v>187</v>
      </c>
    </row>
    <row r="24" spans="3:19" x14ac:dyDescent="0.45">
      <c r="H24" t="s">
        <v>191</v>
      </c>
      <c r="I24" t="s">
        <v>9</v>
      </c>
      <c r="P24">
        <v>2025</v>
      </c>
      <c r="Q24" t="s">
        <v>188</v>
      </c>
      <c r="R24">
        <v>0.27356666666666668</v>
      </c>
      <c r="S24" t="s">
        <v>187</v>
      </c>
    </row>
    <row r="25" spans="3:19" x14ac:dyDescent="0.45">
      <c r="H25" t="s">
        <v>191</v>
      </c>
      <c r="I25" t="s">
        <v>10</v>
      </c>
      <c r="P25">
        <v>2025</v>
      </c>
      <c r="Q25" t="s">
        <v>189</v>
      </c>
      <c r="R25">
        <v>0.23003333333333331</v>
      </c>
      <c r="S25" t="s">
        <v>187</v>
      </c>
    </row>
    <row r="26" spans="3:19" x14ac:dyDescent="0.45">
      <c r="H26" t="s">
        <v>191</v>
      </c>
      <c r="I26" t="s">
        <v>11</v>
      </c>
      <c r="P26">
        <v>2025</v>
      </c>
      <c r="Q26" t="s">
        <v>190</v>
      </c>
      <c r="R26">
        <v>0.2056</v>
      </c>
      <c r="S26" t="s">
        <v>187</v>
      </c>
    </row>
    <row r="27" spans="3:19" x14ac:dyDescent="0.45">
      <c r="H27" t="s">
        <v>191</v>
      </c>
      <c r="I27" t="s">
        <v>12</v>
      </c>
      <c r="P27">
        <v>2026</v>
      </c>
      <c r="Q27" t="s">
        <v>186</v>
      </c>
      <c r="R27">
        <v>0.30990000000000001</v>
      </c>
      <c r="S27" t="s">
        <v>187</v>
      </c>
    </row>
    <row r="28" spans="3:19" x14ac:dyDescent="0.45">
      <c r="H28" t="s">
        <v>191</v>
      </c>
      <c r="I28" t="s">
        <v>13</v>
      </c>
      <c r="P28">
        <v>2026</v>
      </c>
      <c r="Q28" t="s">
        <v>188</v>
      </c>
      <c r="R28">
        <v>0.24750000000000003</v>
      </c>
      <c r="S28" t="s">
        <v>187</v>
      </c>
    </row>
    <row r="29" spans="3:19" x14ac:dyDescent="0.45">
      <c r="H29" t="s">
        <v>191</v>
      </c>
      <c r="I29" t="s">
        <v>14</v>
      </c>
      <c r="P29">
        <v>2026</v>
      </c>
      <c r="Q29" t="s">
        <v>189</v>
      </c>
      <c r="R29">
        <v>0.23356666666666667</v>
      </c>
      <c r="S29" t="s">
        <v>187</v>
      </c>
    </row>
    <row r="30" spans="3:19" x14ac:dyDescent="0.45">
      <c r="H30" t="s">
        <v>191</v>
      </c>
      <c r="I30" t="s">
        <v>15</v>
      </c>
      <c r="P30">
        <v>2026</v>
      </c>
      <c r="Q30" t="s">
        <v>190</v>
      </c>
      <c r="R30">
        <v>0.18826666666666667</v>
      </c>
      <c r="S30" t="s">
        <v>187</v>
      </c>
    </row>
    <row r="31" spans="3:19" x14ac:dyDescent="0.45">
      <c r="H31" t="s">
        <v>191</v>
      </c>
      <c r="I31" t="s">
        <v>16</v>
      </c>
      <c r="P31">
        <v>2027</v>
      </c>
      <c r="Q31" t="s">
        <v>186</v>
      </c>
      <c r="R31">
        <v>0.30763333333333337</v>
      </c>
      <c r="S31" t="s">
        <v>187</v>
      </c>
    </row>
    <row r="32" spans="3:19" x14ac:dyDescent="0.45">
      <c r="H32" t="s">
        <v>191</v>
      </c>
      <c r="I32" t="s">
        <v>17</v>
      </c>
      <c r="P32">
        <v>2027</v>
      </c>
      <c r="Q32" t="s">
        <v>188</v>
      </c>
      <c r="R32">
        <v>0.32896666666666668</v>
      </c>
      <c r="S32" t="s">
        <v>187</v>
      </c>
    </row>
    <row r="33" spans="8:19" x14ac:dyDescent="0.45">
      <c r="H33" t="s">
        <v>191</v>
      </c>
      <c r="I33" t="s">
        <v>18</v>
      </c>
      <c r="P33">
        <v>2027</v>
      </c>
      <c r="Q33" t="s">
        <v>189</v>
      </c>
      <c r="R33">
        <v>0.23676666666666665</v>
      </c>
      <c r="S33" t="s">
        <v>187</v>
      </c>
    </row>
    <row r="34" spans="8:19" x14ac:dyDescent="0.45">
      <c r="H34" t="s">
        <v>191</v>
      </c>
      <c r="I34" t="s">
        <v>19</v>
      </c>
      <c r="P34">
        <v>2027</v>
      </c>
      <c r="Q34" t="s">
        <v>190</v>
      </c>
      <c r="R34">
        <v>0.20086666666666667</v>
      </c>
      <c r="S34" t="s">
        <v>187</v>
      </c>
    </row>
    <row r="35" spans="8:19" x14ac:dyDescent="0.45">
      <c r="P35">
        <v>2028</v>
      </c>
      <c r="Q35" t="s">
        <v>186</v>
      </c>
      <c r="R35">
        <v>0.3652333333333333</v>
      </c>
      <c r="S35" t="s">
        <v>187</v>
      </c>
    </row>
    <row r="36" spans="8:19" x14ac:dyDescent="0.45">
      <c r="P36">
        <v>2028</v>
      </c>
      <c r="Q36" t="s">
        <v>188</v>
      </c>
      <c r="R36">
        <v>0.34646666666666665</v>
      </c>
      <c r="S36" t="s">
        <v>187</v>
      </c>
    </row>
    <row r="37" spans="8:19" x14ac:dyDescent="0.45">
      <c r="P37">
        <v>2028</v>
      </c>
      <c r="Q37" t="s">
        <v>189</v>
      </c>
      <c r="R37">
        <v>0.25796666666666668</v>
      </c>
      <c r="S37" t="s">
        <v>187</v>
      </c>
    </row>
    <row r="38" spans="8:19" x14ac:dyDescent="0.45">
      <c r="P38">
        <v>2028</v>
      </c>
      <c r="Q38" t="s">
        <v>190</v>
      </c>
      <c r="R38">
        <v>0.19089999999999999</v>
      </c>
      <c r="S38" t="s">
        <v>187</v>
      </c>
    </row>
    <row r="39" spans="8:19" x14ac:dyDescent="0.45">
      <c r="P39">
        <v>2029</v>
      </c>
      <c r="Q39" t="s">
        <v>186</v>
      </c>
      <c r="R39">
        <v>0.31886666666666663</v>
      </c>
      <c r="S39" t="s">
        <v>187</v>
      </c>
    </row>
    <row r="40" spans="8:19" x14ac:dyDescent="0.45">
      <c r="P40">
        <v>2029</v>
      </c>
      <c r="Q40" t="s">
        <v>188</v>
      </c>
      <c r="R40">
        <v>0.34953333333333331</v>
      </c>
      <c r="S40" t="s">
        <v>187</v>
      </c>
    </row>
    <row r="41" spans="8:19" x14ac:dyDescent="0.45">
      <c r="P41">
        <v>2029</v>
      </c>
      <c r="Q41" t="s">
        <v>189</v>
      </c>
      <c r="R41">
        <v>0.24443333333333331</v>
      </c>
      <c r="S41" t="s">
        <v>187</v>
      </c>
    </row>
    <row r="42" spans="8:19" x14ac:dyDescent="0.45">
      <c r="P42">
        <v>2029</v>
      </c>
      <c r="Q42" t="s">
        <v>190</v>
      </c>
      <c r="R42">
        <v>0.16983333333333331</v>
      </c>
      <c r="S42" t="s">
        <v>187</v>
      </c>
    </row>
    <row r="43" spans="8:19" x14ac:dyDescent="0.45">
      <c r="P43">
        <v>2030</v>
      </c>
      <c r="Q43" t="s">
        <v>186</v>
      </c>
      <c r="R43">
        <v>0.31743333333333335</v>
      </c>
      <c r="S43" t="s">
        <v>187</v>
      </c>
    </row>
    <row r="44" spans="8:19" x14ac:dyDescent="0.45">
      <c r="P44">
        <v>2030</v>
      </c>
      <c r="Q44" t="s">
        <v>188</v>
      </c>
      <c r="R44">
        <v>0.36359999999999992</v>
      </c>
      <c r="S44" t="s">
        <v>187</v>
      </c>
    </row>
    <row r="45" spans="8:19" x14ac:dyDescent="0.45">
      <c r="P45">
        <v>2030</v>
      </c>
      <c r="Q45" t="s">
        <v>189</v>
      </c>
      <c r="R45">
        <v>0.24803333333333333</v>
      </c>
      <c r="S45" t="s">
        <v>187</v>
      </c>
    </row>
    <row r="46" spans="8:19" x14ac:dyDescent="0.45">
      <c r="P46">
        <v>2030</v>
      </c>
      <c r="Q46" t="s">
        <v>190</v>
      </c>
      <c r="R46">
        <v>0.20230000000000001</v>
      </c>
      <c r="S46" t="s">
        <v>187</v>
      </c>
    </row>
    <row r="47" spans="8:19" x14ac:dyDescent="0.45">
      <c r="P47">
        <v>2031</v>
      </c>
      <c r="Q47" t="s">
        <v>186</v>
      </c>
      <c r="R47">
        <v>0.33770000000000006</v>
      </c>
      <c r="S47" t="s">
        <v>187</v>
      </c>
    </row>
    <row r="48" spans="8:19" x14ac:dyDescent="0.45">
      <c r="P48">
        <v>2031</v>
      </c>
      <c r="Q48" t="s">
        <v>188</v>
      </c>
      <c r="R48">
        <v>0.34693333333333332</v>
      </c>
      <c r="S48" t="s">
        <v>187</v>
      </c>
    </row>
    <row r="49" spans="16:19" x14ac:dyDescent="0.45">
      <c r="P49">
        <v>2031</v>
      </c>
      <c r="Q49" t="s">
        <v>189</v>
      </c>
      <c r="R49">
        <v>0.2714333333333333</v>
      </c>
      <c r="S49" t="s">
        <v>187</v>
      </c>
    </row>
    <row r="50" spans="16:19" x14ac:dyDescent="0.45">
      <c r="P50">
        <v>2031</v>
      </c>
      <c r="Q50" t="s">
        <v>190</v>
      </c>
      <c r="R50">
        <v>0.20003333333333337</v>
      </c>
      <c r="S50" t="s">
        <v>187</v>
      </c>
    </row>
    <row r="51" spans="16:19" x14ac:dyDescent="0.45">
      <c r="P51">
        <v>2032</v>
      </c>
      <c r="Q51" t="s">
        <v>186</v>
      </c>
      <c r="R51">
        <v>0.2742</v>
      </c>
      <c r="S51" t="s">
        <v>187</v>
      </c>
    </row>
    <row r="52" spans="16:19" x14ac:dyDescent="0.45">
      <c r="P52">
        <v>2032</v>
      </c>
      <c r="Q52" t="s">
        <v>188</v>
      </c>
      <c r="R52">
        <v>0.25089999999999996</v>
      </c>
      <c r="S52" t="s">
        <v>187</v>
      </c>
    </row>
    <row r="53" spans="16:19" x14ac:dyDescent="0.45">
      <c r="P53">
        <v>2032</v>
      </c>
      <c r="Q53" t="s">
        <v>189</v>
      </c>
      <c r="R53">
        <v>0.23026666666666665</v>
      </c>
      <c r="S53" t="s">
        <v>187</v>
      </c>
    </row>
    <row r="54" spans="16:19" x14ac:dyDescent="0.45">
      <c r="P54">
        <v>2032</v>
      </c>
      <c r="Q54" t="s">
        <v>190</v>
      </c>
      <c r="R54">
        <v>0.18776666666666667</v>
      </c>
      <c r="S54" t="s">
        <v>187</v>
      </c>
    </row>
    <row r="55" spans="16:19" x14ac:dyDescent="0.45">
      <c r="P55">
        <v>2033</v>
      </c>
      <c r="Q55" t="s">
        <v>186</v>
      </c>
      <c r="R55">
        <v>0.30149999999999993</v>
      </c>
      <c r="S55" t="s">
        <v>187</v>
      </c>
    </row>
    <row r="56" spans="16:19" x14ac:dyDescent="0.45">
      <c r="P56">
        <v>2033</v>
      </c>
      <c r="Q56" t="s">
        <v>188</v>
      </c>
      <c r="R56">
        <v>0.33426666666666666</v>
      </c>
      <c r="S56" t="s">
        <v>187</v>
      </c>
    </row>
    <row r="57" spans="16:19" x14ac:dyDescent="0.45">
      <c r="P57">
        <v>2033</v>
      </c>
      <c r="Q57" t="s">
        <v>189</v>
      </c>
      <c r="R57">
        <v>0.25666666666666665</v>
      </c>
      <c r="S57" t="s">
        <v>187</v>
      </c>
    </row>
    <row r="58" spans="16:19" x14ac:dyDescent="0.45">
      <c r="P58">
        <v>2033</v>
      </c>
      <c r="Q58" t="s">
        <v>190</v>
      </c>
      <c r="R58">
        <v>0.17489999999999997</v>
      </c>
      <c r="S58" t="s">
        <v>187</v>
      </c>
    </row>
    <row r="59" spans="16:19" x14ac:dyDescent="0.45">
      <c r="P59">
        <v>2034</v>
      </c>
      <c r="Q59" t="s">
        <v>186</v>
      </c>
      <c r="R59">
        <v>0.27499999999999997</v>
      </c>
      <c r="S59" t="s">
        <v>187</v>
      </c>
    </row>
    <row r="60" spans="16:19" x14ac:dyDescent="0.45">
      <c r="P60">
        <v>2034</v>
      </c>
      <c r="Q60" t="s">
        <v>188</v>
      </c>
      <c r="R60">
        <v>0.27550000000000002</v>
      </c>
      <c r="S60" t="s">
        <v>187</v>
      </c>
    </row>
    <row r="61" spans="16:19" x14ac:dyDescent="0.45">
      <c r="P61">
        <v>2034</v>
      </c>
      <c r="Q61" t="s">
        <v>189</v>
      </c>
      <c r="R61">
        <v>0.23386666666666667</v>
      </c>
      <c r="S61" t="s">
        <v>187</v>
      </c>
    </row>
    <row r="62" spans="16:19" x14ac:dyDescent="0.45">
      <c r="P62">
        <v>2034</v>
      </c>
      <c r="Q62" t="s">
        <v>190</v>
      </c>
      <c r="R62">
        <v>0.15140000000000001</v>
      </c>
      <c r="S62" t="s">
        <v>187</v>
      </c>
    </row>
    <row r="63" spans="16:19" x14ac:dyDescent="0.45">
      <c r="P63">
        <v>2035</v>
      </c>
      <c r="Q63" t="s">
        <v>186</v>
      </c>
      <c r="R63">
        <v>0.28456666666666669</v>
      </c>
      <c r="S63" t="s">
        <v>187</v>
      </c>
    </row>
    <row r="64" spans="16:19" x14ac:dyDescent="0.45">
      <c r="P64">
        <v>2035</v>
      </c>
      <c r="Q64" t="s">
        <v>188</v>
      </c>
      <c r="R64">
        <v>0.33493333333333331</v>
      </c>
      <c r="S64" t="s">
        <v>187</v>
      </c>
    </row>
    <row r="65" spans="16:19" x14ac:dyDescent="0.45">
      <c r="P65">
        <v>2035</v>
      </c>
      <c r="Q65" t="s">
        <v>189</v>
      </c>
      <c r="R65">
        <v>0.25253333333333333</v>
      </c>
      <c r="S65" t="s">
        <v>187</v>
      </c>
    </row>
    <row r="66" spans="16:19" x14ac:dyDescent="0.45">
      <c r="P66">
        <v>2035</v>
      </c>
      <c r="Q66" t="s">
        <v>190</v>
      </c>
      <c r="R66">
        <v>0.17956666666666665</v>
      </c>
      <c r="S66" t="s">
        <v>187</v>
      </c>
    </row>
    <row r="67" spans="16:19" x14ac:dyDescent="0.45">
      <c r="P67">
        <v>2036</v>
      </c>
      <c r="Q67" t="s">
        <v>186</v>
      </c>
      <c r="R67">
        <v>0.28899999999999998</v>
      </c>
      <c r="S67" t="s">
        <v>187</v>
      </c>
    </row>
    <row r="68" spans="16:19" x14ac:dyDescent="0.45">
      <c r="P68">
        <v>2036</v>
      </c>
      <c r="Q68" t="s">
        <v>188</v>
      </c>
      <c r="R68">
        <v>0.29876666666666668</v>
      </c>
      <c r="S68" t="s">
        <v>187</v>
      </c>
    </row>
    <row r="69" spans="16:19" x14ac:dyDescent="0.45">
      <c r="P69">
        <v>2036</v>
      </c>
      <c r="Q69" t="s">
        <v>189</v>
      </c>
      <c r="R69">
        <v>0.24546666666666669</v>
      </c>
      <c r="S69" t="s">
        <v>187</v>
      </c>
    </row>
    <row r="70" spans="16:19" x14ac:dyDescent="0.45">
      <c r="P70">
        <v>2036</v>
      </c>
      <c r="Q70" t="s">
        <v>190</v>
      </c>
      <c r="R70">
        <v>0.1855</v>
      </c>
      <c r="S70" t="s">
        <v>187</v>
      </c>
    </row>
    <row r="71" spans="16:19" x14ac:dyDescent="0.45">
      <c r="P71">
        <v>2037</v>
      </c>
      <c r="Q71" t="s">
        <v>186</v>
      </c>
      <c r="R71">
        <v>0.27283333333333332</v>
      </c>
      <c r="S71" t="s">
        <v>187</v>
      </c>
    </row>
    <row r="72" spans="16:19" x14ac:dyDescent="0.45">
      <c r="P72">
        <v>2037</v>
      </c>
      <c r="Q72" t="s">
        <v>188</v>
      </c>
      <c r="R72">
        <v>0.27016666666666667</v>
      </c>
      <c r="S72" t="s">
        <v>187</v>
      </c>
    </row>
    <row r="73" spans="16:19" x14ac:dyDescent="0.45">
      <c r="P73">
        <v>2037</v>
      </c>
      <c r="Q73" t="s">
        <v>189</v>
      </c>
      <c r="R73">
        <v>0.20276666666666668</v>
      </c>
      <c r="S73" t="s">
        <v>187</v>
      </c>
    </row>
    <row r="74" spans="16:19" x14ac:dyDescent="0.45">
      <c r="P74">
        <v>2037</v>
      </c>
      <c r="Q74" t="s">
        <v>190</v>
      </c>
      <c r="R74">
        <v>0.1724</v>
      </c>
      <c r="S74" t="s">
        <v>187</v>
      </c>
    </row>
    <row r="75" spans="16:19" x14ac:dyDescent="0.45">
      <c r="P75">
        <v>2038</v>
      </c>
      <c r="Q75" t="s">
        <v>186</v>
      </c>
      <c r="R75">
        <v>0.31776666666666664</v>
      </c>
      <c r="S75" t="s">
        <v>187</v>
      </c>
    </row>
    <row r="76" spans="16:19" x14ac:dyDescent="0.45">
      <c r="P76">
        <v>2038</v>
      </c>
      <c r="Q76" t="s">
        <v>188</v>
      </c>
      <c r="R76">
        <v>0.29699999999999999</v>
      </c>
      <c r="S76" t="s">
        <v>187</v>
      </c>
    </row>
    <row r="77" spans="16:19" x14ac:dyDescent="0.45">
      <c r="P77">
        <v>2038</v>
      </c>
      <c r="Q77" t="s">
        <v>189</v>
      </c>
      <c r="R77">
        <v>0.23066666666666669</v>
      </c>
      <c r="S77" t="s">
        <v>187</v>
      </c>
    </row>
    <row r="78" spans="16:19" x14ac:dyDescent="0.45">
      <c r="P78">
        <v>2038</v>
      </c>
      <c r="Q78" t="s">
        <v>190</v>
      </c>
      <c r="R78">
        <v>0.17943333333333333</v>
      </c>
      <c r="S78" t="s">
        <v>187</v>
      </c>
    </row>
    <row r="79" spans="16:19" x14ac:dyDescent="0.45">
      <c r="P79">
        <v>2039</v>
      </c>
      <c r="Q79" t="s">
        <v>186</v>
      </c>
      <c r="R79">
        <v>0.3617333333333333</v>
      </c>
      <c r="S79" t="s">
        <v>187</v>
      </c>
    </row>
    <row r="80" spans="16:19" x14ac:dyDescent="0.45">
      <c r="P80">
        <v>2039</v>
      </c>
      <c r="Q80" t="s">
        <v>188</v>
      </c>
      <c r="R80">
        <v>0.29273333333333335</v>
      </c>
      <c r="S80" t="s">
        <v>187</v>
      </c>
    </row>
    <row r="81" spans="16:19" x14ac:dyDescent="0.45">
      <c r="P81">
        <v>2039</v>
      </c>
      <c r="Q81" t="s">
        <v>189</v>
      </c>
      <c r="R81">
        <v>0.25616666666666665</v>
      </c>
      <c r="S81" t="s">
        <v>187</v>
      </c>
    </row>
    <row r="82" spans="16:19" x14ac:dyDescent="0.45">
      <c r="P82">
        <v>2039</v>
      </c>
      <c r="Q82" t="s">
        <v>190</v>
      </c>
      <c r="R82">
        <v>0.20813333333333331</v>
      </c>
      <c r="S82" t="s">
        <v>187</v>
      </c>
    </row>
    <row r="83" spans="16:19" x14ac:dyDescent="0.45">
      <c r="P83">
        <v>2040</v>
      </c>
      <c r="Q83" t="s">
        <v>186</v>
      </c>
      <c r="R83">
        <v>0.38593333333333329</v>
      </c>
      <c r="S83" t="s">
        <v>187</v>
      </c>
    </row>
    <row r="84" spans="16:19" x14ac:dyDescent="0.45">
      <c r="P84">
        <v>2040</v>
      </c>
      <c r="Q84" t="s">
        <v>188</v>
      </c>
      <c r="R84">
        <v>0.36663333333333331</v>
      </c>
      <c r="S84" t="s">
        <v>187</v>
      </c>
    </row>
    <row r="85" spans="16:19" x14ac:dyDescent="0.45">
      <c r="P85">
        <v>2040</v>
      </c>
      <c r="Q85" t="s">
        <v>189</v>
      </c>
      <c r="R85">
        <v>0.28786666666666666</v>
      </c>
      <c r="S85" t="s">
        <v>187</v>
      </c>
    </row>
    <row r="86" spans="16:19" x14ac:dyDescent="0.45">
      <c r="P86">
        <v>2040</v>
      </c>
      <c r="Q86" t="s">
        <v>190</v>
      </c>
      <c r="R86">
        <v>0.23529999999999998</v>
      </c>
      <c r="S86" t="s">
        <v>187</v>
      </c>
    </row>
    <row r="87" spans="16:19" x14ac:dyDescent="0.45">
      <c r="P87">
        <v>2041</v>
      </c>
      <c r="Q87" t="s">
        <v>186</v>
      </c>
      <c r="R87">
        <v>0.37480000000000002</v>
      </c>
      <c r="S87" t="s">
        <v>187</v>
      </c>
    </row>
    <row r="88" spans="16:19" x14ac:dyDescent="0.45">
      <c r="P88">
        <v>2041</v>
      </c>
      <c r="Q88" t="s">
        <v>188</v>
      </c>
      <c r="R88">
        <v>0.34139999999999998</v>
      </c>
      <c r="S88" t="s">
        <v>187</v>
      </c>
    </row>
    <row r="89" spans="16:19" x14ac:dyDescent="0.45">
      <c r="P89">
        <v>2041</v>
      </c>
      <c r="Q89" t="s">
        <v>189</v>
      </c>
      <c r="R89">
        <v>0.2883</v>
      </c>
      <c r="S89" t="s">
        <v>187</v>
      </c>
    </row>
    <row r="90" spans="16:19" x14ac:dyDescent="0.45">
      <c r="P90">
        <v>2041</v>
      </c>
      <c r="Q90" t="s">
        <v>190</v>
      </c>
      <c r="R90">
        <v>0.28793333333333332</v>
      </c>
      <c r="S90" t="s">
        <v>187</v>
      </c>
    </row>
    <row r="91" spans="16:19" x14ac:dyDescent="0.45">
      <c r="P91">
        <v>2042</v>
      </c>
      <c r="Q91" t="s">
        <v>186</v>
      </c>
      <c r="R91">
        <v>0.41136666666666666</v>
      </c>
      <c r="S91" t="s">
        <v>187</v>
      </c>
    </row>
    <row r="92" spans="16:19" x14ac:dyDescent="0.45">
      <c r="P92">
        <v>2042</v>
      </c>
      <c r="Q92" t="s">
        <v>188</v>
      </c>
      <c r="R92">
        <v>0.40083333333333332</v>
      </c>
      <c r="S92" t="s">
        <v>187</v>
      </c>
    </row>
    <row r="93" spans="16:19" x14ac:dyDescent="0.45">
      <c r="P93">
        <v>2042</v>
      </c>
      <c r="Q93" t="s">
        <v>189</v>
      </c>
      <c r="R93">
        <v>0.31986666666666669</v>
      </c>
      <c r="S93" t="s">
        <v>187</v>
      </c>
    </row>
    <row r="94" spans="16:19" x14ac:dyDescent="0.45">
      <c r="P94">
        <v>2042</v>
      </c>
      <c r="Q94" t="s">
        <v>190</v>
      </c>
      <c r="R94">
        <v>0.24186666666666667</v>
      </c>
      <c r="S94" t="s">
        <v>187</v>
      </c>
    </row>
    <row r="95" spans="16:19" x14ac:dyDescent="0.45">
      <c r="P95">
        <v>2043</v>
      </c>
      <c r="Q95" t="s">
        <v>186</v>
      </c>
      <c r="R95">
        <v>0.36306666666666665</v>
      </c>
      <c r="S95" t="s">
        <v>187</v>
      </c>
    </row>
    <row r="96" spans="16:19" x14ac:dyDescent="0.45">
      <c r="P96">
        <v>2043</v>
      </c>
      <c r="Q96" t="s">
        <v>188</v>
      </c>
      <c r="R96">
        <v>0.34923333333333334</v>
      </c>
      <c r="S96" t="s">
        <v>187</v>
      </c>
    </row>
    <row r="97" spans="16:19" x14ac:dyDescent="0.45">
      <c r="P97">
        <v>2043</v>
      </c>
      <c r="Q97" t="s">
        <v>189</v>
      </c>
      <c r="R97">
        <v>0.25130000000000002</v>
      </c>
      <c r="S97" t="s">
        <v>187</v>
      </c>
    </row>
    <row r="98" spans="16:19" x14ac:dyDescent="0.45">
      <c r="P98">
        <v>2043</v>
      </c>
      <c r="Q98" t="s">
        <v>190</v>
      </c>
      <c r="R98">
        <v>0.28016666666666662</v>
      </c>
      <c r="S98" t="s">
        <v>187</v>
      </c>
    </row>
    <row r="99" spans="16:19" x14ac:dyDescent="0.45">
      <c r="P99">
        <v>2044</v>
      </c>
      <c r="Q99" t="s">
        <v>186</v>
      </c>
      <c r="R99">
        <v>0.37040000000000001</v>
      </c>
      <c r="S99" t="s">
        <v>187</v>
      </c>
    </row>
    <row r="100" spans="16:19" x14ac:dyDescent="0.45">
      <c r="P100">
        <v>2044</v>
      </c>
      <c r="Q100" t="s">
        <v>188</v>
      </c>
      <c r="R100">
        <v>0.32103333333333334</v>
      </c>
      <c r="S100" t="s">
        <v>187</v>
      </c>
    </row>
    <row r="101" spans="16:19" x14ac:dyDescent="0.45">
      <c r="P101">
        <v>2044</v>
      </c>
      <c r="Q101" t="s">
        <v>189</v>
      </c>
      <c r="R101">
        <v>0.29316666666666663</v>
      </c>
      <c r="S101" t="s">
        <v>187</v>
      </c>
    </row>
    <row r="102" spans="16:19" x14ac:dyDescent="0.45">
      <c r="P102">
        <v>2044</v>
      </c>
      <c r="Q102" t="s">
        <v>190</v>
      </c>
      <c r="R102">
        <v>0.2056</v>
      </c>
      <c r="S102" t="s">
        <v>187</v>
      </c>
    </row>
    <row r="103" spans="16:19" x14ac:dyDescent="0.45">
      <c r="P103">
        <v>2045</v>
      </c>
      <c r="Q103" t="s">
        <v>186</v>
      </c>
      <c r="R103">
        <v>0.37253333333333333</v>
      </c>
      <c r="S103" t="s">
        <v>187</v>
      </c>
    </row>
    <row r="104" spans="16:19" x14ac:dyDescent="0.45">
      <c r="P104">
        <v>2045</v>
      </c>
      <c r="Q104" t="s">
        <v>188</v>
      </c>
      <c r="R104">
        <v>0.35886666666666667</v>
      </c>
      <c r="S104" t="s">
        <v>187</v>
      </c>
    </row>
    <row r="105" spans="16:19" x14ac:dyDescent="0.45">
      <c r="P105">
        <v>2045</v>
      </c>
      <c r="Q105" t="s">
        <v>189</v>
      </c>
      <c r="R105">
        <v>0.30459999999999998</v>
      </c>
      <c r="S105" t="s">
        <v>187</v>
      </c>
    </row>
    <row r="106" spans="16:19" x14ac:dyDescent="0.45">
      <c r="P106">
        <v>2045</v>
      </c>
      <c r="Q106" t="s">
        <v>190</v>
      </c>
      <c r="R106">
        <v>0.21409999999999998</v>
      </c>
      <c r="S106" t="s">
        <v>187</v>
      </c>
    </row>
    <row r="107" spans="16:19" x14ac:dyDescent="0.45">
      <c r="P107">
        <v>2046</v>
      </c>
      <c r="Q107" t="s">
        <v>186</v>
      </c>
      <c r="R107">
        <v>0.38046666666666668</v>
      </c>
      <c r="S107" t="s">
        <v>187</v>
      </c>
    </row>
    <row r="108" spans="16:19" x14ac:dyDescent="0.45">
      <c r="P108">
        <v>2046</v>
      </c>
      <c r="Q108" t="s">
        <v>188</v>
      </c>
      <c r="R108">
        <v>0.40293333333333331</v>
      </c>
      <c r="S108" t="s">
        <v>187</v>
      </c>
    </row>
    <row r="109" spans="16:19" x14ac:dyDescent="0.45">
      <c r="P109">
        <v>2046</v>
      </c>
      <c r="Q109" t="s">
        <v>189</v>
      </c>
      <c r="R109">
        <v>0.31109999999999999</v>
      </c>
      <c r="S109" t="s">
        <v>187</v>
      </c>
    </row>
    <row r="110" spans="16:19" x14ac:dyDescent="0.45">
      <c r="P110">
        <v>2046</v>
      </c>
      <c r="Q110" t="s">
        <v>190</v>
      </c>
      <c r="R110">
        <v>0.26540000000000002</v>
      </c>
      <c r="S110" t="s">
        <v>187</v>
      </c>
    </row>
    <row r="111" spans="16:19" x14ac:dyDescent="0.45">
      <c r="P111">
        <v>2047</v>
      </c>
      <c r="Q111" t="s">
        <v>186</v>
      </c>
      <c r="R111">
        <v>0.32696666666666668</v>
      </c>
      <c r="S111" t="s">
        <v>187</v>
      </c>
    </row>
    <row r="112" spans="16:19" x14ac:dyDescent="0.45">
      <c r="P112">
        <v>2047</v>
      </c>
      <c r="Q112" t="s">
        <v>188</v>
      </c>
      <c r="R112">
        <v>0.32516666666666666</v>
      </c>
      <c r="S112" t="s">
        <v>187</v>
      </c>
    </row>
    <row r="113" spans="16:19" x14ac:dyDescent="0.45">
      <c r="P113">
        <v>2047</v>
      </c>
      <c r="Q113" t="s">
        <v>189</v>
      </c>
      <c r="R113">
        <v>0.29059999999999997</v>
      </c>
      <c r="S113" t="s">
        <v>187</v>
      </c>
    </row>
    <row r="114" spans="16:19" x14ac:dyDescent="0.45">
      <c r="P114">
        <v>2047</v>
      </c>
      <c r="Q114" t="s">
        <v>190</v>
      </c>
      <c r="R114">
        <v>0.18203333333333335</v>
      </c>
      <c r="S114" t="s">
        <v>187</v>
      </c>
    </row>
    <row r="115" spans="16:19" x14ac:dyDescent="0.45">
      <c r="P115">
        <v>2048</v>
      </c>
      <c r="Q115" t="s">
        <v>186</v>
      </c>
      <c r="R115">
        <v>0.29153333333333337</v>
      </c>
      <c r="S115" t="s">
        <v>187</v>
      </c>
    </row>
    <row r="116" spans="16:19" x14ac:dyDescent="0.45">
      <c r="P116">
        <v>2048</v>
      </c>
      <c r="Q116" t="s">
        <v>188</v>
      </c>
      <c r="R116">
        <v>0.29143333333333327</v>
      </c>
      <c r="S116" t="s">
        <v>187</v>
      </c>
    </row>
    <row r="117" spans="16:19" x14ac:dyDescent="0.45">
      <c r="P117">
        <v>2048</v>
      </c>
      <c r="Q117" t="s">
        <v>189</v>
      </c>
      <c r="R117">
        <v>0.20753333333333335</v>
      </c>
      <c r="S117" t="s">
        <v>187</v>
      </c>
    </row>
    <row r="118" spans="16:19" x14ac:dyDescent="0.45">
      <c r="P118">
        <v>2048</v>
      </c>
      <c r="Q118" t="s">
        <v>190</v>
      </c>
      <c r="R118">
        <v>0.22473333333333331</v>
      </c>
      <c r="S118" t="s">
        <v>187</v>
      </c>
    </row>
    <row r="119" spans="16:19" x14ac:dyDescent="0.45">
      <c r="P119">
        <v>2049</v>
      </c>
      <c r="Q119" t="s">
        <v>186</v>
      </c>
      <c r="R119">
        <v>0.27843333333333331</v>
      </c>
      <c r="S119" t="s">
        <v>187</v>
      </c>
    </row>
    <row r="120" spans="16:19" x14ac:dyDescent="0.45">
      <c r="P120">
        <v>2049</v>
      </c>
      <c r="Q120" t="s">
        <v>188</v>
      </c>
      <c r="R120">
        <v>0.30353333333333332</v>
      </c>
      <c r="S120" t="s">
        <v>187</v>
      </c>
    </row>
    <row r="121" spans="16:19" x14ac:dyDescent="0.45">
      <c r="P121">
        <v>2049</v>
      </c>
      <c r="Q121" t="s">
        <v>189</v>
      </c>
      <c r="R121">
        <v>0.25676666666666664</v>
      </c>
      <c r="S121" t="s">
        <v>187</v>
      </c>
    </row>
    <row r="122" spans="16:19" x14ac:dyDescent="0.45">
      <c r="P122">
        <v>2049</v>
      </c>
      <c r="Q122" t="s">
        <v>190</v>
      </c>
      <c r="R122">
        <v>0.21706666666666666</v>
      </c>
      <c r="S122" t="s">
        <v>187</v>
      </c>
    </row>
    <row r="123" spans="16:19" x14ac:dyDescent="0.45">
      <c r="P123">
        <v>2050</v>
      </c>
      <c r="Q123" t="s">
        <v>186</v>
      </c>
      <c r="R123">
        <v>0.31180000000000002</v>
      </c>
      <c r="S123" t="s">
        <v>187</v>
      </c>
    </row>
    <row r="124" spans="16:19" x14ac:dyDescent="0.45">
      <c r="P124">
        <v>2050</v>
      </c>
      <c r="Q124" t="s">
        <v>188</v>
      </c>
      <c r="R124">
        <v>0.29100000000000004</v>
      </c>
      <c r="S124" t="s">
        <v>187</v>
      </c>
    </row>
    <row r="125" spans="16:19" x14ac:dyDescent="0.45">
      <c r="P125">
        <v>2050</v>
      </c>
      <c r="Q125" t="s">
        <v>189</v>
      </c>
      <c r="R125">
        <v>0.31703333333333333</v>
      </c>
      <c r="S125" t="s">
        <v>187</v>
      </c>
    </row>
    <row r="126" spans="16:19" x14ac:dyDescent="0.45">
      <c r="P126">
        <v>2050</v>
      </c>
      <c r="Q126" t="s">
        <v>190</v>
      </c>
      <c r="R126">
        <v>0.19446666666666668</v>
      </c>
      <c r="S126" t="s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3DEE2-512D-4305-A043-FCFA6120A1EC}">
  <dimension ref="B9:J130"/>
  <sheetViews>
    <sheetView workbookViewId="0"/>
  </sheetViews>
  <sheetFormatPr defaultRowHeight="14.25" x14ac:dyDescent="0.45"/>
  <sheetData>
    <row r="9" spans="2:10" x14ac:dyDescent="0.45">
      <c r="B9" t="str">
        <f>IF(A11="x","DeActivated","~TFM_DINS-AT: region=BEL")</f>
        <v>~TFM_DINS-AT: region=BEL</v>
      </c>
      <c r="G9" t="str">
        <f>IF(A11="x","DeActivated","~TFM_DINS-AT: region=BEL")</f>
        <v>~TFM_DINS-AT: region=BEL</v>
      </c>
    </row>
    <row r="10" spans="2:10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</row>
    <row r="11" spans="2:10" x14ac:dyDescent="0.45">
      <c r="B11" t="s">
        <v>192</v>
      </c>
      <c r="C11" t="s">
        <v>5</v>
      </c>
      <c r="D11">
        <v>0</v>
      </c>
      <c r="E11" t="s">
        <v>6</v>
      </c>
      <c r="G11" t="s">
        <v>193</v>
      </c>
      <c r="H11" t="s">
        <v>5</v>
      </c>
      <c r="I11">
        <v>0.10525631132599078</v>
      </c>
      <c r="J11" t="s">
        <v>6</v>
      </c>
    </row>
    <row r="12" spans="2:10" x14ac:dyDescent="0.45">
      <c r="B12" t="s">
        <v>192</v>
      </c>
      <c r="C12" t="s">
        <v>9</v>
      </c>
      <c r="D12">
        <v>0.12644418176285205</v>
      </c>
      <c r="E12" t="s">
        <v>6</v>
      </c>
      <c r="G12" t="s">
        <v>193</v>
      </c>
      <c r="H12" t="s">
        <v>9</v>
      </c>
      <c r="I12">
        <v>0.12278195318825498</v>
      </c>
      <c r="J12" t="s">
        <v>6</v>
      </c>
    </row>
    <row r="13" spans="2:10" x14ac:dyDescent="0.45">
      <c r="B13" t="s">
        <v>192</v>
      </c>
      <c r="C13" t="s">
        <v>10</v>
      </c>
      <c r="D13">
        <v>7.78618347863476E-4</v>
      </c>
      <c r="E13" t="s">
        <v>6</v>
      </c>
      <c r="G13" t="s">
        <v>193</v>
      </c>
      <c r="H13" t="s">
        <v>10</v>
      </c>
      <c r="I13">
        <v>7.8664208974316405E-2</v>
      </c>
      <c r="J13" t="s">
        <v>6</v>
      </c>
    </row>
    <row r="14" spans="2:10" x14ac:dyDescent="0.45">
      <c r="B14" t="s">
        <v>192</v>
      </c>
      <c r="C14" t="s">
        <v>11</v>
      </c>
      <c r="D14">
        <v>1.6432703426383448E-3</v>
      </c>
      <c r="E14" t="s">
        <v>6</v>
      </c>
      <c r="G14" t="s">
        <v>193</v>
      </c>
      <c r="H14" t="s">
        <v>11</v>
      </c>
      <c r="I14">
        <v>8.6312884417606997E-2</v>
      </c>
      <c r="J14" t="s">
        <v>6</v>
      </c>
    </row>
    <row r="15" spans="2:10" x14ac:dyDescent="0.45">
      <c r="B15" t="s">
        <v>192</v>
      </c>
      <c r="C15" t="s">
        <v>12</v>
      </c>
      <c r="D15">
        <v>0.28556801889460048</v>
      </c>
      <c r="E15" t="s">
        <v>6</v>
      </c>
      <c r="G15" t="s">
        <v>193</v>
      </c>
      <c r="H15" t="s">
        <v>12</v>
      </c>
      <c r="I15">
        <v>0.10347091822015211</v>
      </c>
      <c r="J15" t="s">
        <v>6</v>
      </c>
    </row>
    <row r="16" spans="2:10" x14ac:dyDescent="0.45">
      <c r="B16" t="s">
        <v>192</v>
      </c>
      <c r="C16" t="s">
        <v>13</v>
      </c>
      <c r="D16">
        <v>1.4459819421052041E-2</v>
      </c>
      <c r="E16" t="s">
        <v>6</v>
      </c>
      <c r="G16" t="s">
        <v>193</v>
      </c>
      <c r="H16" t="s">
        <v>13</v>
      </c>
      <c r="I16">
        <v>6.4257071163260696E-2</v>
      </c>
      <c r="J16" t="s">
        <v>6</v>
      </c>
    </row>
    <row r="17" spans="2:10" x14ac:dyDescent="0.45">
      <c r="B17" t="s">
        <v>192</v>
      </c>
      <c r="C17" t="s">
        <v>14</v>
      </c>
      <c r="D17">
        <v>3.8819729522793518E-3</v>
      </c>
      <c r="E17" t="s">
        <v>6</v>
      </c>
      <c r="G17" t="s">
        <v>193</v>
      </c>
      <c r="H17" t="s">
        <v>14</v>
      </c>
      <c r="I17">
        <v>6.2873072856914458E-2</v>
      </c>
      <c r="J17" t="s">
        <v>6</v>
      </c>
    </row>
    <row r="18" spans="2:10" x14ac:dyDescent="0.45">
      <c r="B18" t="s">
        <v>192</v>
      </c>
      <c r="C18" t="s">
        <v>15</v>
      </c>
      <c r="D18">
        <v>0.34980749982210441</v>
      </c>
      <c r="E18" t="s">
        <v>6</v>
      </c>
      <c r="G18" t="s">
        <v>193</v>
      </c>
      <c r="H18" t="s">
        <v>15</v>
      </c>
      <c r="I18">
        <v>6.4720811250193619E-2</v>
      </c>
      <c r="J18" t="s">
        <v>6</v>
      </c>
    </row>
    <row r="19" spans="2:10" x14ac:dyDescent="0.45">
      <c r="B19" t="s">
        <v>192</v>
      </c>
      <c r="C19" t="s">
        <v>16</v>
      </c>
      <c r="D19">
        <v>2.6005728274736527E-2</v>
      </c>
      <c r="E19" t="s">
        <v>6</v>
      </c>
      <c r="G19" t="s">
        <v>193</v>
      </c>
      <c r="H19" t="s">
        <v>16</v>
      </c>
      <c r="I19">
        <v>4.8616925744291981E-2</v>
      </c>
      <c r="J19" t="s">
        <v>6</v>
      </c>
    </row>
    <row r="20" spans="2:10" x14ac:dyDescent="0.45">
      <c r="B20" t="s">
        <v>192</v>
      </c>
      <c r="C20" t="s">
        <v>17</v>
      </c>
      <c r="D20">
        <v>5.226928757145202E-5</v>
      </c>
      <c r="E20" t="s">
        <v>6</v>
      </c>
      <c r="G20" t="s">
        <v>193</v>
      </c>
      <c r="H20" t="s">
        <v>17</v>
      </c>
      <c r="I20">
        <v>8.7337382348175854E-2</v>
      </c>
      <c r="J20" t="s">
        <v>6</v>
      </c>
    </row>
    <row r="21" spans="2:10" x14ac:dyDescent="0.45">
      <c r="B21" t="s">
        <v>192</v>
      </c>
      <c r="C21" t="s">
        <v>18</v>
      </c>
      <c r="D21">
        <v>0.18831893979485004</v>
      </c>
      <c r="E21" t="s">
        <v>6</v>
      </c>
      <c r="G21" t="s">
        <v>193</v>
      </c>
      <c r="H21" t="s">
        <v>18</v>
      </c>
      <c r="I21">
        <v>0.10486101813791979</v>
      </c>
      <c r="J21" t="s">
        <v>6</v>
      </c>
    </row>
    <row r="22" spans="2:10" x14ac:dyDescent="0.45">
      <c r="B22" t="s">
        <v>192</v>
      </c>
      <c r="C22" t="s">
        <v>19</v>
      </c>
      <c r="D22">
        <v>3.0396810994507851E-3</v>
      </c>
      <c r="E22" t="s">
        <v>6</v>
      </c>
      <c r="G22" t="s">
        <v>193</v>
      </c>
      <c r="H22" t="s">
        <v>19</v>
      </c>
      <c r="I22">
        <v>7.0847442372923966E-2</v>
      </c>
      <c r="J22" t="s">
        <v>6</v>
      </c>
    </row>
    <row r="23" spans="2:10" x14ac:dyDescent="0.45">
      <c r="B23" t="s">
        <v>194</v>
      </c>
      <c r="C23" t="s">
        <v>5</v>
      </c>
      <c r="D23">
        <v>0</v>
      </c>
      <c r="E23" t="s">
        <v>6</v>
      </c>
      <c r="G23" t="s">
        <v>195</v>
      </c>
      <c r="H23" t="s">
        <v>5</v>
      </c>
      <c r="I23">
        <v>0.10716148019717402</v>
      </c>
      <c r="J23" t="s">
        <v>6</v>
      </c>
    </row>
    <row r="24" spans="2:10" x14ac:dyDescent="0.45">
      <c r="B24" t="s">
        <v>194</v>
      </c>
      <c r="C24" t="s">
        <v>9</v>
      </c>
      <c r="D24">
        <v>0.13173938885205783</v>
      </c>
      <c r="E24" t="s">
        <v>6</v>
      </c>
      <c r="G24" t="s">
        <v>195</v>
      </c>
      <c r="H24" t="s">
        <v>9</v>
      </c>
      <c r="I24">
        <v>0.12291851028083968</v>
      </c>
      <c r="J24" t="s">
        <v>6</v>
      </c>
    </row>
    <row r="25" spans="2:10" x14ac:dyDescent="0.45">
      <c r="B25" t="s">
        <v>194</v>
      </c>
      <c r="C25" t="s">
        <v>10</v>
      </c>
      <c r="D25">
        <v>1.0276295942425286E-3</v>
      </c>
      <c r="E25" t="s">
        <v>6</v>
      </c>
      <c r="G25" t="s">
        <v>195</v>
      </c>
      <c r="H25" t="s">
        <v>10</v>
      </c>
      <c r="I25">
        <v>7.9253852514337392E-2</v>
      </c>
      <c r="J25" t="s">
        <v>6</v>
      </c>
    </row>
    <row r="26" spans="2:10" x14ac:dyDescent="0.45">
      <c r="B26" t="s">
        <v>194</v>
      </c>
      <c r="C26" t="s">
        <v>11</v>
      </c>
      <c r="D26">
        <v>1.5530455094340261E-3</v>
      </c>
      <c r="E26" t="s">
        <v>6</v>
      </c>
      <c r="G26" t="s">
        <v>195</v>
      </c>
      <c r="H26" t="s">
        <v>11</v>
      </c>
      <c r="I26">
        <v>8.5608204550621569E-2</v>
      </c>
      <c r="J26" t="s">
        <v>6</v>
      </c>
    </row>
    <row r="27" spans="2:10" x14ac:dyDescent="0.45">
      <c r="B27" t="s">
        <v>194</v>
      </c>
      <c r="C27" t="s">
        <v>12</v>
      </c>
      <c r="D27">
        <v>0.28045630904922292</v>
      </c>
      <c r="E27" t="s">
        <v>6</v>
      </c>
      <c r="G27" t="s">
        <v>195</v>
      </c>
      <c r="H27" t="s">
        <v>12</v>
      </c>
      <c r="I27">
        <v>0.10092827794398733</v>
      </c>
      <c r="J27" t="s">
        <v>6</v>
      </c>
    </row>
    <row r="28" spans="2:10" x14ac:dyDescent="0.45">
      <c r="B28" t="s">
        <v>194</v>
      </c>
      <c r="C28" t="s">
        <v>13</v>
      </c>
      <c r="D28">
        <v>1.5458170156936211E-2</v>
      </c>
      <c r="E28" t="s">
        <v>6</v>
      </c>
      <c r="G28" t="s">
        <v>195</v>
      </c>
      <c r="H28" t="s">
        <v>13</v>
      </c>
      <c r="I28">
        <v>6.279945944870835E-2</v>
      </c>
      <c r="J28" t="s">
        <v>6</v>
      </c>
    </row>
    <row r="29" spans="2:10" x14ac:dyDescent="0.45">
      <c r="B29" t="s">
        <v>194</v>
      </c>
      <c r="C29" t="s">
        <v>14</v>
      </c>
      <c r="D29">
        <v>3.4824428156862812E-3</v>
      </c>
      <c r="E29" t="s">
        <v>6</v>
      </c>
      <c r="G29" t="s">
        <v>195</v>
      </c>
      <c r="H29" t="s">
        <v>14</v>
      </c>
      <c r="I29">
        <v>6.2225086239544376E-2</v>
      </c>
      <c r="J29" t="s">
        <v>6</v>
      </c>
    </row>
    <row r="30" spans="2:10" x14ac:dyDescent="0.45">
      <c r="B30" t="s">
        <v>194</v>
      </c>
      <c r="C30" t="s">
        <v>15</v>
      </c>
      <c r="D30">
        <v>0.34167687136252617</v>
      </c>
      <c r="E30" t="s">
        <v>6</v>
      </c>
      <c r="G30" t="s">
        <v>195</v>
      </c>
      <c r="H30" t="s">
        <v>15</v>
      </c>
      <c r="I30">
        <v>6.200601043566023E-2</v>
      </c>
      <c r="J30" t="s">
        <v>6</v>
      </c>
    </row>
    <row r="31" spans="2:10" x14ac:dyDescent="0.45">
      <c r="B31" t="s">
        <v>194</v>
      </c>
      <c r="C31" t="s">
        <v>16</v>
      </c>
      <c r="D31">
        <v>2.7293326770756906E-2</v>
      </c>
      <c r="E31" t="s">
        <v>6</v>
      </c>
      <c r="G31" t="s">
        <v>195</v>
      </c>
      <c r="H31" t="s">
        <v>16</v>
      </c>
      <c r="I31">
        <v>4.7390070133568045E-2</v>
      </c>
      <c r="J31" t="s">
        <v>6</v>
      </c>
    </row>
    <row r="32" spans="2:10" x14ac:dyDescent="0.45">
      <c r="B32" t="s">
        <v>194</v>
      </c>
      <c r="C32" t="s">
        <v>17</v>
      </c>
      <c r="D32">
        <v>4.2550260392831969E-5</v>
      </c>
      <c r="E32" t="s">
        <v>6</v>
      </c>
      <c r="G32" t="s">
        <v>195</v>
      </c>
      <c r="H32" t="s">
        <v>17</v>
      </c>
      <c r="I32">
        <v>8.9562275100505642E-2</v>
      </c>
      <c r="J32" t="s">
        <v>6</v>
      </c>
    </row>
    <row r="33" spans="2:10" x14ac:dyDescent="0.45">
      <c r="B33" t="s">
        <v>194</v>
      </c>
      <c r="C33" t="s">
        <v>18</v>
      </c>
      <c r="D33">
        <v>0.19384764791079681</v>
      </c>
      <c r="E33" t="s">
        <v>6</v>
      </c>
      <c r="G33" t="s">
        <v>195</v>
      </c>
      <c r="H33" t="s">
        <v>18</v>
      </c>
      <c r="I33">
        <v>0.10731393924256331</v>
      </c>
      <c r="J33" t="s">
        <v>6</v>
      </c>
    </row>
    <row r="34" spans="2:10" x14ac:dyDescent="0.45">
      <c r="B34" t="s">
        <v>194</v>
      </c>
      <c r="C34" t="s">
        <v>19</v>
      </c>
      <c r="D34">
        <v>3.4226177179475913E-3</v>
      </c>
      <c r="E34" t="s">
        <v>6</v>
      </c>
      <c r="G34" t="s">
        <v>195</v>
      </c>
      <c r="H34" t="s">
        <v>19</v>
      </c>
      <c r="I34">
        <v>7.2832833912488626E-2</v>
      </c>
      <c r="J34" t="s">
        <v>6</v>
      </c>
    </row>
    <row r="35" spans="2:10" x14ac:dyDescent="0.45">
      <c r="B35" t="s">
        <v>196</v>
      </c>
      <c r="C35" t="s">
        <v>5</v>
      </c>
      <c r="D35">
        <v>0</v>
      </c>
      <c r="E35" t="s">
        <v>6</v>
      </c>
      <c r="G35" t="s">
        <v>197</v>
      </c>
      <c r="H35" t="s">
        <v>5</v>
      </c>
      <c r="I35">
        <v>0.10675606127250813</v>
      </c>
      <c r="J35" t="s">
        <v>6</v>
      </c>
    </row>
    <row r="36" spans="2:10" x14ac:dyDescent="0.45">
      <c r="B36" t="s">
        <v>196</v>
      </c>
      <c r="C36" t="s">
        <v>9</v>
      </c>
      <c r="D36">
        <v>0.13062932237992317</v>
      </c>
      <c r="E36" t="s">
        <v>6</v>
      </c>
      <c r="G36" t="s">
        <v>197</v>
      </c>
      <c r="H36" t="s">
        <v>9</v>
      </c>
      <c r="I36">
        <v>0.12022633853665669</v>
      </c>
      <c r="J36" t="s">
        <v>6</v>
      </c>
    </row>
    <row r="37" spans="2:10" x14ac:dyDescent="0.45">
      <c r="B37" t="s">
        <v>196</v>
      </c>
      <c r="C37" t="s">
        <v>10</v>
      </c>
      <c r="D37">
        <v>6.6727679041481244E-4</v>
      </c>
      <c r="E37" t="s">
        <v>6</v>
      </c>
      <c r="G37" t="s">
        <v>197</v>
      </c>
      <c r="H37" t="s">
        <v>10</v>
      </c>
      <c r="I37">
        <v>8.1286137479383805E-2</v>
      </c>
      <c r="J37" t="s">
        <v>6</v>
      </c>
    </row>
    <row r="38" spans="2:10" x14ac:dyDescent="0.45">
      <c r="B38" t="s">
        <v>196</v>
      </c>
      <c r="C38" t="s">
        <v>11</v>
      </c>
      <c r="D38">
        <v>1.672131861366362E-3</v>
      </c>
      <c r="E38" t="s">
        <v>6</v>
      </c>
      <c r="G38" t="s">
        <v>197</v>
      </c>
      <c r="H38" t="s">
        <v>11</v>
      </c>
      <c r="I38">
        <v>8.3955758204958944E-2</v>
      </c>
      <c r="J38" t="s">
        <v>6</v>
      </c>
    </row>
    <row r="39" spans="2:10" x14ac:dyDescent="0.45">
      <c r="B39" t="s">
        <v>196</v>
      </c>
      <c r="C39" t="s">
        <v>12</v>
      </c>
      <c r="D39">
        <v>0.2882023468833812</v>
      </c>
      <c r="E39" t="s">
        <v>6</v>
      </c>
      <c r="G39" t="s">
        <v>197</v>
      </c>
      <c r="H39" t="s">
        <v>12</v>
      </c>
      <c r="I39">
        <v>9.3221161166884031E-2</v>
      </c>
      <c r="J39" t="s">
        <v>6</v>
      </c>
    </row>
    <row r="40" spans="2:10" x14ac:dyDescent="0.45">
      <c r="B40" t="s">
        <v>196</v>
      </c>
      <c r="C40" t="s">
        <v>13</v>
      </c>
      <c r="D40">
        <v>1.4742740323569732E-2</v>
      </c>
      <c r="E40" t="s">
        <v>6</v>
      </c>
      <c r="G40" t="s">
        <v>197</v>
      </c>
      <c r="H40" t="s">
        <v>13</v>
      </c>
      <c r="I40">
        <v>6.1862722905701023E-2</v>
      </c>
      <c r="J40" t="s">
        <v>6</v>
      </c>
    </row>
    <row r="41" spans="2:10" x14ac:dyDescent="0.45">
      <c r="B41" t="s">
        <v>196</v>
      </c>
      <c r="C41" t="s">
        <v>14</v>
      </c>
      <c r="D41">
        <v>4.0722873369028363E-3</v>
      </c>
      <c r="E41" t="s">
        <v>6</v>
      </c>
      <c r="G41" t="s">
        <v>197</v>
      </c>
      <c r="H41" t="s">
        <v>14</v>
      </c>
      <c r="I41">
        <v>6.2973413481104773E-2</v>
      </c>
      <c r="J41" t="s">
        <v>6</v>
      </c>
    </row>
    <row r="42" spans="2:10" x14ac:dyDescent="0.45">
      <c r="B42" t="s">
        <v>196</v>
      </c>
      <c r="C42" t="s">
        <v>15</v>
      </c>
      <c r="D42">
        <v>0.33930572799610609</v>
      </c>
      <c r="E42" t="s">
        <v>6</v>
      </c>
      <c r="G42" t="s">
        <v>197</v>
      </c>
      <c r="H42" t="s">
        <v>15</v>
      </c>
      <c r="I42">
        <v>5.8922429489717411E-2</v>
      </c>
      <c r="J42" t="s">
        <v>6</v>
      </c>
    </row>
    <row r="43" spans="2:10" x14ac:dyDescent="0.45">
      <c r="B43" t="s">
        <v>196</v>
      </c>
      <c r="C43" t="s">
        <v>16</v>
      </c>
      <c r="D43">
        <v>2.6160610910456929E-2</v>
      </c>
      <c r="E43" t="s">
        <v>6</v>
      </c>
      <c r="G43" t="s">
        <v>197</v>
      </c>
      <c r="H43" t="s">
        <v>16</v>
      </c>
      <c r="I43">
        <v>4.4433351160117936E-2</v>
      </c>
      <c r="J43" t="s">
        <v>6</v>
      </c>
    </row>
    <row r="44" spans="2:10" x14ac:dyDescent="0.45">
      <c r="B44" t="s">
        <v>196</v>
      </c>
      <c r="C44" t="s">
        <v>17</v>
      </c>
      <c r="D44">
        <v>5.8109686225952116E-5</v>
      </c>
      <c r="E44" t="s">
        <v>6</v>
      </c>
      <c r="G44" t="s">
        <v>197</v>
      </c>
      <c r="H44" t="s">
        <v>17</v>
      </c>
      <c r="I44">
        <v>9.730965062910707E-2</v>
      </c>
      <c r="J44" t="s">
        <v>6</v>
      </c>
    </row>
    <row r="45" spans="2:10" x14ac:dyDescent="0.45">
      <c r="B45" t="s">
        <v>196</v>
      </c>
      <c r="C45" t="s">
        <v>18</v>
      </c>
      <c r="D45">
        <v>0.19147863629745154</v>
      </c>
      <c r="E45" t="s">
        <v>6</v>
      </c>
      <c r="G45" t="s">
        <v>197</v>
      </c>
      <c r="H45" t="s">
        <v>18</v>
      </c>
      <c r="I45">
        <v>0.1113034188112846</v>
      </c>
      <c r="J45" t="s">
        <v>6</v>
      </c>
    </row>
    <row r="46" spans="2:10" x14ac:dyDescent="0.45">
      <c r="B46" t="s">
        <v>196</v>
      </c>
      <c r="C46" t="s">
        <v>19</v>
      </c>
      <c r="D46">
        <v>3.0108095342029433E-3</v>
      </c>
      <c r="E46" t="s">
        <v>6</v>
      </c>
      <c r="G46" t="s">
        <v>197</v>
      </c>
      <c r="H46" t="s">
        <v>19</v>
      </c>
      <c r="I46">
        <v>7.7749556862580768E-2</v>
      </c>
      <c r="J46" t="s">
        <v>6</v>
      </c>
    </row>
    <row r="47" spans="2:10" x14ac:dyDescent="0.45">
      <c r="B47" t="s">
        <v>198</v>
      </c>
      <c r="C47" t="s">
        <v>5</v>
      </c>
      <c r="D47">
        <v>0</v>
      </c>
      <c r="E47" t="s">
        <v>6</v>
      </c>
      <c r="G47" t="s">
        <v>199</v>
      </c>
      <c r="H47" t="s">
        <v>5</v>
      </c>
      <c r="I47">
        <v>0.10742715311832711</v>
      </c>
      <c r="J47" t="s">
        <v>6</v>
      </c>
    </row>
    <row r="48" spans="2:10" x14ac:dyDescent="0.45">
      <c r="B48" t="s">
        <v>198</v>
      </c>
      <c r="C48" t="s">
        <v>9</v>
      </c>
      <c r="D48">
        <v>0.13278596083005575</v>
      </c>
      <c r="E48" t="s">
        <v>6</v>
      </c>
      <c r="G48" t="s">
        <v>199</v>
      </c>
      <c r="H48" t="s">
        <v>9</v>
      </c>
      <c r="I48">
        <v>0.12093575752254261</v>
      </c>
      <c r="J48" t="s">
        <v>6</v>
      </c>
    </row>
    <row r="49" spans="2:10" x14ac:dyDescent="0.45">
      <c r="B49" t="s">
        <v>198</v>
      </c>
      <c r="C49" t="s">
        <v>10</v>
      </c>
      <c r="D49">
        <v>9.5982050591390702E-4</v>
      </c>
      <c r="E49" t="s">
        <v>6</v>
      </c>
      <c r="G49" t="s">
        <v>199</v>
      </c>
      <c r="H49" t="s">
        <v>10</v>
      </c>
      <c r="I49">
        <v>8.064432882927651E-2</v>
      </c>
      <c r="J49" t="s">
        <v>6</v>
      </c>
    </row>
    <row r="50" spans="2:10" x14ac:dyDescent="0.45">
      <c r="B50" t="s">
        <v>198</v>
      </c>
      <c r="C50" t="s">
        <v>11</v>
      </c>
      <c r="D50">
        <v>1.4623247409255931E-3</v>
      </c>
      <c r="E50" t="s">
        <v>6</v>
      </c>
      <c r="G50" t="s">
        <v>199</v>
      </c>
      <c r="H50" t="s">
        <v>11</v>
      </c>
      <c r="I50">
        <v>8.3712934871073189E-2</v>
      </c>
      <c r="J50" t="s">
        <v>6</v>
      </c>
    </row>
    <row r="51" spans="2:10" x14ac:dyDescent="0.45">
      <c r="B51" t="s">
        <v>198</v>
      </c>
      <c r="C51" t="s">
        <v>12</v>
      </c>
      <c r="D51">
        <v>0.28375024226192119</v>
      </c>
      <c r="E51" t="s">
        <v>6</v>
      </c>
      <c r="G51" t="s">
        <v>199</v>
      </c>
      <c r="H51" t="s">
        <v>12</v>
      </c>
      <c r="I51">
        <v>9.4405554185519838E-2</v>
      </c>
      <c r="J51" t="s">
        <v>6</v>
      </c>
    </row>
    <row r="52" spans="2:10" x14ac:dyDescent="0.45">
      <c r="B52" t="s">
        <v>198</v>
      </c>
      <c r="C52" t="s">
        <v>13</v>
      </c>
      <c r="D52">
        <v>1.6442627079738745E-2</v>
      </c>
      <c r="E52" t="s">
        <v>6</v>
      </c>
      <c r="G52" t="s">
        <v>199</v>
      </c>
      <c r="H52" t="s">
        <v>13</v>
      </c>
      <c r="I52">
        <v>6.2148417943415968E-2</v>
      </c>
      <c r="J52" t="s">
        <v>6</v>
      </c>
    </row>
    <row r="53" spans="2:10" x14ac:dyDescent="0.45">
      <c r="B53" t="s">
        <v>198</v>
      </c>
      <c r="C53" t="s">
        <v>14</v>
      </c>
      <c r="D53">
        <v>3.429539262365318E-3</v>
      </c>
      <c r="E53" t="s">
        <v>6</v>
      </c>
      <c r="G53" t="s">
        <v>199</v>
      </c>
      <c r="H53" t="s">
        <v>14</v>
      </c>
      <c r="I53">
        <v>6.0937372791008221E-2</v>
      </c>
      <c r="J53" t="s">
        <v>6</v>
      </c>
    </row>
    <row r="54" spans="2:10" x14ac:dyDescent="0.45">
      <c r="B54" t="s">
        <v>198</v>
      </c>
      <c r="C54" t="s">
        <v>15</v>
      </c>
      <c r="D54">
        <v>0.33710806159451839</v>
      </c>
      <c r="E54" t="s">
        <v>6</v>
      </c>
      <c r="G54" t="s">
        <v>199</v>
      </c>
      <c r="H54" t="s">
        <v>15</v>
      </c>
      <c r="I54">
        <v>5.8873354293984263E-2</v>
      </c>
      <c r="J54" t="s">
        <v>6</v>
      </c>
    </row>
    <row r="55" spans="2:10" x14ac:dyDescent="0.45">
      <c r="B55" t="s">
        <v>198</v>
      </c>
      <c r="C55" t="s">
        <v>16</v>
      </c>
      <c r="D55">
        <v>2.8044197800598036E-2</v>
      </c>
      <c r="E55" t="s">
        <v>6</v>
      </c>
      <c r="G55" t="s">
        <v>199</v>
      </c>
      <c r="H55" t="s">
        <v>16</v>
      </c>
      <c r="I55">
        <v>4.2107860000794084E-2</v>
      </c>
      <c r="J55" t="s">
        <v>6</v>
      </c>
    </row>
    <row r="56" spans="2:10" x14ac:dyDescent="0.45">
      <c r="B56" t="s">
        <v>198</v>
      </c>
      <c r="C56" t="s">
        <v>17</v>
      </c>
      <c r="D56">
        <v>3.8595896082072631E-5</v>
      </c>
      <c r="E56" t="s">
        <v>6</v>
      </c>
      <c r="G56" t="s">
        <v>199</v>
      </c>
      <c r="H56" t="s">
        <v>17</v>
      </c>
      <c r="I56">
        <v>9.9007292288076185E-2</v>
      </c>
      <c r="J56" t="s">
        <v>6</v>
      </c>
    </row>
    <row r="57" spans="2:10" x14ac:dyDescent="0.45">
      <c r="B57" t="s">
        <v>198</v>
      </c>
      <c r="C57" t="s">
        <v>18</v>
      </c>
      <c r="D57">
        <v>0.19252670947727579</v>
      </c>
      <c r="E57" t="s">
        <v>6</v>
      </c>
      <c r="G57" t="s">
        <v>199</v>
      </c>
      <c r="H57" t="s">
        <v>18</v>
      </c>
      <c r="I57">
        <v>0.1113188652555032</v>
      </c>
      <c r="J57" t="s">
        <v>6</v>
      </c>
    </row>
    <row r="58" spans="2:10" x14ac:dyDescent="0.45">
      <c r="B58" t="s">
        <v>198</v>
      </c>
      <c r="C58" t="s">
        <v>19</v>
      </c>
      <c r="D58">
        <v>3.4519205506038791E-3</v>
      </c>
      <c r="E58" t="s">
        <v>6</v>
      </c>
      <c r="G58" t="s">
        <v>199</v>
      </c>
      <c r="H58" t="s">
        <v>19</v>
      </c>
      <c r="I58">
        <v>7.8481108900478824E-2</v>
      </c>
      <c r="J58" t="s">
        <v>6</v>
      </c>
    </row>
    <row r="59" spans="2:10" x14ac:dyDescent="0.45">
      <c r="B59" t="s">
        <v>200</v>
      </c>
      <c r="C59" t="s">
        <v>5</v>
      </c>
      <c r="D59">
        <v>0</v>
      </c>
      <c r="E59" t="s">
        <v>6</v>
      </c>
      <c r="G59" t="s">
        <v>201</v>
      </c>
      <c r="H59" t="s">
        <v>5</v>
      </c>
      <c r="I59">
        <v>0.11345132423772511</v>
      </c>
      <c r="J59" t="s">
        <v>6</v>
      </c>
    </row>
    <row r="60" spans="2:10" x14ac:dyDescent="0.45">
      <c r="B60" t="s">
        <v>200</v>
      </c>
      <c r="C60" t="s">
        <v>9</v>
      </c>
      <c r="D60">
        <v>0.13299949054856033</v>
      </c>
      <c r="E60" t="s">
        <v>6</v>
      </c>
      <c r="G60" t="s">
        <v>201</v>
      </c>
      <c r="H60" t="s">
        <v>9</v>
      </c>
      <c r="I60">
        <v>0.12964042829339598</v>
      </c>
      <c r="J60" t="s">
        <v>6</v>
      </c>
    </row>
    <row r="61" spans="2:10" x14ac:dyDescent="0.45">
      <c r="B61" t="s">
        <v>200</v>
      </c>
      <c r="C61" t="s">
        <v>10</v>
      </c>
      <c r="D61">
        <v>8.2497433081759502E-4</v>
      </c>
      <c r="E61" t="s">
        <v>6</v>
      </c>
      <c r="G61" t="s">
        <v>201</v>
      </c>
      <c r="H61" t="s">
        <v>10</v>
      </c>
      <c r="I61">
        <v>8.2581588798332869E-2</v>
      </c>
      <c r="J61" t="s">
        <v>6</v>
      </c>
    </row>
    <row r="62" spans="2:10" x14ac:dyDescent="0.45">
      <c r="B62" t="s">
        <v>200</v>
      </c>
      <c r="C62" t="s">
        <v>11</v>
      </c>
      <c r="D62">
        <v>1.5575412934569323E-3</v>
      </c>
      <c r="E62" t="s">
        <v>6</v>
      </c>
      <c r="G62" t="s">
        <v>201</v>
      </c>
      <c r="H62" t="s">
        <v>11</v>
      </c>
      <c r="I62">
        <v>8.3845266321781506E-2</v>
      </c>
      <c r="J62" t="s">
        <v>6</v>
      </c>
    </row>
    <row r="63" spans="2:10" x14ac:dyDescent="0.45">
      <c r="B63" t="s">
        <v>200</v>
      </c>
      <c r="C63" t="s">
        <v>12</v>
      </c>
      <c r="D63">
        <v>0.28487236823257095</v>
      </c>
      <c r="E63" t="s">
        <v>6</v>
      </c>
      <c r="G63" t="s">
        <v>201</v>
      </c>
      <c r="H63" t="s">
        <v>12</v>
      </c>
      <c r="I63">
        <v>9.7730394290657399E-2</v>
      </c>
      <c r="J63" t="s">
        <v>6</v>
      </c>
    </row>
    <row r="64" spans="2:10" x14ac:dyDescent="0.45">
      <c r="B64" t="s">
        <v>200</v>
      </c>
      <c r="C64" t="s">
        <v>13</v>
      </c>
      <c r="D64">
        <v>1.5460767418527505E-2</v>
      </c>
      <c r="E64" t="s">
        <v>6</v>
      </c>
      <c r="G64" t="s">
        <v>201</v>
      </c>
      <c r="H64" t="s">
        <v>13</v>
      </c>
      <c r="I64">
        <v>6.2421951147111077E-2</v>
      </c>
      <c r="J64" t="s">
        <v>6</v>
      </c>
    </row>
    <row r="65" spans="2:10" x14ac:dyDescent="0.45">
      <c r="B65" t="s">
        <v>200</v>
      </c>
      <c r="C65" t="s">
        <v>14</v>
      </c>
      <c r="D65">
        <v>3.6947955200181586E-3</v>
      </c>
      <c r="E65" t="s">
        <v>6</v>
      </c>
      <c r="G65" t="s">
        <v>201</v>
      </c>
      <c r="H65" t="s">
        <v>14</v>
      </c>
      <c r="I65">
        <v>5.9913836315609516E-2</v>
      </c>
      <c r="J65" t="s">
        <v>6</v>
      </c>
    </row>
    <row r="66" spans="2:10" x14ac:dyDescent="0.45">
      <c r="B66" t="s">
        <v>200</v>
      </c>
      <c r="C66" t="s">
        <v>15</v>
      </c>
      <c r="D66">
        <v>0.33822535509529617</v>
      </c>
      <c r="E66" t="s">
        <v>6</v>
      </c>
      <c r="G66" t="s">
        <v>201</v>
      </c>
      <c r="H66" t="s">
        <v>15</v>
      </c>
      <c r="I66">
        <v>5.6802808407233632E-2</v>
      </c>
      <c r="J66" t="s">
        <v>6</v>
      </c>
    </row>
    <row r="67" spans="2:10" x14ac:dyDescent="0.45">
      <c r="B67" t="s">
        <v>200</v>
      </c>
      <c r="C67" t="s">
        <v>16</v>
      </c>
      <c r="D67">
        <v>2.7230586746127657E-2</v>
      </c>
      <c r="E67" t="s">
        <v>6</v>
      </c>
      <c r="G67" t="s">
        <v>201</v>
      </c>
      <c r="H67" t="s">
        <v>16</v>
      </c>
      <c r="I67">
        <v>4.3283817590463548E-2</v>
      </c>
      <c r="J67" t="s">
        <v>6</v>
      </c>
    </row>
    <row r="68" spans="2:10" x14ac:dyDescent="0.45">
      <c r="B68" t="s">
        <v>200</v>
      </c>
      <c r="C68" t="s">
        <v>17</v>
      </c>
      <c r="D68">
        <v>4.8314624173405282E-5</v>
      </c>
      <c r="E68" t="s">
        <v>6</v>
      </c>
      <c r="G68" t="s">
        <v>201</v>
      </c>
      <c r="H68" t="s">
        <v>17</v>
      </c>
      <c r="I68">
        <v>9.1513334487700312E-2</v>
      </c>
      <c r="J68" t="s">
        <v>6</v>
      </c>
    </row>
    <row r="69" spans="2:10" x14ac:dyDescent="0.45">
      <c r="B69" t="s">
        <v>200</v>
      </c>
      <c r="C69" t="s">
        <v>18</v>
      </c>
      <c r="D69">
        <v>0.19184549542164192</v>
      </c>
      <c r="E69" t="s">
        <v>6</v>
      </c>
      <c r="G69" t="s">
        <v>201</v>
      </c>
      <c r="H69" t="s">
        <v>18</v>
      </c>
      <c r="I69">
        <v>0.10437027939740161</v>
      </c>
      <c r="J69" t="s">
        <v>6</v>
      </c>
    </row>
    <row r="70" spans="2:10" x14ac:dyDescent="0.45">
      <c r="B70" t="s">
        <v>200</v>
      </c>
      <c r="C70" t="s">
        <v>19</v>
      </c>
      <c r="D70">
        <v>3.2403107688086571E-3</v>
      </c>
      <c r="E70" t="s">
        <v>6</v>
      </c>
      <c r="G70" t="s">
        <v>201</v>
      </c>
      <c r="H70" t="s">
        <v>19</v>
      </c>
      <c r="I70">
        <v>7.4444970712586531E-2</v>
      </c>
      <c r="J70" t="s">
        <v>6</v>
      </c>
    </row>
    <row r="71" spans="2:10" x14ac:dyDescent="0.45">
      <c r="B71" t="s">
        <v>202</v>
      </c>
      <c r="C71" t="s">
        <v>5</v>
      </c>
      <c r="D71">
        <v>0</v>
      </c>
      <c r="E71" t="s">
        <v>6</v>
      </c>
      <c r="G71" t="s">
        <v>203</v>
      </c>
      <c r="H71" t="s">
        <v>5</v>
      </c>
      <c r="I71">
        <v>0.11721346739348749</v>
      </c>
      <c r="J71" t="s">
        <v>6</v>
      </c>
    </row>
    <row r="72" spans="2:10" x14ac:dyDescent="0.45">
      <c r="B72" t="s">
        <v>202</v>
      </c>
      <c r="C72" t="s">
        <v>9</v>
      </c>
      <c r="D72">
        <v>0.12181979535270721</v>
      </c>
      <c r="E72" t="s">
        <v>6</v>
      </c>
      <c r="G72" t="s">
        <v>203</v>
      </c>
      <c r="H72" t="s">
        <v>9</v>
      </c>
      <c r="I72">
        <v>0.13137403832623293</v>
      </c>
      <c r="J72" t="s">
        <v>6</v>
      </c>
    </row>
    <row r="73" spans="2:10" x14ac:dyDescent="0.45">
      <c r="B73" t="s">
        <v>202</v>
      </c>
      <c r="C73" t="s">
        <v>10</v>
      </c>
      <c r="D73">
        <v>7.3465394764607526E-4</v>
      </c>
      <c r="E73" t="s">
        <v>6</v>
      </c>
      <c r="G73" t="s">
        <v>203</v>
      </c>
      <c r="H73" t="s">
        <v>10</v>
      </c>
      <c r="I73">
        <v>8.47606194223543E-2</v>
      </c>
      <c r="J73" t="s">
        <v>6</v>
      </c>
    </row>
    <row r="74" spans="2:10" x14ac:dyDescent="0.45">
      <c r="B74" t="s">
        <v>202</v>
      </c>
      <c r="C74" t="s">
        <v>11</v>
      </c>
      <c r="D74">
        <v>1.8853368213856908E-3</v>
      </c>
      <c r="E74" t="s">
        <v>6</v>
      </c>
      <c r="G74" t="s">
        <v>203</v>
      </c>
      <c r="H74" t="s">
        <v>11</v>
      </c>
      <c r="I74">
        <v>8.1168896665189616E-2</v>
      </c>
      <c r="J74" t="s">
        <v>6</v>
      </c>
    </row>
    <row r="75" spans="2:10" x14ac:dyDescent="0.45">
      <c r="B75" t="s">
        <v>202</v>
      </c>
      <c r="C75" t="s">
        <v>12</v>
      </c>
      <c r="D75">
        <v>0.29707779668109624</v>
      </c>
      <c r="E75" t="s">
        <v>6</v>
      </c>
      <c r="G75" t="s">
        <v>203</v>
      </c>
      <c r="H75" t="s">
        <v>12</v>
      </c>
      <c r="I75">
        <v>9.3260620486299267E-2</v>
      </c>
      <c r="J75" t="s">
        <v>6</v>
      </c>
    </row>
    <row r="76" spans="2:10" x14ac:dyDescent="0.45">
      <c r="B76" t="s">
        <v>202</v>
      </c>
      <c r="C76" t="s">
        <v>13</v>
      </c>
      <c r="D76">
        <v>1.3464998270986668E-2</v>
      </c>
      <c r="E76" t="s">
        <v>6</v>
      </c>
      <c r="G76" t="s">
        <v>203</v>
      </c>
      <c r="H76" t="s">
        <v>13</v>
      </c>
      <c r="I76">
        <v>6.1310344374085696E-2</v>
      </c>
      <c r="J76" t="s">
        <v>6</v>
      </c>
    </row>
    <row r="77" spans="2:10" x14ac:dyDescent="0.45">
      <c r="B77" t="s">
        <v>202</v>
      </c>
      <c r="C77" t="s">
        <v>14</v>
      </c>
      <c r="D77">
        <v>4.6695441378941313E-3</v>
      </c>
      <c r="E77" t="s">
        <v>6</v>
      </c>
      <c r="G77" t="s">
        <v>203</v>
      </c>
      <c r="H77" t="s">
        <v>14</v>
      </c>
      <c r="I77">
        <v>5.846280524051823E-2</v>
      </c>
      <c r="J77" t="s">
        <v>6</v>
      </c>
    </row>
    <row r="78" spans="2:10" x14ac:dyDescent="0.45">
      <c r="B78" t="s">
        <v>202</v>
      </c>
      <c r="C78" t="s">
        <v>15</v>
      </c>
      <c r="D78">
        <v>0.35472028953802343</v>
      </c>
      <c r="E78" t="s">
        <v>6</v>
      </c>
      <c r="G78" t="s">
        <v>203</v>
      </c>
      <c r="H78" t="s">
        <v>15</v>
      </c>
      <c r="I78">
        <v>5.6286020525081019E-2</v>
      </c>
      <c r="J78" t="s">
        <v>6</v>
      </c>
    </row>
    <row r="79" spans="2:10" x14ac:dyDescent="0.45">
      <c r="B79" t="s">
        <v>202</v>
      </c>
      <c r="C79" t="s">
        <v>16</v>
      </c>
      <c r="D79">
        <v>2.3624892277271839E-2</v>
      </c>
      <c r="E79" t="s">
        <v>6</v>
      </c>
      <c r="G79" t="s">
        <v>203</v>
      </c>
      <c r="H79" t="s">
        <v>16</v>
      </c>
      <c r="I79">
        <v>4.1295905339639581E-2</v>
      </c>
      <c r="J79" t="s">
        <v>6</v>
      </c>
    </row>
    <row r="80" spans="2:10" x14ac:dyDescent="0.45">
      <c r="B80" t="s">
        <v>202</v>
      </c>
      <c r="C80" t="s">
        <v>17</v>
      </c>
      <c r="D80">
        <v>8.129426226021658E-5</v>
      </c>
      <c r="E80" t="s">
        <v>6</v>
      </c>
      <c r="G80" t="s">
        <v>203</v>
      </c>
      <c r="H80" t="s">
        <v>17</v>
      </c>
      <c r="I80">
        <v>9.5404967095980939E-2</v>
      </c>
      <c r="J80" t="s">
        <v>6</v>
      </c>
    </row>
    <row r="81" spans="2:10" x14ac:dyDescent="0.45">
      <c r="B81" t="s">
        <v>202</v>
      </c>
      <c r="C81" t="s">
        <v>18</v>
      </c>
      <c r="D81">
        <v>0.17926450942942107</v>
      </c>
      <c r="E81" t="s">
        <v>6</v>
      </c>
      <c r="G81" t="s">
        <v>203</v>
      </c>
      <c r="H81" t="s">
        <v>18</v>
      </c>
      <c r="I81">
        <v>0.10510994661566346</v>
      </c>
      <c r="J81" t="s">
        <v>6</v>
      </c>
    </row>
    <row r="82" spans="2:10" x14ac:dyDescent="0.45">
      <c r="B82" t="s">
        <v>202</v>
      </c>
      <c r="C82" t="s">
        <v>19</v>
      </c>
      <c r="D82">
        <v>2.6568892813066138E-3</v>
      </c>
      <c r="E82" t="s">
        <v>6</v>
      </c>
      <c r="G82" t="s">
        <v>203</v>
      </c>
      <c r="H82" t="s">
        <v>19</v>
      </c>
      <c r="I82">
        <v>7.4352368515467462E-2</v>
      </c>
      <c r="J82" t="s">
        <v>6</v>
      </c>
    </row>
    <row r="83" spans="2:10" x14ac:dyDescent="0.45">
      <c r="B83" t="s">
        <v>204</v>
      </c>
      <c r="C83" t="s">
        <v>5</v>
      </c>
      <c r="D83">
        <v>0</v>
      </c>
      <c r="E83" t="s">
        <v>6</v>
      </c>
      <c r="G83" t="s">
        <v>205</v>
      </c>
      <c r="H83" t="s">
        <v>5</v>
      </c>
      <c r="I83">
        <v>0.11208898644443266</v>
      </c>
      <c r="J83" t="s">
        <v>6</v>
      </c>
    </row>
    <row r="84" spans="2:10" x14ac:dyDescent="0.45">
      <c r="B84" t="s">
        <v>204</v>
      </c>
      <c r="C84" t="s">
        <v>9</v>
      </c>
      <c r="D84">
        <v>0.12316509582836756</v>
      </c>
      <c r="E84" t="s">
        <v>6</v>
      </c>
      <c r="G84" t="s">
        <v>205</v>
      </c>
      <c r="H84" t="s">
        <v>9</v>
      </c>
      <c r="I84">
        <v>0.12633115784678897</v>
      </c>
      <c r="J84" t="s">
        <v>6</v>
      </c>
    </row>
    <row r="85" spans="2:10" x14ac:dyDescent="0.45">
      <c r="B85" t="s">
        <v>204</v>
      </c>
      <c r="C85" t="s">
        <v>10</v>
      </c>
      <c r="D85">
        <v>6.6732893424343014E-4</v>
      </c>
      <c r="E85" t="s">
        <v>6</v>
      </c>
      <c r="G85" t="s">
        <v>205</v>
      </c>
      <c r="H85" t="s">
        <v>10</v>
      </c>
      <c r="I85">
        <v>8.2778526289644841E-2</v>
      </c>
      <c r="J85" t="s">
        <v>6</v>
      </c>
    </row>
    <row r="86" spans="2:10" x14ac:dyDescent="0.45">
      <c r="B86" t="s">
        <v>204</v>
      </c>
      <c r="C86" t="s">
        <v>11</v>
      </c>
      <c r="D86">
        <v>1.757871104816993E-3</v>
      </c>
      <c r="E86" t="s">
        <v>6</v>
      </c>
      <c r="G86" t="s">
        <v>205</v>
      </c>
      <c r="H86" t="s">
        <v>11</v>
      </c>
      <c r="I86">
        <v>8.1631591094818892E-2</v>
      </c>
      <c r="J86" t="s">
        <v>6</v>
      </c>
    </row>
    <row r="87" spans="2:10" x14ac:dyDescent="0.45">
      <c r="B87" t="s">
        <v>204</v>
      </c>
      <c r="C87" t="s">
        <v>12</v>
      </c>
      <c r="D87">
        <v>0.29176488682252338</v>
      </c>
      <c r="E87" t="s">
        <v>6</v>
      </c>
      <c r="G87" t="s">
        <v>205</v>
      </c>
      <c r="H87" t="s">
        <v>12</v>
      </c>
      <c r="I87">
        <v>9.1969752583628855E-2</v>
      </c>
      <c r="J87" t="s">
        <v>6</v>
      </c>
    </row>
    <row r="88" spans="2:10" x14ac:dyDescent="0.45">
      <c r="B88" t="s">
        <v>204</v>
      </c>
      <c r="C88" t="s">
        <v>13</v>
      </c>
      <c r="D88">
        <v>1.3934013835206227E-2</v>
      </c>
      <c r="E88" t="s">
        <v>6</v>
      </c>
      <c r="G88" t="s">
        <v>205</v>
      </c>
      <c r="H88" t="s">
        <v>13</v>
      </c>
      <c r="I88">
        <v>6.0012328679860671E-2</v>
      </c>
      <c r="J88" t="s">
        <v>6</v>
      </c>
    </row>
    <row r="89" spans="2:10" x14ac:dyDescent="0.45">
      <c r="B89" t="s">
        <v>204</v>
      </c>
      <c r="C89" t="s">
        <v>14</v>
      </c>
      <c r="D89">
        <v>4.3001072309664327E-3</v>
      </c>
      <c r="E89" t="s">
        <v>6</v>
      </c>
      <c r="G89" t="s">
        <v>205</v>
      </c>
      <c r="H89" t="s">
        <v>14</v>
      </c>
      <c r="I89">
        <v>5.7816138181450573E-2</v>
      </c>
      <c r="J89" t="s">
        <v>6</v>
      </c>
    </row>
    <row r="90" spans="2:10" x14ac:dyDescent="0.45">
      <c r="B90" t="s">
        <v>204</v>
      </c>
      <c r="C90" t="s">
        <v>15</v>
      </c>
      <c r="D90">
        <v>0.35358021103528325</v>
      </c>
      <c r="E90" t="s">
        <v>6</v>
      </c>
      <c r="G90" t="s">
        <v>205</v>
      </c>
      <c r="H90" t="s">
        <v>15</v>
      </c>
      <c r="I90">
        <v>5.8811680486082506E-2</v>
      </c>
      <c r="J90" t="s">
        <v>6</v>
      </c>
    </row>
    <row r="91" spans="2:10" x14ac:dyDescent="0.45">
      <c r="B91" t="s">
        <v>204</v>
      </c>
      <c r="C91" t="s">
        <v>16</v>
      </c>
      <c r="D91">
        <v>2.4846591531202934E-2</v>
      </c>
      <c r="E91" t="s">
        <v>6</v>
      </c>
      <c r="G91" t="s">
        <v>205</v>
      </c>
      <c r="H91" t="s">
        <v>16</v>
      </c>
      <c r="I91">
        <v>4.0821363110212526E-2</v>
      </c>
      <c r="J91" t="s">
        <v>6</v>
      </c>
    </row>
    <row r="92" spans="2:10" x14ac:dyDescent="0.45">
      <c r="B92" t="s">
        <v>204</v>
      </c>
      <c r="C92" t="s">
        <v>17</v>
      </c>
      <c r="D92">
        <v>6.3086738599880149E-5</v>
      </c>
      <c r="E92" t="s">
        <v>6</v>
      </c>
      <c r="G92" t="s">
        <v>205</v>
      </c>
      <c r="H92" t="s">
        <v>17</v>
      </c>
      <c r="I92">
        <v>9.8004665989909992E-2</v>
      </c>
      <c r="J92" t="s">
        <v>6</v>
      </c>
    </row>
    <row r="93" spans="2:10" x14ac:dyDescent="0.45">
      <c r="B93" t="s">
        <v>204</v>
      </c>
      <c r="C93" t="s">
        <v>18</v>
      </c>
      <c r="D93">
        <v>0.18311076869370393</v>
      </c>
      <c r="E93" t="s">
        <v>6</v>
      </c>
      <c r="G93" t="s">
        <v>205</v>
      </c>
      <c r="H93" t="s">
        <v>18</v>
      </c>
      <c r="I93">
        <v>0.11172367517013258</v>
      </c>
      <c r="J93" t="s">
        <v>6</v>
      </c>
    </row>
    <row r="94" spans="2:10" x14ac:dyDescent="0.45">
      <c r="B94" t="s">
        <v>204</v>
      </c>
      <c r="C94" t="s">
        <v>19</v>
      </c>
      <c r="D94">
        <v>2.810038245083623E-3</v>
      </c>
      <c r="E94" t="s">
        <v>6</v>
      </c>
      <c r="G94" t="s">
        <v>205</v>
      </c>
      <c r="H94" t="s">
        <v>19</v>
      </c>
      <c r="I94">
        <v>7.8010134123038588E-2</v>
      </c>
      <c r="J94" t="s">
        <v>6</v>
      </c>
    </row>
    <row r="95" spans="2:10" x14ac:dyDescent="0.45">
      <c r="B95" t="s">
        <v>206</v>
      </c>
      <c r="C95" t="s">
        <v>5</v>
      </c>
      <c r="D95">
        <v>0</v>
      </c>
      <c r="E95" t="s">
        <v>6</v>
      </c>
      <c r="G95" t="s">
        <v>207</v>
      </c>
      <c r="H95" t="s">
        <v>5</v>
      </c>
      <c r="I95">
        <v>0.11616930771087905</v>
      </c>
      <c r="J95" t="s">
        <v>6</v>
      </c>
    </row>
    <row r="96" spans="2:10" x14ac:dyDescent="0.45">
      <c r="B96" t="s">
        <v>206</v>
      </c>
      <c r="C96" t="s">
        <v>9</v>
      </c>
      <c r="D96">
        <v>0.12356155650439607</v>
      </c>
      <c r="E96" t="s">
        <v>6</v>
      </c>
      <c r="G96" t="s">
        <v>207</v>
      </c>
      <c r="H96" t="s">
        <v>9</v>
      </c>
      <c r="I96">
        <v>0.13049445817666827</v>
      </c>
      <c r="J96" t="s">
        <v>6</v>
      </c>
    </row>
    <row r="97" spans="2:10" x14ac:dyDescent="0.45">
      <c r="B97" t="s">
        <v>206</v>
      </c>
      <c r="C97" t="s">
        <v>10</v>
      </c>
      <c r="D97">
        <v>5.3252444163692694E-4</v>
      </c>
      <c r="E97" t="s">
        <v>6</v>
      </c>
      <c r="G97" t="s">
        <v>207</v>
      </c>
      <c r="H97" t="s">
        <v>10</v>
      </c>
      <c r="I97">
        <v>8.4138823863224979E-2</v>
      </c>
      <c r="J97" t="s">
        <v>6</v>
      </c>
    </row>
    <row r="98" spans="2:10" x14ac:dyDescent="0.45">
      <c r="B98" t="s">
        <v>206</v>
      </c>
      <c r="C98" t="s">
        <v>11</v>
      </c>
      <c r="D98">
        <v>1.8673856580705113E-3</v>
      </c>
      <c r="E98" t="s">
        <v>6</v>
      </c>
      <c r="G98" t="s">
        <v>207</v>
      </c>
      <c r="H98" t="s">
        <v>11</v>
      </c>
      <c r="I98">
        <v>8.1292368467821507E-2</v>
      </c>
      <c r="J98" t="s">
        <v>6</v>
      </c>
    </row>
    <row r="99" spans="2:10" x14ac:dyDescent="0.45">
      <c r="B99" t="s">
        <v>206</v>
      </c>
      <c r="C99" t="s">
        <v>12</v>
      </c>
      <c r="D99">
        <v>0.29575274136296903</v>
      </c>
      <c r="E99" t="s">
        <v>6</v>
      </c>
      <c r="G99" t="s">
        <v>207</v>
      </c>
      <c r="H99" t="s">
        <v>12</v>
      </c>
      <c r="I99">
        <v>9.0468107945832196E-2</v>
      </c>
      <c r="J99" t="s">
        <v>6</v>
      </c>
    </row>
    <row r="100" spans="2:10" x14ac:dyDescent="0.45">
      <c r="B100" t="s">
        <v>206</v>
      </c>
      <c r="C100" t="s">
        <v>13</v>
      </c>
      <c r="D100">
        <v>1.3887764289809073E-2</v>
      </c>
      <c r="E100" t="s">
        <v>6</v>
      </c>
      <c r="G100" t="s">
        <v>207</v>
      </c>
      <c r="H100" t="s">
        <v>13</v>
      </c>
      <c r="I100">
        <v>5.9315470883989398E-2</v>
      </c>
      <c r="J100" t="s">
        <v>6</v>
      </c>
    </row>
    <row r="101" spans="2:10" x14ac:dyDescent="0.45">
      <c r="B101" t="s">
        <v>206</v>
      </c>
      <c r="C101" t="s">
        <v>14</v>
      </c>
      <c r="D101">
        <v>4.5899982936323741E-3</v>
      </c>
      <c r="E101" t="s">
        <v>6</v>
      </c>
      <c r="G101" t="s">
        <v>207</v>
      </c>
      <c r="H101" t="s">
        <v>14</v>
      </c>
      <c r="I101">
        <v>5.6984728525676778E-2</v>
      </c>
      <c r="J101" t="s">
        <v>6</v>
      </c>
    </row>
    <row r="102" spans="2:10" x14ac:dyDescent="0.45">
      <c r="B102" t="s">
        <v>206</v>
      </c>
      <c r="C102" t="s">
        <v>15</v>
      </c>
      <c r="D102">
        <v>0.34485304273754092</v>
      </c>
      <c r="E102" t="s">
        <v>6</v>
      </c>
      <c r="G102" t="s">
        <v>207</v>
      </c>
      <c r="H102" t="s">
        <v>15</v>
      </c>
      <c r="I102">
        <v>5.7152662069604052E-2</v>
      </c>
      <c r="J102" t="s">
        <v>6</v>
      </c>
    </row>
    <row r="103" spans="2:10" x14ac:dyDescent="0.45">
      <c r="B103" t="s">
        <v>206</v>
      </c>
      <c r="C103" t="s">
        <v>16</v>
      </c>
      <c r="D103">
        <v>2.4346487648598265E-2</v>
      </c>
      <c r="E103" t="s">
        <v>6</v>
      </c>
      <c r="G103" t="s">
        <v>207</v>
      </c>
      <c r="H103" t="s">
        <v>16</v>
      </c>
      <c r="I103">
        <v>3.954205713716933E-2</v>
      </c>
      <c r="J103" t="s">
        <v>6</v>
      </c>
    </row>
    <row r="104" spans="2:10" x14ac:dyDescent="0.45">
      <c r="B104" t="s">
        <v>206</v>
      </c>
      <c r="C104" t="s">
        <v>17</v>
      </c>
      <c r="D104">
        <v>7.5753442613477138E-5</v>
      </c>
      <c r="E104" t="s">
        <v>6</v>
      </c>
      <c r="G104" t="s">
        <v>207</v>
      </c>
      <c r="H104" t="s">
        <v>17</v>
      </c>
      <c r="I104">
        <v>9.7958083627992507E-2</v>
      </c>
      <c r="J104" t="s">
        <v>6</v>
      </c>
    </row>
    <row r="105" spans="2:10" x14ac:dyDescent="0.45">
      <c r="B105" t="s">
        <v>206</v>
      </c>
      <c r="C105" t="s">
        <v>18</v>
      </c>
      <c r="D105">
        <v>0.18789184267781134</v>
      </c>
      <c r="E105" t="s">
        <v>6</v>
      </c>
      <c r="G105" t="s">
        <v>207</v>
      </c>
      <c r="H105" t="s">
        <v>18</v>
      </c>
      <c r="I105">
        <v>0.10983728635916229</v>
      </c>
      <c r="J105" t="s">
        <v>6</v>
      </c>
    </row>
    <row r="106" spans="2:10" x14ac:dyDescent="0.45">
      <c r="B106" t="s">
        <v>206</v>
      </c>
      <c r="C106" t="s">
        <v>19</v>
      </c>
      <c r="D106">
        <v>2.6409029429207242E-3</v>
      </c>
      <c r="E106" t="s">
        <v>6</v>
      </c>
      <c r="G106" t="s">
        <v>207</v>
      </c>
      <c r="H106" t="s">
        <v>19</v>
      </c>
      <c r="I106">
        <v>7.6646645231979643E-2</v>
      </c>
      <c r="J106" t="s">
        <v>6</v>
      </c>
    </row>
    <row r="107" spans="2:10" x14ac:dyDescent="0.45">
      <c r="B107" t="s">
        <v>208</v>
      </c>
      <c r="C107" t="s">
        <v>5</v>
      </c>
      <c r="D107">
        <v>0</v>
      </c>
      <c r="E107" t="s">
        <v>6</v>
      </c>
      <c r="G107" t="s">
        <v>209</v>
      </c>
      <c r="H107" t="s">
        <v>5</v>
      </c>
      <c r="I107">
        <v>0.11341986797600341</v>
      </c>
      <c r="J107" t="s">
        <v>6</v>
      </c>
    </row>
    <row r="108" spans="2:10" x14ac:dyDescent="0.45">
      <c r="B108" t="s">
        <v>208</v>
      </c>
      <c r="C108" t="s">
        <v>9</v>
      </c>
      <c r="D108">
        <v>0.12655628071603656</v>
      </c>
      <c r="E108" t="s">
        <v>6</v>
      </c>
      <c r="G108" t="s">
        <v>209</v>
      </c>
      <c r="H108" t="s">
        <v>9</v>
      </c>
      <c r="I108">
        <v>0.12846630061833503</v>
      </c>
      <c r="J108" t="s">
        <v>6</v>
      </c>
    </row>
    <row r="109" spans="2:10" x14ac:dyDescent="0.45">
      <c r="B109" t="s">
        <v>208</v>
      </c>
      <c r="C109" t="s">
        <v>10</v>
      </c>
      <c r="D109">
        <v>4.9619119132308866E-4</v>
      </c>
      <c r="E109" t="s">
        <v>6</v>
      </c>
      <c r="G109" t="s">
        <v>209</v>
      </c>
      <c r="H109" t="s">
        <v>10</v>
      </c>
      <c r="I109">
        <v>8.2726996631782748E-2</v>
      </c>
      <c r="J109" t="s">
        <v>6</v>
      </c>
    </row>
    <row r="110" spans="2:10" x14ac:dyDescent="0.45">
      <c r="B110" t="s">
        <v>208</v>
      </c>
      <c r="C110" t="s">
        <v>11</v>
      </c>
      <c r="D110">
        <v>1.8351440429166801E-3</v>
      </c>
      <c r="E110" t="s">
        <v>6</v>
      </c>
      <c r="G110" t="s">
        <v>209</v>
      </c>
      <c r="H110" t="s">
        <v>11</v>
      </c>
      <c r="I110">
        <v>8.3429958045768846E-2</v>
      </c>
      <c r="J110" t="s">
        <v>6</v>
      </c>
    </row>
    <row r="111" spans="2:10" x14ac:dyDescent="0.45">
      <c r="B111" t="s">
        <v>208</v>
      </c>
      <c r="C111" t="s">
        <v>12</v>
      </c>
      <c r="D111">
        <v>0.29438210878464843</v>
      </c>
      <c r="E111" t="s">
        <v>6</v>
      </c>
      <c r="G111" t="s">
        <v>209</v>
      </c>
      <c r="H111" t="s">
        <v>12</v>
      </c>
      <c r="I111">
        <v>9.4451442602316915E-2</v>
      </c>
      <c r="J111" t="s">
        <v>6</v>
      </c>
    </row>
    <row r="112" spans="2:10" x14ac:dyDescent="0.45">
      <c r="B112" t="s">
        <v>208</v>
      </c>
      <c r="C112" t="s">
        <v>13</v>
      </c>
      <c r="D112">
        <v>1.4138870838138489E-2</v>
      </c>
      <c r="E112" t="s">
        <v>6</v>
      </c>
      <c r="G112" t="s">
        <v>209</v>
      </c>
      <c r="H112" t="s">
        <v>13</v>
      </c>
      <c r="I112">
        <v>6.071700574820503E-2</v>
      </c>
      <c r="J112" t="s">
        <v>6</v>
      </c>
    </row>
    <row r="113" spans="2:10" x14ac:dyDescent="0.45">
      <c r="B113" t="s">
        <v>208</v>
      </c>
      <c r="C113" t="s">
        <v>14</v>
      </c>
      <c r="D113">
        <v>4.5192346947956416E-3</v>
      </c>
      <c r="E113" t="s">
        <v>6</v>
      </c>
      <c r="G113" t="s">
        <v>209</v>
      </c>
      <c r="H113" t="s">
        <v>14</v>
      </c>
      <c r="I113">
        <v>6.0332825612077964E-2</v>
      </c>
      <c r="J113" t="s">
        <v>6</v>
      </c>
    </row>
    <row r="114" spans="2:10" x14ac:dyDescent="0.45">
      <c r="B114" t="s">
        <v>208</v>
      </c>
      <c r="C114" t="s">
        <v>15</v>
      </c>
      <c r="D114">
        <v>0.33816939824106906</v>
      </c>
      <c r="E114" t="s">
        <v>6</v>
      </c>
      <c r="G114" t="s">
        <v>209</v>
      </c>
      <c r="H114" t="s">
        <v>15</v>
      </c>
      <c r="I114">
        <v>5.7907999641267076E-2</v>
      </c>
      <c r="J114" t="s">
        <v>6</v>
      </c>
    </row>
    <row r="115" spans="2:10" x14ac:dyDescent="0.45">
      <c r="B115" t="s">
        <v>208</v>
      </c>
      <c r="C115" t="s">
        <v>16</v>
      </c>
      <c r="D115">
        <v>2.4961474526933331E-2</v>
      </c>
      <c r="E115" t="s">
        <v>6</v>
      </c>
      <c r="G115" t="s">
        <v>209</v>
      </c>
      <c r="H115" t="s">
        <v>16</v>
      </c>
      <c r="I115">
        <v>4.214641905728201E-2</v>
      </c>
      <c r="J115" t="s">
        <v>6</v>
      </c>
    </row>
    <row r="116" spans="2:10" x14ac:dyDescent="0.45">
      <c r="B116" t="s">
        <v>208</v>
      </c>
      <c r="C116" t="s">
        <v>17</v>
      </c>
      <c r="D116">
        <v>7.0777646197447755E-5</v>
      </c>
      <c r="E116" t="s">
        <v>6</v>
      </c>
      <c r="G116" t="s">
        <v>209</v>
      </c>
      <c r="H116" t="s">
        <v>17</v>
      </c>
      <c r="I116">
        <v>9.3393670609160095E-2</v>
      </c>
      <c r="J116" t="s">
        <v>6</v>
      </c>
    </row>
    <row r="117" spans="2:10" x14ac:dyDescent="0.45">
      <c r="B117" t="s">
        <v>208</v>
      </c>
      <c r="C117" t="s">
        <v>18</v>
      </c>
      <c r="D117">
        <v>0.19214689627938528</v>
      </c>
      <c r="E117" t="s">
        <v>6</v>
      </c>
      <c r="G117" t="s">
        <v>209</v>
      </c>
      <c r="H117" t="s">
        <v>18</v>
      </c>
      <c r="I117">
        <v>0.10712105543433906</v>
      </c>
      <c r="J117" t="s">
        <v>6</v>
      </c>
    </row>
    <row r="118" spans="2:10" x14ac:dyDescent="0.45">
      <c r="B118" t="s">
        <v>208</v>
      </c>
      <c r="C118" t="s">
        <v>19</v>
      </c>
      <c r="D118">
        <v>2.7236230385560044E-3</v>
      </c>
      <c r="E118" t="s">
        <v>6</v>
      </c>
      <c r="G118" t="s">
        <v>209</v>
      </c>
      <c r="H118" t="s">
        <v>19</v>
      </c>
      <c r="I118">
        <v>7.5886458023460612E-2</v>
      </c>
      <c r="J118" t="s">
        <v>6</v>
      </c>
    </row>
    <row r="119" spans="2:10" x14ac:dyDescent="0.45">
      <c r="B119" t="s">
        <v>210</v>
      </c>
      <c r="C119" t="s">
        <v>5</v>
      </c>
      <c r="D119">
        <v>0</v>
      </c>
      <c r="E119" t="s">
        <v>6</v>
      </c>
      <c r="G119" t="s">
        <v>211</v>
      </c>
      <c r="H119" t="s">
        <v>5</v>
      </c>
      <c r="I119">
        <v>0.10896562731016246</v>
      </c>
      <c r="J119" t="s">
        <v>6</v>
      </c>
    </row>
    <row r="120" spans="2:10" x14ac:dyDescent="0.45">
      <c r="B120" t="s">
        <v>210</v>
      </c>
      <c r="C120" t="s">
        <v>9</v>
      </c>
      <c r="D120">
        <v>0.12121506463520068</v>
      </c>
      <c r="E120" t="s">
        <v>6</v>
      </c>
      <c r="G120" t="s">
        <v>211</v>
      </c>
      <c r="H120" t="s">
        <v>9</v>
      </c>
      <c r="I120">
        <v>0.1233151738939178</v>
      </c>
      <c r="J120" t="s">
        <v>6</v>
      </c>
    </row>
    <row r="121" spans="2:10" x14ac:dyDescent="0.45">
      <c r="B121" t="s">
        <v>210</v>
      </c>
      <c r="C121" t="s">
        <v>10</v>
      </c>
      <c r="D121">
        <v>3.7472003262164312E-4</v>
      </c>
      <c r="E121" t="s">
        <v>6</v>
      </c>
      <c r="G121" t="s">
        <v>211</v>
      </c>
      <c r="H121" t="s">
        <v>10</v>
      </c>
      <c r="I121">
        <v>8.1253582855162501E-2</v>
      </c>
      <c r="J121" t="s">
        <v>6</v>
      </c>
    </row>
    <row r="122" spans="2:10" x14ac:dyDescent="0.45">
      <c r="B122" t="s">
        <v>210</v>
      </c>
      <c r="C122" t="s">
        <v>11</v>
      </c>
      <c r="D122">
        <v>2.0512506213339618E-3</v>
      </c>
      <c r="E122" t="s">
        <v>6</v>
      </c>
      <c r="G122" t="s">
        <v>211</v>
      </c>
      <c r="H122" t="s">
        <v>11</v>
      </c>
      <c r="I122">
        <v>8.3416671815023324E-2</v>
      </c>
      <c r="J122" t="s">
        <v>6</v>
      </c>
    </row>
    <row r="123" spans="2:10" x14ac:dyDescent="0.45">
      <c r="B123" t="s">
        <v>210</v>
      </c>
      <c r="C123" t="s">
        <v>12</v>
      </c>
      <c r="D123">
        <v>0.29990459520429563</v>
      </c>
      <c r="E123" t="s">
        <v>6</v>
      </c>
      <c r="G123" t="s">
        <v>211</v>
      </c>
      <c r="H123" t="s">
        <v>12</v>
      </c>
      <c r="I123">
        <v>9.5562112991164377E-2</v>
      </c>
      <c r="J123" t="s">
        <v>6</v>
      </c>
    </row>
    <row r="124" spans="2:10" x14ac:dyDescent="0.45">
      <c r="B124" t="s">
        <v>210</v>
      </c>
      <c r="C124" t="s">
        <v>13</v>
      </c>
      <c r="D124">
        <v>1.3529307047831072E-2</v>
      </c>
      <c r="E124" t="s">
        <v>6</v>
      </c>
      <c r="G124" t="s">
        <v>211</v>
      </c>
      <c r="H124" t="s">
        <v>13</v>
      </c>
      <c r="I124">
        <v>6.1093862200234189E-2</v>
      </c>
      <c r="J124" t="s">
        <v>6</v>
      </c>
    </row>
    <row r="125" spans="2:10" x14ac:dyDescent="0.45">
      <c r="B125" t="s">
        <v>210</v>
      </c>
      <c r="C125" t="s">
        <v>14</v>
      </c>
      <c r="D125">
        <v>4.8733270214588722E-3</v>
      </c>
      <c r="E125" t="s">
        <v>6</v>
      </c>
      <c r="G125" t="s">
        <v>211</v>
      </c>
      <c r="H125" t="s">
        <v>14</v>
      </c>
      <c r="I125">
        <v>6.3398945311680346E-2</v>
      </c>
      <c r="J125" t="s">
        <v>6</v>
      </c>
    </row>
    <row r="126" spans="2:10" x14ac:dyDescent="0.45">
      <c r="B126" t="s">
        <v>210</v>
      </c>
      <c r="C126" t="s">
        <v>15</v>
      </c>
      <c r="D126">
        <v>0.34075893067635349</v>
      </c>
      <c r="E126" t="s">
        <v>6</v>
      </c>
      <c r="G126" t="s">
        <v>211</v>
      </c>
      <c r="H126" t="s">
        <v>15</v>
      </c>
      <c r="I126">
        <v>6.0568287080787812E-2</v>
      </c>
      <c r="J126" t="s">
        <v>6</v>
      </c>
    </row>
    <row r="127" spans="2:10" x14ac:dyDescent="0.45">
      <c r="B127" t="s">
        <v>210</v>
      </c>
      <c r="C127" t="s">
        <v>16</v>
      </c>
      <c r="D127">
        <v>2.4126274768948061E-2</v>
      </c>
      <c r="E127" t="s">
        <v>6</v>
      </c>
      <c r="G127" t="s">
        <v>211</v>
      </c>
      <c r="H127" t="s">
        <v>16</v>
      </c>
      <c r="I127">
        <v>4.5075852309708425E-2</v>
      </c>
      <c r="J127" t="s">
        <v>6</v>
      </c>
    </row>
    <row r="128" spans="2:10" x14ac:dyDescent="0.45">
      <c r="B128" t="s">
        <v>210</v>
      </c>
      <c r="C128" t="s">
        <v>17</v>
      </c>
      <c r="D128">
        <v>8.7752915847986299E-5</v>
      </c>
      <c r="E128" t="s">
        <v>6</v>
      </c>
      <c r="G128" t="s">
        <v>211</v>
      </c>
      <c r="H128" t="s">
        <v>17</v>
      </c>
      <c r="I128">
        <v>9.2599799613344552E-2</v>
      </c>
      <c r="J128" t="s">
        <v>6</v>
      </c>
    </row>
    <row r="129" spans="2:10" x14ac:dyDescent="0.45">
      <c r="B129" t="s">
        <v>210</v>
      </c>
      <c r="C129" t="s">
        <v>18</v>
      </c>
      <c r="D129">
        <v>0.19067808510536438</v>
      </c>
      <c r="E129" t="s">
        <v>6</v>
      </c>
      <c r="G129" t="s">
        <v>211</v>
      </c>
      <c r="H129" t="s">
        <v>18</v>
      </c>
      <c r="I129">
        <v>0.10925706491916427</v>
      </c>
      <c r="J129" t="s">
        <v>6</v>
      </c>
    </row>
    <row r="130" spans="2:10" x14ac:dyDescent="0.45">
      <c r="B130" t="s">
        <v>210</v>
      </c>
      <c r="C130" t="s">
        <v>19</v>
      </c>
      <c r="D130">
        <v>2.400691970744182E-3</v>
      </c>
      <c r="E130" t="s">
        <v>6</v>
      </c>
      <c r="G130" t="s">
        <v>211</v>
      </c>
      <c r="H130" t="s">
        <v>19</v>
      </c>
      <c r="I130">
        <v>7.5493019699652303E-2</v>
      </c>
      <c r="J130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3BFFC-6849-420F-BD49-5E8D9C53F1FF}">
  <dimension ref="B9:BL30"/>
  <sheetViews>
    <sheetView workbookViewId="0"/>
  </sheetViews>
  <sheetFormatPr defaultRowHeight="14.25" x14ac:dyDescent="0.45"/>
  <sheetData>
    <row r="9" spans="2:64" x14ac:dyDescent="0.45">
      <c r="B9" t="str">
        <f>IF(A11="x","DeActivated","~TFM_DINS-TSL: attribute=FLO_EMIS; other_indexes=ACT; region=BEL")</f>
        <v>~TFM_DINS-TSL: attribute=FLO_EMIS; other_indexes=ACT; region=BEL</v>
      </c>
      <c r="Q9" t="str">
        <f>IF(A11="x","DeActivated","~TFM_INS-TSL: attribute=FLO_SHAR; limtype=FX; region=BEL")</f>
        <v>~TFM_INS-TSL: attribute=FLO_SHAR; limtype=FX; region=BEL</v>
      </c>
      <c r="AF9" t="str">
        <f>IF(A11="x","DeActivated","~TFM_INS-TSL: attribute=FLO_SHAR; limtype=FX; region=BEL")</f>
        <v>~TFM_INS-TSL: attribute=FLO_SHAR; limtype=FX; region=BEL</v>
      </c>
      <c r="AU9" t="str">
        <f>IF(A11="x","DeActivated","~TFM_DINS-TSL: attribute=NCAP_PKCNT; region=BEL")</f>
        <v>~TFM_DINS-TSL: attribute=NCAP_PKCNT; region=BEL</v>
      </c>
      <c r="BI9" t="str">
        <f>IF(A11="x","DeActivated","~TFM_DINS-AT: region=BEL")</f>
        <v>~TFM_DINS-AT: region=BEL</v>
      </c>
    </row>
    <row r="10" spans="2:64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Q10" t="s">
        <v>3</v>
      </c>
      <c r="R10" t="s">
        <v>0</v>
      </c>
      <c r="S10" t="s">
        <v>5</v>
      </c>
      <c r="T10" t="s">
        <v>9</v>
      </c>
      <c r="U10" t="s">
        <v>10</v>
      </c>
      <c r="V10" t="s">
        <v>11</v>
      </c>
      <c r="W10" t="s">
        <v>12</v>
      </c>
      <c r="X10" t="s">
        <v>13</v>
      </c>
      <c r="Y10" t="s">
        <v>14</v>
      </c>
      <c r="Z10" t="s">
        <v>15</v>
      </c>
      <c r="AA10" t="s">
        <v>16</v>
      </c>
      <c r="AB10" t="s">
        <v>17</v>
      </c>
      <c r="AC10" t="s">
        <v>18</v>
      </c>
      <c r="AD10" t="s">
        <v>19</v>
      </c>
      <c r="AF10" t="s">
        <v>3</v>
      </c>
      <c r="AG10" t="s">
        <v>0</v>
      </c>
      <c r="AH10" t="s">
        <v>5</v>
      </c>
      <c r="AI10" t="s">
        <v>9</v>
      </c>
      <c r="AJ10" t="s">
        <v>10</v>
      </c>
      <c r="AK10" t="s">
        <v>11</v>
      </c>
      <c r="AL10" t="s">
        <v>12</v>
      </c>
      <c r="AM10" t="s">
        <v>13</v>
      </c>
      <c r="AN10" t="s">
        <v>14</v>
      </c>
      <c r="AO10" t="s">
        <v>15</v>
      </c>
      <c r="AP10" t="s">
        <v>16</v>
      </c>
      <c r="AQ10" t="s">
        <v>17</v>
      </c>
      <c r="AR10" t="s">
        <v>18</v>
      </c>
      <c r="AS10" t="s">
        <v>19</v>
      </c>
      <c r="AU10" t="s">
        <v>3</v>
      </c>
      <c r="AV10" t="s">
        <v>5</v>
      </c>
      <c r="AW10" t="s">
        <v>9</v>
      </c>
      <c r="AX10" t="s">
        <v>10</v>
      </c>
      <c r="AY10" t="s">
        <v>11</v>
      </c>
      <c r="AZ10" t="s">
        <v>12</v>
      </c>
      <c r="BA10" t="s">
        <v>13</v>
      </c>
      <c r="BB10" t="s">
        <v>14</v>
      </c>
      <c r="BC10" t="s">
        <v>15</v>
      </c>
      <c r="BD10" t="s">
        <v>16</v>
      </c>
      <c r="BE10" t="s">
        <v>17</v>
      </c>
      <c r="BF10" t="s">
        <v>18</v>
      </c>
      <c r="BG10" t="s">
        <v>19</v>
      </c>
      <c r="BI10" t="s">
        <v>3</v>
      </c>
      <c r="BJ10" t="s">
        <v>0</v>
      </c>
      <c r="BK10" t="s">
        <v>92</v>
      </c>
      <c r="BL10" t="s">
        <v>93</v>
      </c>
    </row>
    <row r="11" spans="2:64" x14ac:dyDescent="0.45">
      <c r="B11" t="s">
        <v>212</v>
      </c>
      <c r="C11" t="s">
        <v>95</v>
      </c>
      <c r="D11">
        <v>0</v>
      </c>
      <c r="E11">
        <v>0.44434321621788425</v>
      </c>
      <c r="F11">
        <v>0.95376936224234854</v>
      </c>
      <c r="G11">
        <v>0.88743749879812583</v>
      </c>
      <c r="H11">
        <v>0.257835434275971</v>
      </c>
      <c r="I11">
        <v>0.68862939129993805</v>
      </c>
      <c r="J11">
        <v>0.79780852777187417</v>
      </c>
      <c r="K11">
        <v>0.20087500156873125</v>
      </c>
      <c r="L11">
        <v>0.6061293695459089</v>
      </c>
      <c r="M11">
        <v>0.98076923076923095</v>
      </c>
      <c r="N11">
        <v>0.36592100727388366</v>
      </c>
      <c r="O11">
        <v>0.88723211647946654</v>
      </c>
      <c r="Q11" t="s">
        <v>96</v>
      </c>
      <c r="R11" t="s">
        <v>97</v>
      </c>
      <c r="S11">
        <v>0</v>
      </c>
      <c r="T11">
        <v>0.23663553549077468</v>
      </c>
      <c r="U11">
        <v>0.42880046978831637</v>
      </c>
      <c r="V11">
        <v>0.79168826939344961</v>
      </c>
      <c r="W11">
        <v>0.11907849359669642</v>
      </c>
      <c r="X11">
        <v>0.32818964473108619</v>
      </c>
      <c r="Y11">
        <v>0.64878951009456343</v>
      </c>
      <c r="Z11">
        <v>9.3677899468995754E-2</v>
      </c>
      <c r="AA11">
        <v>0.30617408388017137</v>
      </c>
      <c r="AB11">
        <v>0.9555024415965252</v>
      </c>
      <c r="AC11">
        <v>0.16475809095166952</v>
      </c>
      <c r="AD11">
        <v>0.28927183480908031</v>
      </c>
      <c r="AF11" t="s">
        <v>96</v>
      </c>
      <c r="AG11" t="s">
        <v>98</v>
      </c>
      <c r="AH11">
        <v>0</v>
      </c>
      <c r="AI11">
        <v>2.9155185127181481E-2</v>
      </c>
      <c r="AJ11">
        <v>0.48022973522581752</v>
      </c>
      <c r="AK11">
        <v>0</v>
      </c>
      <c r="AL11">
        <v>2.634348241277356E-2</v>
      </c>
      <c r="AM11">
        <v>0.18344344023986078</v>
      </c>
      <c r="AN11">
        <v>0</v>
      </c>
      <c r="AO11">
        <v>1.6760270122389384E-2</v>
      </c>
      <c r="AP11">
        <v>0.12721916942172373</v>
      </c>
      <c r="AQ11">
        <v>0</v>
      </c>
      <c r="AR11">
        <v>4.6204255581606485E-2</v>
      </c>
      <c r="AS11">
        <v>0.48579496106562925</v>
      </c>
      <c r="AU11" t="s">
        <v>212</v>
      </c>
      <c r="AV11">
        <v>0</v>
      </c>
      <c r="AW11">
        <v>0.14242029244788385</v>
      </c>
      <c r="AX11">
        <v>1.4616601473471016E-3</v>
      </c>
      <c r="AY11">
        <v>2.2633240341359247E-3</v>
      </c>
      <c r="AZ11">
        <v>0.31465691007701846</v>
      </c>
      <c r="BA11">
        <v>2.65545730979257E-2</v>
      </c>
      <c r="BB11">
        <v>5.3467542465671647E-3</v>
      </c>
      <c r="BC11">
        <v>0.38544003436328689</v>
      </c>
      <c r="BD11">
        <v>4.7757927836282826E-2</v>
      </c>
      <c r="BE11">
        <v>7.2783130907620028E-5</v>
      </c>
      <c r="BF11">
        <v>0.20978196083099243</v>
      </c>
      <c r="BG11">
        <v>5.6435309696620233E-3</v>
      </c>
      <c r="BI11" t="s">
        <v>212</v>
      </c>
      <c r="BJ11" t="s">
        <v>99</v>
      </c>
      <c r="BK11" t="s">
        <v>100</v>
      </c>
      <c r="BL11">
        <v>0.37587406657784828</v>
      </c>
    </row>
    <row r="12" spans="2:64" x14ac:dyDescent="0.45">
      <c r="B12" t="s">
        <v>213</v>
      </c>
      <c r="C12" t="s">
        <v>95</v>
      </c>
      <c r="D12">
        <v>0</v>
      </c>
      <c r="E12">
        <v>0.42592930855161426</v>
      </c>
      <c r="F12">
        <v>0.95285994836503851</v>
      </c>
      <c r="G12">
        <v>0.89019243087860167</v>
      </c>
      <c r="H12">
        <v>0.25278582256631221</v>
      </c>
      <c r="I12">
        <v>0.68079120685393346</v>
      </c>
      <c r="J12">
        <v>0.80258472822958504</v>
      </c>
      <c r="K12">
        <v>0.20415760072046871</v>
      </c>
      <c r="L12">
        <v>0.60259294294270405</v>
      </c>
      <c r="M12">
        <v>0.98214285714285732</v>
      </c>
      <c r="N12">
        <v>0.35575334129725844</v>
      </c>
      <c r="O12">
        <v>0.88315553047420536</v>
      </c>
      <c r="Q12" t="s">
        <v>102</v>
      </c>
      <c r="R12" t="s">
        <v>97</v>
      </c>
      <c r="S12">
        <v>1.1086802757737615E-2</v>
      </c>
      <c r="T12">
        <v>7.1964836294564662E-3</v>
      </c>
      <c r="U12">
        <v>9.9163390683995236E-3</v>
      </c>
      <c r="V12">
        <v>1.8029820567523211E-2</v>
      </c>
      <c r="W12">
        <v>9.8576057553389149E-3</v>
      </c>
      <c r="X12">
        <v>1.4516560847615295E-2</v>
      </c>
      <c r="Y12">
        <v>2.2051858189090202E-2</v>
      </c>
      <c r="Z12">
        <v>1.1954920720141021E-2</v>
      </c>
      <c r="AA12">
        <v>2.532373487086376E-2</v>
      </c>
      <c r="AB12">
        <v>7.3714012453261679E-3</v>
      </c>
      <c r="AC12">
        <v>1.2617045713819974E-2</v>
      </c>
      <c r="AD12">
        <v>9.6914908508875172E-3</v>
      </c>
      <c r="AF12" t="s">
        <v>102</v>
      </c>
      <c r="AG12" t="s">
        <v>98</v>
      </c>
      <c r="AH12">
        <v>3.1544665323553552E-2</v>
      </c>
      <c r="AI12">
        <v>2.4123783543430029E-2</v>
      </c>
      <c r="AJ12">
        <v>1.7802384091811653E-2</v>
      </c>
      <c r="AK12">
        <v>3.784282437623044E-2</v>
      </c>
      <c r="AL12">
        <v>3.0327064066230147E-2</v>
      </c>
      <c r="AM12">
        <v>2.455450028228005E-2</v>
      </c>
      <c r="AN12">
        <v>3.9191979087906559E-2</v>
      </c>
      <c r="AO12">
        <v>2.6979763089300602E-2</v>
      </c>
      <c r="AP12">
        <v>1.9234621032969575E-2</v>
      </c>
      <c r="AQ12">
        <v>2.3474301327390274E-2</v>
      </c>
      <c r="AR12">
        <v>2.3314062894337982E-2</v>
      </c>
      <c r="AS12">
        <v>3.3685948495963437E-2</v>
      </c>
      <c r="AU12" t="s">
        <v>213</v>
      </c>
      <c r="AV12">
        <v>0</v>
      </c>
      <c r="AW12">
        <v>0.15010232424569098</v>
      </c>
      <c r="AX12">
        <v>1.9514486378947346E-3</v>
      </c>
      <c r="AY12">
        <v>2.1638176053558693E-3</v>
      </c>
      <c r="AZ12">
        <v>0.31260194005518394</v>
      </c>
      <c r="BA12">
        <v>2.8716617793001154E-2</v>
      </c>
      <c r="BB12">
        <v>4.8519963056157583E-3</v>
      </c>
      <c r="BC12">
        <v>0.38083954403452258</v>
      </c>
      <c r="BD12">
        <v>5.0702769164669044E-2</v>
      </c>
      <c r="BE12">
        <v>5.9935636942928279E-5</v>
      </c>
      <c r="BF12">
        <v>0.21844063261017027</v>
      </c>
      <c r="BG12">
        <v>6.4280616551964523E-3</v>
      </c>
      <c r="BI12" t="s">
        <v>213</v>
      </c>
      <c r="BJ12" t="s">
        <v>99</v>
      </c>
      <c r="BK12" t="s">
        <v>100</v>
      </c>
      <c r="BL12">
        <v>0.36742805105630866</v>
      </c>
    </row>
    <row r="13" spans="2:64" x14ac:dyDescent="0.45">
      <c r="B13" t="s">
        <v>214</v>
      </c>
      <c r="C13" t="s">
        <v>95</v>
      </c>
      <c r="D13">
        <v>0</v>
      </c>
      <c r="E13">
        <v>0.43197753589087445</v>
      </c>
      <c r="F13">
        <v>0.95606364316565184</v>
      </c>
      <c r="G13">
        <v>0.88312277609916878</v>
      </c>
      <c r="H13">
        <v>0.26103991978545737</v>
      </c>
      <c r="I13">
        <v>0.68704037707583887</v>
      </c>
      <c r="J13">
        <v>0.79549553784431626</v>
      </c>
      <c r="K13">
        <v>0.20352650712483092</v>
      </c>
      <c r="L13">
        <v>0.60223646825639099</v>
      </c>
      <c r="M13">
        <v>0.97943794826685704</v>
      </c>
      <c r="N13">
        <v>0.35482908813774683</v>
      </c>
      <c r="O13">
        <v>0.89101002884431157</v>
      </c>
      <c r="AU13" t="s">
        <v>214</v>
      </c>
      <c r="AV13">
        <v>0</v>
      </c>
      <c r="AW13">
        <v>0.1446333794808814</v>
      </c>
      <c r="AX13">
        <v>1.2313531588025132E-3</v>
      </c>
      <c r="AY13">
        <v>2.2639304312952742E-3</v>
      </c>
      <c r="AZ13">
        <v>0.31216201475730304</v>
      </c>
      <c r="BA13">
        <v>2.6613960481912578E-2</v>
      </c>
      <c r="BB13">
        <v>5.513545576160018E-3</v>
      </c>
      <c r="BC13">
        <v>0.36751386938849923</v>
      </c>
      <c r="BD13">
        <v>4.7225783651665666E-2</v>
      </c>
      <c r="BE13">
        <v>7.9540354176845771E-5</v>
      </c>
      <c r="BF13">
        <v>0.20967627998096888</v>
      </c>
      <c r="BG13">
        <v>5.4949153864718367E-3</v>
      </c>
      <c r="BI13" t="s">
        <v>214</v>
      </c>
      <c r="BJ13" t="s">
        <v>99</v>
      </c>
      <c r="BK13" t="s">
        <v>100</v>
      </c>
      <c r="BL13">
        <v>0.35472009298240581</v>
      </c>
    </row>
    <row r="14" spans="2:64" x14ac:dyDescent="0.45">
      <c r="B14" t="s">
        <v>215</v>
      </c>
      <c r="C14" t="s">
        <v>95</v>
      </c>
      <c r="D14">
        <v>0</v>
      </c>
      <c r="E14">
        <v>0.43012654405120365</v>
      </c>
      <c r="F14">
        <v>0.95480006040220233</v>
      </c>
      <c r="G14">
        <v>0.89114916685020906</v>
      </c>
      <c r="H14">
        <v>0.25775747651587377</v>
      </c>
      <c r="I14">
        <v>0.67993606356478842</v>
      </c>
      <c r="J14">
        <v>0.80220696787976076</v>
      </c>
      <c r="K14">
        <v>0.20450282371725426</v>
      </c>
      <c r="L14">
        <v>0.60177435127262069</v>
      </c>
      <c r="M14">
        <v>0.9821428571428571</v>
      </c>
      <c r="N14">
        <v>0.35641252491787789</v>
      </c>
      <c r="O14">
        <v>0.88518631024204586</v>
      </c>
      <c r="AU14" t="s">
        <v>215</v>
      </c>
      <c r="AV14">
        <v>0</v>
      </c>
      <c r="AW14">
        <v>0.15465762439354794</v>
      </c>
      <c r="AX14">
        <v>1.8631934475718858E-3</v>
      </c>
      <c r="AY14">
        <v>2.082704701647833E-3</v>
      </c>
      <c r="AZ14">
        <v>0.32330327025913858</v>
      </c>
      <c r="BA14">
        <v>3.1224379253122724E-2</v>
      </c>
      <c r="BB14">
        <v>4.884494768031507E-3</v>
      </c>
      <c r="BC14">
        <v>0.38409883944212914</v>
      </c>
      <c r="BD14">
        <v>5.3255642406102449E-2</v>
      </c>
      <c r="BE14">
        <v>5.5573971374187573E-5</v>
      </c>
      <c r="BF14">
        <v>0.22177433203788618</v>
      </c>
      <c r="BG14">
        <v>6.6271962683043233E-3</v>
      </c>
      <c r="BI14" t="s">
        <v>215</v>
      </c>
      <c r="BJ14" t="s">
        <v>99</v>
      </c>
      <c r="BK14" t="s">
        <v>100</v>
      </c>
      <c r="BL14">
        <v>0.3724163917580216</v>
      </c>
    </row>
    <row r="15" spans="2:64" x14ac:dyDescent="0.45">
      <c r="B15" t="s">
        <v>216</v>
      </c>
      <c r="C15" t="s">
        <v>95</v>
      </c>
      <c r="D15">
        <v>0</v>
      </c>
      <c r="E15">
        <v>0.42686767660055691</v>
      </c>
      <c r="F15">
        <v>0.95460348654124361</v>
      </c>
      <c r="G15">
        <v>0.88718187927184511</v>
      </c>
      <c r="H15">
        <v>0.26070601581719582</v>
      </c>
      <c r="I15">
        <v>0.68278212844469599</v>
      </c>
      <c r="J15">
        <v>0.79866027676089302</v>
      </c>
      <c r="K15">
        <v>0.20366263425950507</v>
      </c>
      <c r="L15">
        <v>0.60170156974781597</v>
      </c>
      <c r="M15">
        <v>0.98214285714285732</v>
      </c>
      <c r="N15">
        <v>0.35277406151546725</v>
      </c>
      <c r="O15">
        <v>0.88786083715659292</v>
      </c>
      <c r="AU15" t="s">
        <v>216</v>
      </c>
      <c r="AV15">
        <v>0</v>
      </c>
      <c r="AW15">
        <v>0.15077839692823725</v>
      </c>
      <c r="AX15">
        <v>1.5587566863925445E-3</v>
      </c>
      <c r="AY15">
        <v>2.1592026708670072E-3</v>
      </c>
      <c r="AZ15">
        <v>0.31593238955676395</v>
      </c>
      <c r="BA15">
        <v>2.8577459824212597E-2</v>
      </c>
      <c r="BB15">
        <v>5.122055118952298E-3</v>
      </c>
      <c r="BC15">
        <v>0.37510252506028935</v>
      </c>
      <c r="BD15">
        <v>5.0332624355674684E-2</v>
      </c>
      <c r="BE15">
        <v>6.7714064041835023E-5</v>
      </c>
      <c r="BF15">
        <v>0.21510072174411005</v>
      </c>
      <c r="BG15">
        <v>6.0551607211668653E-3</v>
      </c>
      <c r="BI15" t="s">
        <v>216</v>
      </c>
      <c r="BJ15" t="s">
        <v>99</v>
      </c>
      <c r="BK15" t="s">
        <v>100</v>
      </c>
      <c r="BL15">
        <v>0.36192191031014409</v>
      </c>
    </row>
    <row r="16" spans="2:64" x14ac:dyDescent="0.45">
      <c r="B16" t="s">
        <v>217</v>
      </c>
      <c r="C16" t="s">
        <v>95</v>
      </c>
      <c r="D16">
        <v>0</v>
      </c>
      <c r="E16">
        <v>0.45175038850322241</v>
      </c>
      <c r="F16">
        <v>0.95925925925925914</v>
      </c>
      <c r="G16">
        <v>0.88150062498697901</v>
      </c>
      <c r="H16">
        <v>0.2582135433029174</v>
      </c>
      <c r="I16">
        <v>0.69617780700608523</v>
      </c>
      <c r="J16">
        <v>0.79693243308322703</v>
      </c>
      <c r="K16">
        <v>0.20060783997824874</v>
      </c>
      <c r="L16">
        <v>0.61364087122399891</v>
      </c>
      <c r="M16">
        <v>0.98042202152751534</v>
      </c>
      <c r="N16">
        <v>0.36310646729754903</v>
      </c>
      <c r="O16">
        <v>0.89618241042253155</v>
      </c>
      <c r="AU16" t="s">
        <v>217</v>
      </c>
      <c r="AV16">
        <v>0</v>
      </c>
      <c r="AW16">
        <v>0.13532686516406794</v>
      </c>
      <c r="AX16">
        <v>1.3601841888326743E-3</v>
      </c>
      <c r="AY16">
        <v>2.5610602798543354E-3</v>
      </c>
      <c r="AZ16">
        <v>0.32284274575294081</v>
      </c>
      <c r="BA16">
        <v>2.4387983338196025E-2</v>
      </c>
      <c r="BB16">
        <v>6.3431551757407792E-3</v>
      </c>
      <c r="BC16">
        <v>0.38548445399864761</v>
      </c>
      <c r="BD16">
        <v>4.2789718025159629E-2</v>
      </c>
      <c r="BE16">
        <v>1.116444607282104E-4</v>
      </c>
      <c r="BF16">
        <v>0.19695254180563948</v>
      </c>
      <c r="BG16">
        <v>4.8650743242954373E-3</v>
      </c>
      <c r="BI16" t="s">
        <v>217</v>
      </c>
      <c r="BJ16" t="s">
        <v>99</v>
      </c>
      <c r="BK16" t="s">
        <v>100</v>
      </c>
      <c r="BL16">
        <v>0.38021487276792332</v>
      </c>
    </row>
    <row r="17" spans="2:64" x14ac:dyDescent="0.45">
      <c r="B17" t="s">
        <v>218</v>
      </c>
      <c r="C17" t="s">
        <v>95</v>
      </c>
      <c r="D17">
        <v>0</v>
      </c>
      <c r="E17">
        <v>0.45423353172883629</v>
      </c>
      <c r="F17">
        <v>0.95696814876854697</v>
      </c>
      <c r="G17">
        <v>0.88489531559917578</v>
      </c>
      <c r="H17">
        <v>0.26198206846483579</v>
      </c>
      <c r="I17">
        <v>0.69227290657003293</v>
      </c>
      <c r="J17">
        <v>0.79601444597727855</v>
      </c>
      <c r="K17">
        <v>0.20225355309890927</v>
      </c>
      <c r="L17">
        <v>0.61064629529101955</v>
      </c>
      <c r="M17">
        <v>0.9797050234132969</v>
      </c>
      <c r="N17">
        <v>0.37042098527060735</v>
      </c>
      <c r="O17">
        <v>0.89121184348511373</v>
      </c>
      <c r="AU17" t="s">
        <v>218</v>
      </c>
      <c r="AV17">
        <v>0</v>
      </c>
      <c r="AW17">
        <v>0.13639313061386107</v>
      </c>
      <c r="AX17">
        <v>1.2316677042104706E-3</v>
      </c>
      <c r="AY17">
        <v>2.3804363379416695E-3</v>
      </c>
      <c r="AZ17">
        <v>0.31607675298813376</v>
      </c>
      <c r="BA17">
        <v>2.5158486896121619E-2</v>
      </c>
      <c r="BB17">
        <v>5.8230273434660505E-3</v>
      </c>
      <c r="BC17">
        <v>0.38304295709467123</v>
      </c>
      <c r="BD17">
        <v>4.4861635336664193E-2</v>
      </c>
      <c r="BE17">
        <v>8.6368237091476345E-5</v>
      </c>
      <c r="BF17">
        <v>0.20054870022487234</v>
      </c>
      <c r="BG17">
        <v>5.1294044733506969E-3</v>
      </c>
      <c r="BI17" t="s">
        <v>218</v>
      </c>
      <c r="BJ17" t="s">
        <v>99</v>
      </c>
      <c r="BK17" t="s">
        <v>100</v>
      </c>
      <c r="BL17">
        <v>0.37682015913833444</v>
      </c>
    </row>
    <row r="18" spans="2:64" x14ac:dyDescent="0.45">
      <c r="B18" t="s">
        <v>219</v>
      </c>
      <c r="C18" t="s">
        <v>95</v>
      </c>
      <c r="D18">
        <v>0</v>
      </c>
      <c r="E18">
        <v>0.43876985450001499</v>
      </c>
      <c r="F18">
        <v>0.96052200473837324</v>
      </c>
      <c r="G18">
        <v>0.8774418728001333</v>
      </c>
      <c r="H18">
        <v>0.25977930517103265</v>
      </c>
      <c r="I18">
        <v>0.69275400246615881</v>
      </c>
      <c r="J18">
        <v>0.79269750567180464</v>
      </c>
      <c r="K18">
        <v>0.20087677875407928</v>
      </c>
      <c r="L18">
        <v>0.60728930845509099</v>
      </c>
      <c r="M18">
        <v>0.97665938274185771</v>
      </c>
      <c r="N18">
        <v>0.36455370598575082</v>
      </c>
      <c r="O18">
        <v>0.89624162778077299</v>
      </c>
      <c r="AU18" t="s">
        <v>219</v>
      </c>
      <c r="AV18">
        <v>0</v>
      </c>
      <c r="AW18">
        <v>0.13570589469788205</v>
      </c>
      <c r="AX18">
        <v>9.7477332817318119E-4</v>
      </c>
      <c r="AY18">
        <v>2.5079221796329601E-3</v>
      </c>
      <c r="AZ18">
        <v>0.31775968999047904</v>
      </c>
      <c r="BA18">
        <v>2.48685870447811E-2</v>
      </c>
      <c r="BB18">
        <v>6.1644248338997435E-3</v>
      </c>
      <c r="BC18">
        <v>0.37051354265578718</v>
      </c>
      <c r="BD18">
        <v>4.3596847893519204E-2</v>
      </c>
      <c r="BE18">
        <v>1.0285581421194444E-4</v>
      </c>
      <c r="BF18">
        <v>0.20409124967182043</v>
      </c>
      <c r="BG18">
        <v>4.780987953859772E-3</v>
      </c>
      <c r="BI18" t="s">
        <v>219</v>
      </c>
      <c r="BJ18" t="s">
        <v>99</v>
      </c>
      <c r="BK18" t="s">
        <v>100</v>
      </c>
      <c r="BL18">
        <v>0.35675231105565242</v>
      </c>
    </row>
    <row r="19" spans="2:64" x14ac:dyDescent="0.45">
      <c r="B19" t="s">
        <v>220</v>
      </c>
      <c r="C19" t="s">
        <v>95</v>
      </c>
      <c r="D19">
        <v>0</v>
      </c>
      <c r="E19">
        <v>0.44529410843387141</v>
      </c>
      <c r="F19">
        <v>0.9629629629629628</v>
      </c>
      <c r="G19">
        <v>0.87808624818349901</v>
      </c>
      <c r="H19">
        <v>0.26561958634643501</v>
      </c>
      <c r="I19">
        <v>0.69150734070898423</v>
      </c>
      <c r="J19">
        <v>0.79184301107125998</v>
      </c>
      <c r="K19">
        <v>0.20547602478110596</v>
      </c>
      <c r="L19">
        <v>0.60453657317320508</v>
      </c>
      <c r="M19">
        <v>0.97802197802197777</v>
      </c>
      <c r="N19">
        <v>0.36494002914470702</v>
      </c>
      <c r="O19">
        <v>0.89735668163672955</v>
      </c>
      <c r="AU19" t="s">
        <v>220</v>
      </c>
      <c r="AV19">
        <v>0</v>
      </c>
      <c r="AW19">
        <v>0.13839498294341968</v>
      </c>
      <c r="AX19">
        <v>9.0434562751195492E-4</v>
      </c>
      <c r="AY19">
        <v>2.45398270004918E-3</v>
      </c>
      <c r="AZ19">
        <v>0.31492180897728994</v>
      </c>
      <c r="BA19">
        <v>2.5208952629772404E-2</v>
      </c>
      <c r="BB19">
        <v>6.043189798259371E-3</v>
      </c>
      <c r="BC19">
        <v>0.36176423585831957</v>
      </c>
      <c r="BD19">
        <v>4.4505154345237628E-2</v>
      </c>
      <c r="BE19">
        <v>9.5685006122189252E-5</v>
      </c>
      <c r="BF19">
        <v>0.20781224507593904</v>
      </c>
      <c r="BG19">
        <v>4.909457549949146E-3</v>
      </c>
      <c r="BI19" t="s">
        <v>220</v>
      </c>
      <c r="BJ19" t="s">
        <v>99</v>
      </c>
      <c r="BK19" t="s">
        <v>100</v>
      </c>
      <c r="BL19">
        <v>0.35044456223815518</v>
      </c>
    </row>
    <row r="20" spans="2:64" x14ac:dyDescent="0.45">
      <c r="B20" t="s">
        <v>221</v>
      </c>
      <c r="C20" t="s">
        <v>95</v>
      </c>
      <c r="D20">
        <v>0</v>
      </c>
      <c r="E20">
        <v>0.44535139656471934</v>
      </c>
      <c r="F20">
        <v>0.96481481481481457</v>
      </c>
      <c r="G20">
        <v>0.87462945000791648</v>
      </c>
      <c r="H20">
        <v>0.26227548874489315</v>
      </c>
      <c r="I20">
        <v>0.69626812350724487</v>
      </c>
      <c r="J20">
        <v>0.79042337985471511</v>
      </c>
      <c r="K20">
        <v>0.20104080930426224</v>
      </c>
      <c r="L20">
        <v>0.60853649548410149</v>
      </c>
      <c r="M20">
        <v>0.97868609093077275</v>
      </c>
      <c r="N20">
        <v>0.36227846979550166</v>
      </c>
      <c r="O20">
        <v>0.90026346874818763</v>
      </c>
      <c r="AU20" t="s">
        <v>221</v>
      </c>
      <c r="AV20">
        <v>0</v>
      </c>
      <c r="AW20">
        <v>0.13279608894217138</v>
      </c>
      <c r="AX20">
        <v>6.8420201358902787E-4</v>
      </c>
      <c r="AY20">
        <v>2.7479707637805563E-3</v>
      </c>
      <c r="AZ20">
        <v>0.32141525797911608</v>
      </c>
      <c r="BA20">
        <v>2.4166161420407003E-2</v>
      </c>
      <c r="BB20">
        <v>6.5285831180403875E-3</v>
      </c>
      <c r="BC20">
        <v>0.36519987143717869</v>
      </c>
      <c r="BD20">
        <v>4.3094553806653425E-2</v>
      </c>
      <c r="BE20">
        <v>1.18850598582767E-4</v>
      </c>
      <c r="BF20">
        <v>0.20660012793781948</v>
      </c>
      <c r="BG20">
        <v>4.3352584542421749E-3</v>
      </c>
      <c r="BI20" t="s">
        <v>221</v>
      </c>
      <c r="BJ20" t="s">
        <v>99</v>
      </c>
      <c r="BK20" t="s">
        <v>100</v>
      </c>
      <c r="BL20">
        <v>0.35000916857414111</v>
      </c>
    </row>
    <row r="21" spans="2:64" x14ac:dyDescent="0.45">
      <c r="B21" t="s">
        <v>222</v>
      </c>
      <c r="C21" t="s">
        <v>95</v>
      </c>
      <c r="D21">
        <v>0.27139449660491782</v>
      </c>
      <c r="E21">
        <v>0.30488272169681274</v>
      </c>
      <c r="F21">
        <v>0.2675094078130093</v>
      </c>
      <c r="G21">
        <v>0.29616612500281048</v>
      </c>
      <c r="H21">
        <v>0.32477327721866189</v>
      </c>
      <c r="I21">
        <v>0.30459925136883675</v>
      </c>
      <c r="J21">
        <v>0.30846628511382501</v>
      </c>
      <c r="K21">
        <v>0.36768628229956218</v>
      </c>
      <c r="L21">
        <v>0.34218862754968371</v>
      </c>
      <c r="M21">
        <v>0.31817713425919153</v>
      </c>
      <c r="N21">
        <v>0.33690849756843017</v>
      </c>
      <c r="O21">
        <v>0.30693120761110915</v>
      </c>
      <c r="AU21" t="s">
        <v>222</v>
      </c>
      <c r="AV21">
        <v>0.49218790519610423</v>
      </c>
      <c r="AW21">
        <v>0.45931149647415787</v>
      </c>
      <c r="AX21">
        <v>0.49045448190515495</v>
      </c>
      <c r="AY21">
        <v>0.39483269060462117</v>
      </c>
      <c r="AZ21">
        <v>0.37865680254670869</v>
      </c>
      <c r="BA21">
        <v>0.39191973819360904</v>
      </c>
      <c r="BB21">
        <v>0.28760879317354832</v>
      </c>
      <c r="BC21">
        <v>0.23684892207184804</v>
      </c>
      <c r="BD21">
        <v>0.29652663068115737</v>
      </c>
      <c r="BE21">
        <v>0.40390951069671333</v>
      </c>
      <c r="BF21">
        <v>0.3879609064388771</v>
      </c>
      <c r="BG21">
        <v>0.43686456686450015</v>
      </c>
      <c r="BI21" t="s">
        <v>222</v>
      </c>
      <c r="BJ21" t="s">
        <v>99</v>
      </c>
      <c r="BK21" t="s">
        <v>100</v>
      </c>
      <c r="BL21">
        <v>0.48997813543864471</v>
      </c>
    </row>
    <row r="22" spans="2:64" x14ac:dyDescent="0.45">
      <c r="B22" t="s">
        <v>223</v>
      </c>
      <c r="C22" t="s">
        <v>95</v>
      </c>
      <c r="D22">
        <v>0.3064083053630452</v>
      </c>
      <c r="E22">
        <v>0.34639024071928126</v>
      </c>
      <c r="F22">
        <v>0.29878875278785899</v>
      </c>
      <c r="G22">
        <v>0.29235664763290736</v>
      </c>
      <c r="H22">
        <v>0.33995473452153935</v>
      </c>
      <c r="I22">
        <v>0.32387444345467448</v>
      </c>
      <c r="J22">
        <v>0.28991251117760264</v>
      </c>
      <c r="K22">
        <v>0.36713580631022491</v>
      </c>
      <c r="L22">
        <v>0.32468109232420755</v>
      </c>
      <c r="M22">
        <v>0.3406148170836853</v>
      </c>
      <c r="N22">
        <v>0.37599618411402752</v>
      </c>
      <c r="O22">
        <v>0.32551336261239255</v>
      </c>
      <c r="AU22" t="s">
        <v>223</v>
      </c>
      <c r="AV22">
        <v>0.43457663638164457</v>
      </c>
      <c r="AW22">
        <v>0.39878144757689599</v>
      </c>
      <c r="AX22">
        <v>0.42853548473569225</v>
      </c>
      <c r="AY22">
        <v>0.33962350618821779</v>
      </c>
      <c r="AZ22">
        <v>0.32032084596384236</v>
      </c>
      <c r="BA22">
        <v>0.33218268765479403</v>
      </c>
      <c r="BB22">
        <v>0.246858371489872</v>
      </c>
      <c r="BC22">
        <v>0.19679140595875749</v>
      </c>
      <c r="BD22">
        <v>0.25067350902877239</v>
      </c>
      <c r="BE22">
        <v>0.35921453776919782</v>
      </c>
      <c r="BF22">
        <v>0.34433003885129332</v>
      </c>
      <c r="BG22">
        <v>0.38948858380288665</v>
      </c>
      <c r="BI22" t="s">
        <v>223</v>
      </c>
      <c r="BJ22" t="s">
        <v>99</v>
      </c>
      <c r="BK22" t="s">
        <v>100</v>
      </c>
      <c r="BL22">
        <v>0.43208391067471619</v>
      </c>
    </row>
    <row r="23" spans="2:64" x14ac:dyDescent="0.45">
      <c r="B23" t="s">
        <v>224</v>
      </c>
      <c r="C23" t="s">
        <v>95</v>
      </c>
      <c r="D23">
        <v>0.32770987249629757</v>
      </c>
      <c r="E23">
        <v>0.36958109940593509</v>
      </c>
      <c r="F23">
        <v>0.3146945805560053</v>
      </c>
      <c r="G23">
        <v>0.30756688089263545</v>
      </c>
      <c r="H23">
        <v>0.33920322653560797</v>
      </c>
      <c r="I23">
        <v>0.32511260729307567</v>
      </c>
      <c r="J23">
        <v>0.31591216997985871</v>
      </c>
      <c r="K23">
        <v>0.38663408982666025</v>
      </c>
      <c r="L23">
        <v>0.33835754125283274</v>
      </c>
      <c r="M23">
        <v>0.3420079704996109</v>
      </c>
      <c r="N23">
        <v>0.37939672107243866</v>
      </c>
      <c r="O23">
        <v>0.32703498597973824</v>
      </c>
      <c r="AU23" t="s">
        <v>224</v>
      </c>
      <c r="AV23">
        <v>0.40139935990429509</v>
      </c>
      <c r="AW23">
        <v>0.36163773565279483</v>
      </c>
      <c r="AX23">
        <v>0.4075110198508809</v>
      </c>
      <c r="AY23">
        <v>0.30880854100878691</v>
      </c>
      <c r="AZ23">
        <v>0.27431105512322157</v>
      </c>
      <c r="BA23">
        <v>0.30339371770391982</v>
      </c>
      <c r="BB23">
        <v>0.23163066304479391</v>
      </c>
      <c r="BC23">
        <v>0.17338417159182301</v>
      </c>
      <c r="BD23">
        <v>0.21791474680254691</v>
      </c>
      <c r="BE23">
        <v>0.36186048735269438</v>
      </c>
      <c r="BF23">
        <v>0.33111872555033206</v>
      </c>
      <c r="BG23">
        <v>0.38549780494000285</v>
      </c>
      <c r="BI23" t="s">
        <v>224</v>
      </c>
      <c r="BJ23" t="s">
        <v>99</v>
      </c>
      <c r="BK23" t="s">
        <v>100</v>
      </c>
      <c r="BL23">
        <v>0.40161434864561385</v>
      </c>
    </row>
    <row r="24" spans="2:64" x14ac:dyDescent="0.45">
      <c r="B24" t="s">
        <v>225</v>
      </c>
      <c r="C24" t="s">
        <v>95</v>
      </c>
      <c r="D24">
        <v>0.34586142640011674</v>
      </c>
      <c r="E24">
        <v>0.36991607769836954</v>
      </c>
      <c r="F24">
        <v>0.33173241180944885</v>
      </c>
      <c r="G24">
        <v>0.31956762372810676</v>
      </c>
      <c r="H24">
        <v>0.36517300208081682</v>
      </c>
      <c r="I24">
        <v>0.31690808753397576</v>
      </c>
      <c r="J24">
        <v>0.3268936741842387</v>
      </c>
      <c r="K24">
        <v>0.42074407384727719</v>
      </c>
      <c r="L24">
        <v>0.347464353620974</v>
      </c>
      <c r="M24">
        <v>0.34203308718041453</v>
      </c>
      <c r="N24">
        <v>0.38025498133716595</v>
      </c>
      <c r="O24">
        <v>0.33706484935035103</v>
      </c>
      <c r="AU24" t="s">
        <v>225</v>
      </c>
      <c r="AV24">
        <v>0.37679737726446344</v>
      </c>
      <c r="AW24">
        <v>0.33934270753163015</v>
      </c>
      <c r="AX24">
        <v>0.37714327910690809</v>
      </c>
      <c r="AY24">
        <v>0.28723744465368445</v>
      </c>
      <c r="AZ24">
        <v>0.25914093383180442</v>
      </c>
      <c r="BA24">
        <v>0.28432647494406887</v>
      </c>
      <c r="BB24">
        <v>0.20908949460863369</v>
      </c>
      <c r="BC24">
        <v>0.16160591546947178</v>
      </c>
      <c r="BD24">
        <v>0.19264174049232574</v>
      </c>
      <c r="BE24">
        <v>0.34344888026096887</v>
      </c>
      <c r="BF24">
        <v>0.3089254436950496</v>
      </c>
      <c r="BG24">
        <v>0.36299345028823782</v>
      </c>
      <c r="BI24" t="s">
        <v>225</v>
      </c>
      <c r="BJ24" t="s">
        <v>99</v>
      </c>
      <c r="BK24" t="s">
        <v>100</v>
      </c>
      <c r="BL24">
        <v>0.3741115200497141</v>
      </c>
    </row>
    <row r="25" spans="2:64" x14ac:dyDescent="0.45">
      <c r="B25" t="s">
        <v>226</v>
      </c>
      <c r="C25" t="s">
        <v>95</v>
      </c>
      <c r="D25">
        <v>0.30237353299761938</v>
      </c>
      <c r="E25">
        <v>0.34460314365652067</v>
      </c>
      <c r="F25">
        <v>0.29677092004464783</v>
      </c>
      <c r="G25">
        <v>0.31792316138278531</v>
      </c>
      <c r="H25">
        <v>0.37784727723376788</v>
      </c>
      <c r="I25">
        <v>0.32888567420260117</v>
      </c>
      <c r="J25">
        <v>0.31397964934119055</v>
      </c>
      <c r="K25">
        <v>0.40310427651206293</v>
      </c>
      <c r="L25">
        <v>0.35596571645565545</v>
      </c>
      <c r="M25">
        <v>0.34040069435891207</v>
      </c>
      <c r="N25">
        <v>0.37297202646991007</v>
      </c>
      <c r="O25">
        <v>0.32914289413597153</v>
      </c>
      <c r="AU25" t="s">
        <v>226</v>
      </c>
      <c r="AV25">
        <v>0.43276027238670228</v>
      </c>
      <c r="AW25">
        <v>0.39561091022980382</v>
      </c>
      <c r="AX25">
        <v>0.42001015093319322</v>
      </c>
      <c r="AY25">
        <v>0.3128751325732968</v>
      </c>
      <c r="AZ25">
        <v>0.29175085403419171</v>
      </c>
      <c r="BA25">
        <v>0.31057648765656665</v>
      </c>
      <c r="BB25">
        <v>0.22357314017322616</v>
      </c>
      <c r="BC25">
        <v>0.16957127805157349</v>
      </c>
      <c r="BD25">
        <v>0.21535590914055927</v>
      </c>
      <c r="BE25">
        <v>0.34524175309025551</v>
      </c>
      <c r="BF25">
        <v>0.31499652750187274</v>
      </c>
      <c r="BG25">
        <v>0.37446655311957794</v>
      </c>
      <c r="BI25" t="s">
        <v>226</v>
      </c>
      <c r="BJ25" t="s">
        <v>99</v>
      </c>
      <c r="BK25" t="s">
        <v>100</v>
      </c>
      <c r="BL25">
        <v>0.4300029445392341</v>
      </c>
    </row>
    <row r="26" spans="2:64" x14ac:dyDescent="0.45">
      <c r="B26" t="s">
        <v>227</v>
      </c>
      <c r="C26" t="s">
        <v>95</v>
      </c>
      <c r="D26">
        <v>0.3156253005233845</v>
      </c>
      <c r="E26">
        <v>0.35473142869851226</v>
      </c>
      <c r="F26">
        <v>0.31274832103645211</v>
      </c>
      <c r="G26">
        <v>0.32365021587892923</v>
      </c>
      <c r="H26">
        <v>0.39413888838752759</v>
      </c>
      <c r="I26">
        <v>0.331157339482746</v>
      </c>
      <c r="J26">
        <v>0.32755577772380368</v>
      </c>
      <c r="K26">
        <v>0.42543100359561309</v>
      </c>
      <c r="L26">
        <v>0.36673090743281184</v>
      </c>
      <c r="M26">
        <v>0.34467770420367327</v>
      </c>
      <c r="N26">
        <v>0.38552792566355476</v>
      </c>
      <c r="O26">
        <v>0.33906296220559234</v>
      </c>
      <c r="AU26" t="s">
        <v>227</v>
      </c>
      <c r="AV26">
        <v>0.41290610029924818</v>
      </c>
      <c r="AW26">
        <v>0.3702314626611769</v>
      </c>
      <c r="AX26">
        <v>0.3981132612477436</v>
      </c>
      <c r="AY26">
        <v>0.27971651618060173</v>
      </c>
      <c r="AZ26">
        <v>0.25710868996406055</v>
      </c>
      <c r="BA26">
        <v>0.28170915442962619</v>
      </c>
      <c r="BB26">
        <v>0.20146894783449723</v>
      </c>
      <c r="BC26">
        <v>0.15517401583897678</v>
      </c>
      <c r="BD26">
        <v>0.18974668456686902</v>
      </c>
      <c r="BE26">
        <v>0.33238842302375565</v>
      </c>
      <c r="BF26">
        <v>0.29296025532543413</v>
      </c>
      <c r="BG26">
        <v>0.34538895644813833</v>
      </c>
      <c r="BI26" t="s">
        <v>227</v>
      </c>
      <c r="BJ26" t="s">
        <v>99</v>
      </c>
      <c r="BK26" t="s">
        <v>100</v>
      </c>
      <c r="BL26">
        <v>0.40964036204483517</v>
      </c>
    </row>
    <row r="27" spans="2:64" x14ac:dyDescent="0.45">
      <c r="B27" t="s">
        <v>228</v>
      </c>
      <c r="C27" t="s">
        <v>95</v>
      </c>
      <c r="D27">
        <v>0.32716666311240561</v>
      </c>
      <c r="E27">
        <v>0.3592125464341247</v>
      </c>
      <c r="F27">
        <v>0.30999492919096638</v>
      </c>
      <c r="G27">
        <v>0.31261009322899053</v>
      </c>
      <c r="H27">
        <v>0.34693454597999218</v>
      </c>
      <c r="I27">
        <v>0.31949025280059007</v>
      </c>
      <c r="J27">
        <v>0.3213063405624132</v>
      </c>
      <c r="K27">
        <v>0.39770314981285249</v>
      </c>
      <c r="L27">
        <v>0.3527980308941171</v>
      </c>
      <c r="M27">
        <v>0.3410939565088234</v>
      </c>
      <c r="N27">
        <v>0.37656090733657399</v>
      </c>
      <c r="O27">
        <v>0.33424746477887557</v>
      </c>
      <c r="AU27" t="s">
        <v>228</v>
      </c>
      <c r="AV27">
        <v>0.43385163192488618</v>
      </c>
      <c r="AW27">
        <v>0.39118190454482127</v>
      </c>
      <c r="AX27">
        <v>0.42720341945344675</v>
      </c>
      <c r="AY27">
        <v>0.30909447118842104</v>
      </c>
      <c r="AZ27">
        <v>0.27859157621609504</v>
      </c>
      <c r="BA27">
        <v>0.30297876511298444</v>
      </c>
      <c r="BB27">
        <v>0.21891829398001753</v>
      </c>
      <c r="BC27">
        <v>0.17815029731254936</v>
      </c>
      <c r="BD27">
        <v>0.20609108923832625</v>
      </c>
      <c r="BE27">
        <v>0.37516832411422663</v>
      </c>
      <c r="BF27">
        <v>0.34214847674110721</v>
      </c>
      <c r="BG27">
        <v>0.39817058350915091</v>
      </c>
      <c r="BI27" t="s">
        <v>228</v>
      </c>
      <c r="BJ27" t="s">
        <v>99</v>
      </c>
      <c r="BK27" t="s">
        <v>100</v>
      </c>
      <c r="BL27">
        <v>0.42837225576232424</v>
      </c>
    </row>
    <row r="28" spans="2:64" x14ac:dyDescent="0.45">
      <c r="B28" t="s">
        <v>229</v>
      </c>
      <c r="C28" t="s">
        <v>95</v>
      </c>
      <c r="D28">
        <v>0.32295546414959914</v>
      </c>
      <c r="E28">
        <v>0.35390841573407306</v>
      </c>
      <c r="F28">
        <v>0.30913054100789572</v>
      </c>
      <c r="G28">
        <v>0.32244002940880007</v>
      </c>
      <c r="H28">
        <v>0.37238413557727718</v>
      </c>
      <c r="I28">
        <v>0.32415267485569754</v>
      </c>
      <c r="J28">
        <v>0.32971090006573323</v>
      </c>
      <c r="K28">
        <v>0.40868818704441157</v>
      </c>
      <c r="L28">
        <v>0.37129627752815592</v>
      </c>
      <c r="M28">
        <v>0.34723835983752266</v>
      </c>
      <c r="N28">
        <v>0.37721429458440742</v>
      </c>
      <c r="O28">
        <v>0.3421342333780959</v>
      </c>
      <c r="AU28" t="s">
        <v>229</v>
      </c>
      <c r="AV28">
        <v>0.43953426316988448</v>
      </c>
      <c r="AW28">
        <v>0.3949875343334861</v>
      </c>
      <c r="AX28">
        <v>0.42445974390807184</v>
      </c>
      <c r="AY28">
        <v>0.30088864132804977</v>
      </c>
      <c r="AZ28">
        <v>0.26788075285680268</v>
      </c>
      <c r="BA28">
        <v>0.29272696860151476</v>
      </c>
      <c r="BB28">
        <v>0.21091841541467304</v>
      </c>
      <c r="BC28">
        <v>0.16923199225237351</v>
      </c>
      <c r="BD28">
        <v>0.19514346502736493</v>
      </c>
      <c r="BE28">
        <v>0.36655802479151967</v>
      </c>
      <c r="BF28">
        <v>0.32880789207084782</v>
      </c>
      <c r="BG28">
        <v>0.3824144891717372</v>
      </c>
      <c r="BI28" t="s">
        <v>229</v>
      </c>
      <c r="BJ28" t="s">
        <v>99</v>
      </c>
      <c r="BK28" t="s">
        <v>100</v>
      </c>
      <c r="BL28">
        <v>0.43712615030494312</v>
      </c>
    </row>
    <row r="29" spans="2:64" x14ac:dyDescent="0.45">
      <c r="B29" t="s">
        <v>230</v>
      </c>
      <c r="C29" t="s">
        <v>95</v>
      </c>
      <c r="D29">
        <v>0.31121070197680922</v>
      </c>
      <c r="E29">
        <v>0.35025697539476647</v>
      </c>
      <c r="F29">
        <v>0.29995780063834032</v>
      </c>
      <c r="G29">
        <v>0.30666663131841254</v>
      </c>
      <c r="H29">
        <v>0.36252438478650723</v>
      </c>
      <c r="I29">
        <v>0.32650722287305506</v>
      </c>
      <c r="J29">
        <v>0.31042602824992682</v>
      </c>
      <c r="K29">
        <v>0.38813199794317621</v>
      </c>
      <c r="L29">
        <v>0.35558403618393258</v>
      </c>
      <c r="M29">
        <v>0.34713601649076942</v>
      </c>
      <c r="N29">
        <v>0.37767601148561164</v>
      </c>
      <c r="O29">
        <v>0.32941990011973504</v>
      </c>
      <c r="AU29" t="s">
        <v>230</v>
      </c>
      <c r="AV29">
        <v>0.44256222926658007</v>
      </c>
      <c r="AW29">
        <v>0.40101850514803861</v>
      </c>
      <c r="AX29">
        <v>0.43039894982816379</v>
      </c>
      <c r="AY29">
        <v>0.31846515145473292</v>
      </c>
      <c r="AZ29">
        <v>0.28842870046237884</v>
      </c>
      <c r="BA29">
        <v>0.30902169731201079</v>
      </c>
      <c r="BB29">
        <v>0.23029979753438018</v>
      </c>
      <c r="BC29">
        <v>0.17683508713816992</v>
      </c>
      <c r="BD29">
        <v>0.21450593276480198</v>
      </c>
      <c r="BE29">
        <v>0.3604157576214041</v>
      </c>
      <c r="BF29">
        <v>0.33071291533784125</v>
      </c>
      <c r="BG29">
        <v>0.39047150388009083</v>
      </c>
      <c r="BI29" t="s">
        <v>230</v>
      </c>
      <c r="BJ29" t="s">
        <v>99</v>
      </c>
      <c r="BK29" t="s">
        <v>100</v>
      </c>
      <c r="BL29">
        <v>0.43834132863692227</v>
      </c>
    </row>
    <row r="30" spans="2:64" x14ac:dyDescent="0.45">
      <c r="B30" t="s">
        <v>231</v>
      </c>
      <c r="C30" t="s">
        <v>95</v>
      </c>
      <c r="D30">
        <v>0.31457292756587629</v>
      </c>
      <c r="E30">
        <v>0.35446884250335597</v>
      </c>
      <c r="F30">
        <v>0.30078721112224754</v>
      </c>
      <c r="G30">
        <v>0.29546187993790746</v>
      </c>
      <c r="H30">
        <v>0.33532190565570963</v>
      </c>
      <c r="I30">
        <v>0.32791247863778672</v>
      </c>
      <c r="J30">
        <v>0.30275483966288319</v>
      </c>
      <c r="K30">
        <v>0.36896561015561513</v>
      </c>
      <c r="L30">
        <v>0.3295615783177071</v>
      </c>
      <c r="M30">
        <v>0.34647164879481707</v>
      </c>
      <c r="N30">
        <v>0.38118934108196606</v>
      </c>
      <c r="O30">
        <v>0.32333991150415275</v>
      </c>
      <c r="AU30" t="s">
        <v>231</v>
      </c>
      <c r="AV30">
        <v>0.4378608520452556</v>
      </c>
      <c r="AW30">
        <v>0.39641775810720431</v>
      </c>
      <c r="AX30">
        <v>0.43533927653989202</v>
      </c>
      <c r="AY30">
        <v>0.3279096025168739</v>
      </c>
      <c r="AZ30">
        <v>0.30052250999505109</v>
      </c>
      <c r="BA30">
        <v>0.32021199334865608</v>
      </c>
      <c r="BB30">
        <v>0.24922023984896038</v>
      </c>
      <c r="BC30">
        <v>0.19047437409951509</v>
      </c>
      <c r="BD30">
        <v>0.2362566058219516</v>
      </c>
      <c r="BE30">
        <v>0.36800842254208904</v>
      </c>
      <c r="BF30">
        <v>0.34736593625790918</v>
      </c>
      <c r="BG30">
        <v>0.40003062941983902</v>
      </c>
      <c r="BI30" t="s">
        <v>231</v>
      </c>
      <c r="BJ30" t="s">
        <v>99</v>
      </c>
      <c r="BK30" t="s">
        <v>100</v>
      </c>
      <c r="BL30">
        <v>0.43332146673239097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4FD86-B209-4952-8C4F-EF076DA33A63}">
  <dimension ref="A9:S1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region=BEL")</f>
        <v>~TFM_DINS-AT: region=BEL</v>
      </c>
      <c r="H9" t="str">
        <f>IF(A11="x","DeActivated","~TFM_DINS-AT: region=BEL")</f>
        <v>~TFM_DINS-AT: region=BEL</v>
      </c>
      <c r="L9" t="str">
        <f>IF(A11="x","DeActivated","~TFM_DINS-AT: region=BEL")</f>
        <v>~TFM_DINS-AT: region=BEL</v>
      </c>
      <c r="P9" t="str">
        <f>IF(A11="x","DeActivated","~TFM_INS-AT: region=BEL")</f>
        <v>~TFM_INS-AT: region=BEL</v>
      </c>
    </row>
    <row r="10" spans="1:19" x14ac:dyDescent="0.45">
      <c r="A10" t="s">
        <v>177</v>
      </c>
      <c r="C10" t="s">
        <v>178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179</v>
      </c>
      <c r="P10" t="s">
        <v>180</v>
      </c>
      <c r="Q10" t="s">
        <v>1</v>
      </c>
      <c r="R10" t="s">
        <v>181</v>
      </c>
      <c r="S10" t="s">
        <v>182</v>
      </c>
    </row>
    <row r="11" spans="1:19" x14ac:dyDescent="0.45">
      <c r="C11">
        <v>8.2191780821917804E-2</v>
      </c>
      <c r="D11">
        <v>4.555602515973449E-2</v>
      </c>
      <c r="E11" t="s">
        <v>5</v>
      </c>
      <c r="F11" t="s">
        <v>183</v>
      </c>
      <c r="H11" t="s">
        <v>184</v>
      </c>
      <c r="I11" t="s">
        <v>5</v>
      </c>
      <c r="L11" t="s">
        <v>185</v>
      </c>
      <c r="M11" t="s">
        <v>5</v>
      </c>
      <c r="N11">
        <v>0.29335373069524406</v>
      </c>
      <c r="P11">
        <v>2020</v>
      </c>
      <c r="Q11" t="s">
        <v>186</v>
      </c>
      <c r="R11">
        <v>0.29073333333333334</v>
      </c>
      <c r="S11" t="s">
        <v>187</v>
      </c>
    </row>
    <row r="12" spans="1:19" x14ac:dyDescent="0.45">
      <c r="C12">
        <v>0.10273972602739725</v>
      </c>
      <c r="D12">
        <v>0.14672202471222937</v>
      </c>
      <c r="E12" t="s">
        <v>9</v>
      </c>
      <c r="F12" t="s">
        <v>183</v>
      </c>
      <c r="H12" t="s">
        <v>184</v>
      </c>
      <c r="I12" t="s">
        <v>9</v>
      </c>
      <c r="L12" t="s">
        <v>185</v>
      </c>
      <c r="M12" t="s">
        <v>9</v>
      </c>
      <c r="N12">
        <v>9.717979156420653E-2</v>
      </c>
      <c r="P12">
        <v>2020</v>
      </c>
      <c r="Q12" t="s">
        <v>188</v>
      </c>
      <c r="R12">
        <v>0.20636666666666667</v>
      </c>
      <c r="S12" t="s">
        <v>187</v>
      </c>
    </row>
    <row r="13" spans="1:19" x14ac:dyDescent="0.45">
      <c r="C13">
        <v>6.1643835616438353E-2</v>
      </c>
      <c r="D13">
        <v>5.4297292593789633E-2</v>
      </c>
      <c r="E13" t="s">
        <v>10</v>
      </c>
      <c r="F13" t="s">
        <v>183</v>
      </c>
      <c r="H13" t="s">
        <v>184</v>
      </c>
      <c r="I13" t="s">
        <v>10</v>
      </c>
      <c r="L13" t="s">
        <v>185</v>
      </c>
      <c r="M13" t="s">
        <v>10</v>
      </c>
      <c r="N13">
        <v>0.1670349906502373</v>
      </c>
      <c r="P13">
        <v>2020</v>
      </c>
      <c r="Q13" t="s">
        <v>189</v>
      </c>
      <c r="R13">
        <v>4.2099999999999999E-2</v>
      </c>
      <c r="S13" t="s">
        <v>187</v>
      </c>
    </row>
    <row r="14" spans="1:19" x14ac:dyDescent="0.45">
      <c r="C14">
        <v>8.4018264840182655E-2</v>
      </c>
      <c r="D14">
        <v>4.6568381274395249E-2</v>
      </c>
      <c r="E14" t="s">
        <v>11</v>
      </c>
      <c r="F14" t="s">
        <v>183</v>
      </c>
      <c r="H14" t="s">
        <v>184</v>
      </c>
      <c r="I14" t="s">
        <v>11</v>
      </c>
      <c r="L14" t="s">
        <v>185</v>
      </c>
      <c r="M14" t="s">
        <v>11</v>
      </c>
      <c r="N14">
        <v>0.3547076064185386</v>
      </c>
      <c r="P14">
        <v>2020</v>
      </c>
      <c r="Q14" t="s">
        <v>190</v>
      </c>
      <c r="R14">
        <v>8.2833333333333328E-2</v>
      </c>
      <c r="S14" t="s">
        <v>187</v>
      </c>
    </row>
    <row r="15" spans="1:19" x14ac:dyDescent="0.45">
      <c r="C15">
        <v>0.1050228310502283</v>
      </c>
      <c r="D15">
        <v>0.14998251415027888</v>
      </c>
      <c r="E15" t="s">
        <v>12</v>
      </c>
      <c r="F15" t="s">
        <v>183</v>
      </c>
      <c r="H15" t="s">
        <v>184</v>
      </c>
      <c r="I15" t="s">
        <v>12</v>
      </c>
      <c r="L15" t="s">
        <v>185</v>
      </c>
      <c r="M15" t="s">
        <v>12</v>
      </c>
      <c r="N15">
        <v>0.13891300434773735</v>
      </c>
      <c r="P15">
        <v>2021</v>
      </c>
      <c r="Q15" t="s">
        <v>186</v>
      </c>
      <c r="R15">
        <v>0.25746666666666668</v>
      </c>
      <c r="S15" t="s">
        <v>187</v>
      </c>
    </row>
    <row r="16" spans="1:19" x14ac:dyDescent="0.45">
      <c r="C16">
        <v>6.3013698630136991E-2</v>
      </c>
      <c r="D16">
        <v>5.5503899095873853E-2</v>
      </c>
      <c r="E16" t="s">
        <v>13</v>
      </c>
      <c r="F16" t="s">
        <v>183</v>
      </c>
      <c r="H16" t="s">
        <v>184</v>
      </c>
      <c r="I16" t="s">
        <v>13</v>
      </c>
      <c r="L16" t="s">
        <v>185</v>
      </c>
      <c r="M16" t="s">
        <v>13</v>
      </c>
      <c r="N16">
        <v>0.22906580408534505</v>
      </c>
      <c r="P16">
        <v>2021</v>
      </c>
      <c r="Q16" t="s">
        <v>188</v>
      </c>
      <c r="R16">
        <v>0.28783333333333333</v>
      </c>
      <c r="S16" t="s">
        <v>187</v>
      </c>
    </row>
    <row r="17" spans="3:19" x14ac:dyDescent="0.45">
      <c r="C17">
        <v>8.4018264840182655E-2</v>
      </c>
      <c r="D17">
        <v>4.6568381274395249E-2</v>
      </c>
      <c r="E17" t="s">
        <v>14</v>
      </c>
      <c r="F17" t="s">
        <v>183</v>
      </c>
      <c r="H17" t="s">
        <v>184</v>
      </c>
      <c r="I17" t="s">
        <v>14</v>
      </c>
      <c r="L17" t="s">
        <v>185</v>
      </c>
      <c r="M17" t="s">
        <v>14</v>
      </c>
      <c r="N17">
        <v>0.28068744552293579</v>
      </c>
      <c r="P17">
        <v>2021</v>
      </c>
      <c r="Q17" t="s">
        <v>189</v>
      </c>
      <c r="R17">
        <v>0.20503333333333332</v>
      </c>
      <c r="S17" t="s">
        <v>187</v>
      </c>
    </row>
    <row r="18" spans="3:19" x14ac:dyDescent="0.45">
      <c r="C18">
        <v>0.1050228310502283</v>
      </c>
      <c r="D18">
        <v>0.14998251415027888</v>
      </c>
      <c r="E18" t="s">
        <v>15</v>
      </c>
      <c r="F18" t="s">
        <v>183</v>
      </c>
      <c r="H18" t="s">
        <v>184</v>
      </c>
      <c r="I18" t="s">
        <v>15</v>
      </c>
      <c r="L18" t="s">
        <v>185</v>
      </c>
      <c r="M18" t="s">
        <v>15</v>
      </c>
      <c r="N18">
        <v>0.12390029703883054</v>
      </c>
      <c r="P18">
        <v>2021</v>
      </c>
      <c r="Q18" t="s">
        <v>190</v>
      </c>
      <c r="R18">
        <v>0.20773333333333333</v>
      </c>
      <c r="S18" t="s">
        <v>187</v>
      </c>
    </row>
    <row r="19" spans="3:19" x14ac:dyDescent="0.45">
      <c r="C19">
        <v>6.3013698630136991E-2</v>
      </c>
      <c r="D19">
        <v>5.5503899095873853E-2</v>
      </c>
      <c r="E19" t="s">
        <v>16</v>
      </c>
      <c r="F19" t="s">
        <v>183</v>
      </c>
      <c r="H19" t="s">
        <v>184</v>
      </c>
      <c r="I19" t="s">
        <v>16</v>
      </c>
      <c r="L19" t="s">
        <v>185</v>
      </c>
      <c r="M19" t="s">
        <v>16</v>
      </c>
      <c r="N19">
        <v>0.15792965057463637</v>
      </c>
      <c r="P19">
        <v>2022</v>
      </c>
      <c r="Q19" t="s">
        <v>186</v>
      </c>
      <c r="R19">
        <v>3.7333333333333336E-2</v>
      </c>
      <c r="S19" t="s">
        <v>187</v>
      </c>
    </row>
    <row r="20" spans="3:19" x14ac:dyDescent="0.45">
      <c r="C20">
        <v>8.3105022831050229E-2</v>
      </c>
      <c r="D20">
        <v>4.6062203217064869E-2</v>
      </c>
      <c r="E20" t="s">
        <v>17</v>
      </c>
      <c r="F20" t="s">
        <v>183</v>
      </c>
      <c r="H20" t="s">
        <v>184</v>
      </c>
      <c r="I20" t="s">
        <v>17</v>
      </c>
      <c r="L20" t="s">
        <v>185</v>
      </c>
      <c r="M20" t="s">
        <v>17</v>
      </c>
      <c r="N20">
        <v>0.40721699272611533</v>
      </c>
      <c r="P20">
        <v>2022</v>
      </c>
      <c r="Q20" t="s">
        <v>188</v>
      </c>
      <c r="R20">
        <v>0.18916666666666668</v>
      </c>
      <c r="S20" t="s">
        <v>187</v>
      </c>
    </row>
    <row r="21" spans="3:19" x14ac:dyDescent="0.45">
      <c r="C21">
        <v>0.10388127853881278</v>
      </c>
      <c r="D21">
        <v>0.14835226943125412</v>
      </c>
      <c r="E21" t="s">
        <v>18</v>
      </c>
      <c r="F21" t="s">
        <v>183</v>
      </c>
      <c r="H21" t="s">
        <v>184</v>
      </c>
      <c r="I21" t="s">
        <v>18</v>
      </c>
      <c r="L21" t="s">
        <v>185</v>
      </c>
      <c r="M21" t="s">
        <v>18</v>
      </c>
      <c r="N21">
        <v>0.1911340917019011</v>
      </c>
      <c r="P21">
        <v>2022</v>
      </c>
      <c r="Q21" t="s">
        <v>189</v>
      </c>
      <c r="R21">
        <v>3.8566666666666666E-2</v>
      </c>
      <c r="S21" t="s">
        <v>187</v>
      </c>
    </row>
    <row r="22" spans="3:19" x14ac:dyDescent="0.45">
      <c r="C22">
        <v>6.2328767123287672E-2</v>
      </c>
      <c r="D22">
        <v>5.4900595844831736E-2</v>
      </c>
      <c r="E22" t="s">
        <v>19</v>
      </c>
      <c r="F22" t="s">
        <v>183</v>
      </c>
      <c r="H22" t="s">
        <v>184</v>
      </c>
      <c r="I22" t="s">
        <v>19</v>
      </c>
      <c r="L22" t="s">
        <v>185</v>
      </c>
      <c r="M22" t="s">
        <v>19</v>
      </c>
      <c r="N22">
        <v>0.25907498537458262</v>
      </c>
      <c r="P22">
        <v>2022</v>
      </c>
      <c r="Q22" t="s">
        <v>190</v>
      </c>
      <c r="R22">
        <v>3.8566666666666666E-2</v>
      </c>
      <c r="S22" t="s">
        <v>187</v>
      </c>
    </row>
    <row r="23" spans="3:19" x14ac:dyDescent="0.45">
      <c r="H23" t="s">
        <v>191</v>
      </c>
      <c r="I23" t="s">
        <v>5</v>
      </c>
      <c r="P23">
        <v>2025</v>
      </c>
      <c r="Q23" t="s">
        <v>186</v>
      </c>
      <c r="R23">
        <v>0.46903333333333336</v>
      </c>
      <c r="S23" t="s">
        <v>187</v>
      </c>
    </row>
    <row r="24" spans="3:19" x14ac:dyDescent="0.45">
      <c r="H24" t="s">
        <v>191</v>
      </c>
      <c r="I24" t="s">
        <v>9</v>
      </c>
      <c r="P24">
        <v>2025</v>
      </c>
      <c r="Q24" t="s">
        <v>188</v>
      </c>
      <c r="R24">
        <v>0.4612</v>
      </c>
      <c r="S24" t="s">
        <v>187</v>
      </c>
    </row>
    <row r="25" spans="3:19" x14ac:dyDescent="0.45">
      <c r="H25" t="s">
        <v>191</v>
      </c>
      <c r="I25" t="s">
        <v>10</v>
      </c>
      <c r="P25">
        <v>2025</v>
      </c>
      <c r="Q25" t="s">
        <v>189</v>
      </c>
      <c r="R25">
        <v>0.1489</v>
      </c>
      <c r="S25" t="s">
        <v>187</v>
      </c>
    </row>
    <row r="26" spans="3:19" x14ac:dyDescent="0.45">
      <c r="H26" t="s">
        <v>191</v>
      </c>
      <c r="I26" t="s">
        <v>11</v>
      </c>
      <c r="P26">
        <v>2025</v>
      </c>
      <c r="Q26" t="s">
        <v>190</v>
      </c>
      <c r="R26">
        <v>0.22696666666666668</v>
      </c>
      <c r="S26" t="s">
        <v>187</v>
      </c>
    </row>
    <row r="27" spans="3:19" x14ac:dyDescent="0.45">
      <c r="H27" t="s">
        <v>191</v>
      </c>
      <c r="I27" t="s">
        <v>12</v>
      </c>
      <c r="P27">
        <v>2026</v>
      </c>
      <c r="Q27" t="s">
        <v>186</v>
      </c>
      <c r="R27">
        <v>0.4044666666666667</v>
      </c>
      <c r="S27" t="s">
        <v>187</v>
      </c>
    </row>
    <row r="28" spans="3:19" x14ac:dyDescent="0.45">
      <c r="H28" t="s">
        <v>191</v>
      </c>
      <c r="I28" t="s">
        <v>13</v>
      </c>
      <c r="P28">
        <v>2026</v>
      </c>
      <c r="Q28" t="s">
        <v>188</v>
      </c>
      <c r="R28">
        <v>0.48486666666666672</v>
      </c>
      <c r="S28" t="s">
        <v>187</v>
      </c>
    </row>
    <row r="29" spans="3:19" x14ac:dyDescent="0.45">
      <c r="H29" t="s">
        <v>191</v>
      </c>
      <c r="I29" t="s">
        <v>14</v>
      </c>
      <c r="P29">
        <v>2026</v>
      </c>
      <c r="Q29" t="s">
        <v>189</v>
      </c>
      <c r="R29">
        <v>0.13689999999999999</v>
      </c>
      <c r="S29" t="s">
        <v>187</v>
      </c>
    </row>
    <row r="30" spans="3:19" x14ac:dyDescent="0.45">
      <c r="H30" t="s">
        <v>191</v>
      </c>
      <c r="I30" t="s">
        <v>15</v>
      </c>
      <c r="P30">
        <v>2026</v>
      </c>
      <c r="Q30" t="s">
        <v>190</v>
      </c>
      <c r="R30">
        <v>0.1371</v>
      </c>
      <c r="S30" t="s">
        <v>187</v>
      </c>
    </row>
    <row r="31" spans="3:19" x14ac:dyDescent="0.45">
      <c r="H31" t="s">
        <v>191</v>
      </c>
      <c r="I31" t="s">
        <v>16</v>
      </c>
      <c r="P31">
        <v>2027</v>
      </c>
      <c r="Q31" t="s">
        <v>186</v>
      </c>
      <c r="R31">
        <v>0.45929999999999999</v>
      </c>
      <c r="S31" t="s">
        <v>187</v>
      </c>
    </row>
    <row r="32" spans="3:19" x14ac:dyDescent="0.45">
      <c r="H32" t="s">
        <v>191</v>
      </c>
      <c r="I32" t="s">
        <v>17</v>
      </c>
      <c r="P32">
        <v>2027</v>
      </c>
      <c r="Q32" t="s">
        <v>188</v>
      </c>
      <c r="R32">
        <v>0.47066666666666662</v>
      </c>
      <c r="S32" t="s">
        <v>187</v>
      </c>
    </row>
    <row r="33" spans="8:19" x14ac:dyDescent="0.45">
      <c r="H33" t="s">
        <v>191</v>
      </c>
      <c r="I33" t="s">
        <v>18</v>
      </c>
      <c r="P33">
        <v>2027</v>
      </c>
      <c r="Q33" t="s">
        <v>189</v>
      </c>
      <c r="R33">
        <v>0.16593333333333332</v>
      </c>
      <c r="S33" t="s">
        <v>187</v>
      </c>
    </row>
    <row r="34" spans="8:19" x14ac:dyDescent="0.45">
      <c r="H34" t="s">
        <v>191</v>
      </c>
      <c r="I34" t="s">
        <v>19</v>
      </c>
      <c r="P34">
        <v>2027</v>
      </c>
      <c r="Q34" t="s">
        <v>190</v>
      </c>
      <c r="R34">
        <v>0.15180000000000002</v>
      </c>
      <c r="S34" t="s">
        <v>187</v>
      </c>
    </row>
    <row r="35" spans="8:19" x14ac:dyDescent="0.45">
      <c r="P35">
        <v>2028</v>
      </c>
      <c r="Q35" t="s">
        <v>186</v>
      </c>
      <c r="R35">
        <v>0.56940000000000002</v>
      </c>
      <c r="S35" t="s">
        <v>187</v>
      </c>
    </row>
    <row r="36" spans="8:19" x14ac:dyDescent="0.45">
      <c r="P36">
        <v>2028</v>
      </c>
      <c r="Q36" t="s">
        <v>188</v>
      </c>
      <c r="R36">
        <v>0.50090000000000001</v>
      </c>
      <c r="S36" t="s">
        <v>187</v>
      </c>
    </row>
    <row r="37" spans="8:19" x14ac:dyDescent="0.45">
      <c r="P37">
        <v>2028</v>
      </c>
      <c r="Q37" t="s">
        <v>189</v>
      </c>
      <c r="R37">
        <v>0.15806666666666666</v>
      </c>
      <c r="S37" t="s">
        <v>187</v>
      </c>
    </row>
    <row r="38" spans="8:19" x14ac:dyDescent="0.45">
      <c r="P38">
        <v>2028</v>
      </c>
      <c r="Q38" t="s">
        <v>190</v>
      </c>
      <c r="R38">
        <v>0.17676666666666666</v>
      </c>
      <c r="S38" t="s">
        <v>187</v>
      </c>
    </row>
    <row r="39" spans="8:19" x14ac:dyDescent="0.45">
      <c r="P39">
        <v>2029</v>
      </c>
      <c r="Q39" t="s">
        <v>186</v>
      </c>
      <c r="R39">
        <v>0.46333333333333337</v>
      </c>
      <c r="S39" t="s">
        <v>187</v>
      </c>
    </row>
    <row r="40" spans="8:19" x14ac:dyDescent="0.45">
      <c r="P40">
        <v>2029</v>
      </c>
      <c r="Q40" t="s">
        <v>188</v>
      </c>
      <c r="R40">
        <v>0.51546666666666663</v>
      </c>
      <c r="S40" t="s">
        <v>187</v>
      </c>
    </row>
    <row r="41" spans="8:19" x14ac:dyDescent="0.45">
      <c r="P41">
        <v>2029</v>
      </c>
      <c r="Q41" t="s">
        <v>189</v>
      </c>
      <c r="R41">
        <v>0.16769999999999999</v>
      </c>
      <c r="S41" t="s">
        <v>187</v>
      </c>
    </row>
    <row r="42" spans="8:19" x14ac:dyDescent="0.45">
      <c r="P42">
        <v>2029</v>
      </c>
      <c r="Q42" t="s">
        <v>190</v>
      </c>
      <c r="R42">
        <v>0.19466666666666668</v>
      </c>
      <c r="S42" t="s">
        <v>187</v>
      </c>
    </row>
    <row r="43" spans="8:19" x14ac:dyDescent="0.45">
      <c r="P43">
        <v>2030</v>
      </c>
      <c r="Q43" t="s">
        <v>186</v>
      </c>
      <c r="R43">
        <v>0.46176666666666666</v>
      </c>
      <c r="S43" t="s">
        <v>187</v>
      </c>
    </row>
    <row r="44" spans="8:19" x14ac:dyDescent="0.45">
      <c r="P44">
        <v>2030</v>
      </c>
      <c r="Q44" t="s">
        <v>188</v>
      </c>
      <c r="R44">
        <v>0.50336666666666663</v>
      </c>
      <c r="S44" t="s">
        <v>187</v>
      </c>
    </row>
    <row r="45" spans="8:19" x14ac:dyDescent="0.45">
      <c r="P45">
        <v>2030</v>
      </c>
      <c r="Q45" t="s">
        <v>189</v>
      </c>
      <c r="R45">
        <v>0.11526666666666667</v>
      </c>
      <c r="S45" t="s">
        <v>187</v>
      </c>
    </row>
    <row r="46" spans="8:19" x14ac:dyDescent="0.45">
      <c r="P46">
        <v>2030</v>
      </c>
      <c r="Q46" t="s">
        <v>190</v>
      </c>
      <c r="R46">
        <v>0.26246666666666668</v>
      </c>
      <c r="S46" t="s">
        <v>187</v>
      </c>
    </row>
    <row r="47" spans="8:19" x14ac:dyDescent="0.45">
      <c r="P47">
        <v>2031</v>
      </c>
      <c r="Q47" t="s">
        <v>186</v>
      </c>
      <c r="R47">
        <v>0.51103333333333334</v>
      </c>
      <c r="S47" t="s">
        <v>187</v>
      </c>
    </row>
    <row r="48" spans="8:19" x14ac:dyDescent="0.45">
      <c r="P48">
        <v>2031</v>
      </c>
      <c r="Q48" t="s">
        <v>188</v>
      </c>
      <c r="R48">
        <v>0.48180000000000001</v>
      </c>
      <c r="S48" t="s">
        <v>187</v>
      </c>
    </row>
    <row r="49" spans="16:19" x14ac:dyDescent="0.45">
      <c r="P49">
        <v>2031</v>
      </c>
      <c r="Q49" t="s">
        <v>189</v>
      </c>
      <c r="R49">
        <v>0.16650000000000001</v>
      </c>
      <c r="S49" t="s">
        <v>187</v>
      </c>
    </row>
    <row r="50" spans="16:19" x14ac:dyDescent="0.45">
      <c r="P50">
        <v>2031</v>
      </c>
      <c r="Q50" t="s">
        <v>190</v>
      </c>
      <c r="R50">
        <v>0.17076666666666665</v>
      </c>
      <c r="S50" t="s">
        <v>187</v>
      </c>
    </row>
    <row r="51" spans="16:19" x14ac:dyDescent="0.45">
      <c r="P51">
        <v>2032</v>
      </c>
      <c r="Q51" t="s">
        <v>186</v>
      </c>
      <c r="R51">
        <v>0.48476666666666662</v>
      </c>
      <c r="S51" t="s">
        <v>187</v>
      </c>
    </row>
    <row r="52" spans="16:19" x14ac:dyDescent="0.45">
      <c r="P52">
        <v>2032</v>
      </c>
      <c r="Q52" t="s">
        <v>188</v>
      </c>
      <c r="R52">
        <v>0.52616666666666667</v>
      </c>
      <c r="S52" t="s">
        <v>187</v>
      </c>
    </row>
    <row r="53" spans="16:19" x14ac:dyDescent="0.45">
      <c r="P53">
        <v>2032</v>
      </c>
      <c r="Q53" t="s">
        <v>189</v>
      </c>
      <c r="R53">
        <v>0.23219999999999999</v>
      </c>
      <c r="S53" t="s">
        <v>187</v>
      </c>
    </row>
    <row r="54" spans="16:19" x14ac:dyDescent="0.45">
      <c r="P54">
        <v>2032</v>
      </c>
      <c r="Q54" t="s">
        <v>190</v>
      </c>
      <c r="R54">
        <v>0.17746666666666666</v>
      </c>
      <c r="S54" t="s">
        <v>187</v>
      </c>
    </row>
    <row r="55" spans="16:19" x14ac:dyDescent="0.45">
      <c r="P55">
        <v>2033</v>
      </c>
      <c r="Q55" t="s">
        <v>186</v>
      </c>
      <c r="R55">
        <v>0.60543333333333338</v>
      </c>
      <c r="S55" t="s">
        <v>187</v>
      </c>
    </row>
    <row r="56" spans="16:19" x14ac:dyDescent="0.45">
      <c r="P56">
        <v>2033</v>
      </c>
      <c r="Q56" t="s">
        <v>188</v>
      </c>
      <c r="R56">
        <v>0.59560000000000002</v>
      </c>
      <c r="S56" t="s">
        <v>187</v>
      </c>
    </row>
    <row r="57" spans="16:19" x14ac:dyDescent="0.45">
      <c r="P57">
        <v>2033</v>
      </c>
      <c r="Q57" t="s">
        <v>189</v>
      </c>
      <c r="R57">
        <v>0.17146666666666666</v>
      </c>
      <c r="S57" t="s">
        <v>187</v>
      </c>
    </row>
    <row r="58" spans="16:19" x14ac:dyDescent="0.45">
      <c r="P58">
        <v>2033</v>
      </c>
      <c r="Q58" t="s">
        <v>190</v>
      </c>
      <c r="R58">
        <v>0.3047333333333333</v>
      </c>
      <c r="S58" t="s">
        <v>187</v>
      </c>
    </row>
    <row r="59" spans="16:19" x14ac:dyDescent="0.45">
      <c r="P59">
        <v>2034</v>
      </c>
      <c r="Q59" t="s">
        <v>186</v>
      </c>
      <c r="R59">
        <v>0.57450000000000001</v>
      </c>
      <c r="S59" t="s">
        <v>187</v>
      </c>
    </row>
    <row r="60" spans="16:19" x14ac:dyDescent="0.45">
      <c r="P60">
        <v>2034</v>
      </c>
      <c r="Q60" t="s">
        <v>188</v>
      </c>
      <c r="R60">
        <v>0.53906666666666669</v>
      </c>
      <c r="S60" t="s">
        <v>187</v>
      </c>
    </row>
    <row r="61" spans="16:19" x14ac:dyDescent="0.45">
      <c r="P61">
        <v>2034</v>
      </c>
      <c r="Q61" t="s">
        <v>189</v>
      </c>
      <c r="R61">
        <v>0.17506666666666668</v>
      </c>
      <c r="S61" t="s">
        <v>187</v>
      </c>
    </row>
    <row r="62" spans="16:19" x14ac:dyDescent="0.45">
      <c r="P62">
        <v>2034</v>
      </c>
      <c r="Q62" t="s">
        <v>190</v>
      </c>
      <c r="R62">
        <v>0.17223333333333332</v>
      </c>
      <c r="S62" t="s">
        <v>187</v>
      </c>
    </row>
    <row r="63" spans="16:19" x14ac:dyDescent="0.45">
      <c r="P63">
        <v>2035</v>
      </c>
      <c r="Q63" t="s">
        <v>186</v>
      </c>
      <c r="R63">
        <v>0.59933333333333338</v>
      </c>
      <c r="S63" t="s">
        <v>187</v>
      </c>
    </row>
    <row r="64" spans="16:19" x14ac:dyDescent="0.45">
      <c r="P64">
        <v>2035</v>
      </c>
      <c r="Q64" t="s">
        <v>188</v>
      </c>
      <c r="R64">
        <v>0.66953333333333331</v>
      </c>
      <c r="S64" t="s">
        <v>187</v>
      </c>
    </row>
    <row r="65" spans="16:19" x14ac:dyDescent="0.45">
      <c r="P65">
        <v>2035</v>
      </c>
      <c r="Q65" t="s">
        <v>189</v>
      </c>
      <c r="R65">
        <v>0.18926666666666667</v>
      </c>
      <c r="S65" t="s">
        <v>187</v>
      </c>
    </row>
    <row r="66" spans="16:19" x14ac:dyDescent="0.45">
      <c r="P66">
        <v>2035</v>
      </c>
      <c r="Q66" t="s">
        <v>190</v>
      </c>
      <c r="R66">
        <v>0.25140000000000001</v>
      </c>
      <c r="S66" t="s">
        <v>187</v>
      </c>
    </row>
    <row r="67" spans="16:19" x14ac:dyDescent="0.45">
      <c r="P67">
        <v>2036</v>
      </c>
      <c r="Q67" t="s">
        <v>186</v>
      </c>
      <c r="R67">
        <v>0.61919999999999997</v>
      </c>
      <c r="S67" t="s">
        <v>187</v>
      </c>
    </row>
    <row r="68" spans="16:19" x14ac:dyDescent="0.45">
      <c r="P68">
        <v>2036</v>
      </c>
      <c r="Q68" t="s">
        <v>188</v>
      </c>
      <c r="R68">
        <v>0.58493333333333331</v>
      </c>
      <c r="S68" t="s">
        <v>187</v>
      </c>
    </row>
    <row r="69" spans="16:19" x14ac:dyDescent="0.45">
      <c r="P69">
        <v>2036</v>
      </c>
      <c r="Q69" t="s">
        <v>189</v>
      </c>
      <c r="R69">
        <v>0.12070000000000002</v>
      </c>
      <c r="S69" t="s">
        <v>187</v>
      </c>
    </row>
    <row r="70" spans="16:19" x14ac:dyDescent="0.45">
      <c r="P70">
        <v>2036</v>
      </c>
      <c r="Q70" t="s">
        <v>190</v>
      </c>
      <c r="R70">
        <v>0.18079999999999999</v>
      </c>
      <c r="S70" t="s">
        <v>187</v>
      </c>
    </row>
    <row r="71" spans="16:19" x14ac:dyDescent="0.45">
      <c r="P71">
        <v>2037</v>
      </c>
      <c r="Q71" t="s">
        <v>186</v>
      </c>
      <c r="R71">
        <v>0.50226666666666675</v>
      </c>
      <c r="S71" t="s">
        <v>187</v>
      </c>
    </row>
    <row r="72" spans="16:19" x14ac:dyDescent="0.45">
      <c r="P72">
        <v>2037</v>
      </c>
      <c r="Q72" t="s">
        <v>188</v>
      </c>
      <c r="R72">
        <v>0.5436333333333333</v>
      </c>
      <c r="S72" t="s">
        <v>187</v>
      </c>
    </row>
    <row r="73" spans="16:19" x14ac:dyDescent="0.45">
      <c r="P73">
        <v>2037</v>
      </c>
      <c r="Q73" t="s">
        <v>189</v>
      </c>
      <c r="R73">
        <v>0.2681</v>
      </c>
      <c r="S73" t="s">
        <v>187</v>
      </c>
    </row>
    <row r="74" spans="16:19" x14ac:dyDescent="0.45">
      <c r="P74">
        <v>2037</v>
      </c>
      <c r="Q74" t="s">
        <v>190</v>
      </c>
      <c r="R74">
        <v>0.1830333333333333</v>
      </c>
      <c r="S74" t="s">
        <v>187</v>
      </c>
    </row>
    <row r="75" spans="16:19" x14ac:dyDescent="0.45">
      <c r="P75">
        <v>2038</v>
      </c>
      <c r="Q75" t="s">
        <v>186</v>
      </c>
      <c r="R75">
        <v>0.61516666666666664</v>
      </c>
      <c r="S75" t="s">
        <v>187</v>
      </c>
    </row>
    <row r="76" spans="16:19" x14ac:dyDescent="0.45">
      <c r="P76">
        <v>2038</v>
      </c>
      <c r="Q76" t="s">
        <v>188</v>
      </c>
      <c r="R76">
        <v>0.45846666666666663</v>
      </c>
      <c r="S76" t="s">
        <v>187</v>
      </c>
    </row>
    <row r="77" spans="16:19" x14ac:dyDescent="0.45">
      <c r="P77">
        <v>2038</v>
      </c>
      <c r="Q77" t="s">
        <v>189</v>
      </c>
      <c r="R77">
        <v>0.2596</v>
      </c>
      <c r="S77" t="s">
        <v>187</v>
      </c>
    </row>
    <row r="78" spans="16:19" x14ac:dyDescent="0.45">
      <c r="P78">
        <v>2038</v>
      </c>
      <c r="Q78" t="s">
        <v>190</v>
      </c>
      <c r="R78">
        <v>0.27509999999999996</v>
      </c>
      <c r="S78" t="s">
        <v>187</v>
      </c>
    </row>
    <row r="79" spans="16:19" x14ac:dyDescent="0.45">
      <c r="P79">
        <v>2039</v>
      </c>
      <c r="Q79" t="s">
        <v>186</v>
      </c>
      <c r="R79">
        <v>0.49813333333333337</v>
      </c>
      <c r="S79" t="s">
        <v>187</v>
      </c>
    </row>
    <row r="80" spans="16:19" x14ac:dyDescent="0.45">
      <c r="P80">
        <v>2039</v>
      </c>
      <c r="Q80" t="s">
        <v>188</v>
      </c>
      <c r="R80">
        <v>0.60586666666666666</v>
      </c>
      <c r="S80" t="s">
        <v>187</v>
      </c>
    </row>
    <row r="81" spans="16:19" x14ac:dyDescent="0.45">
      <c r="P81">
        <v>2039</v>
      </c>
      <c r="Q81" t="s">
        <v>189</v>
      </c>
      <c r="R81">
        <v>0.19223333333333334</v>
      </c>
      <c r="S81" t="s">
        <v>187</v>
      </c>
    </row>
    <row r="82" spans="16:19" x14ac:dyDescent="0.45">
      <c r="P82">
        <v>2039</v>
      </c>
      <c r="Q82" t="s">
        <v>190</v>
      </c>
      <c r="R82">
        <v>0.3177666666666667</v>
      </c>
      <c r="S82" t="s">
        <v>187</v>
      </c>
    </row>
    <row r="83" spans="16:19" x14ac:dyDescent="0.45">
      <c r="P83">
        <v>2040</v>
      </c>
      <c r="Q83" t="s">
        <v>186</v>
      </c>
      <c r="R83">
        <v>0.45926666666666671</v>
      </c>
      <c r="S83" t="s">
        <v>187</v>
      </c>
    </row>
    <row r="84" spans="16:19" x14ac:dyDescent="0.45">
      <c r="P84">
        <v>2040</v>
      </c>
      <c r="Q84" t="s">
        <v>188</v>
      </c>
      <c r="R84">
        <v>0.45256666666666662</v>
      </c>
      <c r="S84" t="s">
        <v>187</v>
      </c>
    </row>
    <row r="85" spans="16:19" x14ac:dyDescent="0.45">
      <c r="P85">
        <v>2040</v>
      </c>
      <c r="Q85" t="s">
        <v>189</v>
      </c>
      <c r="R85">
        <v>0.16073333333333331</v>
      </c>
      <c r="S85" t="s">
        <v>187</v>
      </c>
    </row>
    <row r="86" spans="16:19" x14ac:dyDescent="0.45">
      <c r="P86">
        <v>2040</v>
      </c>
      <c r="Q86" t="s">
        <v>190</v>
      </c>
      <c r="R86">
        <v>0.22086666666666668</v>
      </c>
      <c r="S86" t="s">
        <v>187</v>
      </c>
    </row>
    <row r="87" spans="16:19" x14ac:dyDescent="0.45">
      <c r="P87">
        <v>2041</v>
      </c>
      <c r="Q87" t="s">
        <v>186</v>
      </c>
      <c r="R87">
        <v>0.51123333333333332</v>
      </c>
      <c r="S87" t="s">
        <v>187</v>
      </c>
    </row>
    <row r="88" spans="16:19" x14ac:dyDescent="0.45">
      <c r="P88">
        <v>2041</v>
      </c>
      <c r="Q88" t="s">
        <v>188</v>
      </c>
      <c r="R88">
        <v>0.45350000000000001</v>
      </c>
      <c r="S88" t="s">
        <v>187</v>
      </c>
    </row>
    <row r="89" spans="16:19" x14ac:dyDescent="0.45">
      <c r="P89">
        <v>2041</v>
      </c>
      <c r="Q89" t="s">
        <v>189</v>
      </c>
      <c r="R89">
        <v>0.1095</v>
      </c>
      <c r="S89" t="s">
        <v>187</v>
      </c>
    </row>
    <row r="90" spans="16:19" x14ac:dyDescent="0.45">
      <c r="P90">
        <v>2041</v>
      </c>
      <c r="Q90" t="s">
        <v>190</v>
      </c>
      <c r="R90">
        <v>0.12633333333333333</v>
      </c>
      <c r="S90" t="s">
        <v>187</v>
      </c>
    </row>
    <row r="91" spans="16:19" x14ac:dyDescent="0.45">
      <c r="P91">
        <v>2042</v>
      </c>
      <c r="Q91" t="s">
        <v>186</v>
      </c>
      <c r="R91">
        <v>0.47896666666666671</v>
      </c>
      <c r="S91" t="s">
        <v>187</v>
      </c>
    </row>
    <row r="92" spans="16:19" x14ac:dyDescent="0.45">
      <c r="P92">
        <v>2042</v>
      </c>
      <c r="Q92" t="s">
        <v>188</v>
      </c>
      <c r="R92">
        <v>0.43249999999999994</v>
      </c>
      <c r="S92" t="s">
        <v>187</v>
      </c>
    </row>
    <row r="93" spans="16:19" x14ac:dyDescent="0.45">
      <c r="P93">
        <v>2042</v>
      </c>
      <c r="Q93" t="s">
        <v>189</v>
      </c>
      <c r="R93">
        <v>0.16600000000000001</v>
      </c>
      <c r="S93" t="s">
        <v>187</v>
      </c>
    </row>
    <row r="94" spans="16:19" x14ac:dyDescent="0.45">
      <c r="P94">
        <v>2042</v>
      </c>
      <c r="Q94" t="s">
        <v>190</v>
      </c>
      <c r="R94">
        <v>0.17159999999999997</v>
      </c>
      <c r="S94" t="s">
        <v>187</v>
      </c>
    </row>
    <row r="95" spans="16:19" x14ac:dyDescent="0.45">
      <c r="P95">
        <v>2043</v>
      </c>
      <c r="Q95" t="s">
        <v>186</v>
      </c>
      <c r="R95">
        <v>0.62736666666666663</v>
      </c>
      <c r="S95" t="s">
        <v>187</v>
      </c>
    </row>
    <row r="96" spans="16:19" x14ac:dyDescent="0.45">
      <c r="P96">
        <v>2043</v>
      </c>
      <c r="Q96" t="s">
        <v>188</v>
      </c>
      <c r="R96">
        <v>0.62333333333333329</v>
      </c>
      <c r="S96" t="s">
        <v>187</v>
      </c>
    </row>
    <row r="97" spans="16:19" x14ac:dyDescent="0.45">
      <c r="P97">
        <v>2043</v>
      </c>
      <c r="Q97" t="s">
        <v>189</v>
      </c>
      <c r="R97">
        <v>0.19136666666666668</v>
      </c>
      <c r="S97" t="s">
        <v>187</v>
      </c>
    </row>
    <row r="98" spans="16:19" x14ac:dyDescent="0.45">
      <c r="P98">
        <v>2043</v>
      </c>
      <c r="Q98" t="s">
        <v>190</v>
      </c>
      <c r="R98">
        <v>0.23683333333333331</v>
      </c>
      <c r="S98" t="s">
        <v>187</v>
      </c>
    </row>
    <row r="99" spans="16:19" x14ac:dyDescent="0.45">
      <c r="P99">
        <v>2044</v>
      </c>
      <c r="Q99" t="s">
        <v>186</v>
      </c>
      <c r="R99">
        <v>0.5197666666666666</v>
      </c>
      <c r="S99" t="s">
        <v>187</v>
      </c>
    </row>
    <row r="100" spans="16:19" x14ac:dyDescent="0.45">
      <c r="P100">
        <v>2044</v>
      </c>
      <c r="Q100" t="s">
        <v>188</v>
      </c>
      <c r="R100">
        <v>0.42730000000000001</v>
      </c>
      <c r="S100" t="s">
        <v>187</v>
      </c>
    </row>
    <row r="101" spans="16:19" x14ac:dyDescent="0.45">
      <c r="P101">
        <v>2044</v>
      </c>
      <c r="Q101" t="s">
        <v>189</v>
      </c>
      <c r="R101">
        <v>0.19833333333333333</v>
      </c>
      <c r="S101" t="s">
        <v>187</v>
      </c>
    </row>
    <row r="102" spans="16:19" x14ac:dyDescent="0.45">
      <c r="P102">
        <v>2044</v>
      </c>
      <c r="Q102" t="s">
        <v>190</v>
      </c>
      <c r="R102">
        <v>0.2016</v>
      </c>
      <c r="S102" t="s">
        <v>187</v>
      </c>
    </row>
    <row r="103" spans="16:19" x14ac:dyDescent="0.45">
      <c r="P103">
        <v>2045</v>
      </c>
      <c r="Q103" t="s">
        <v>186</v>
      </c>
      <c r="R103">
        <v>0.45986666666666665</v>
      </c>
      <c r="S103" t="s">
        <v>187</v>
      </c>
    </row>
    <row r="104" spans="16:19" x14ac:dyDescent="0.45">
      <c r="P104">
        <v>2045</v>
      </c>
      <c r="Q104" t="s">
        <v>188</v>
      </c>
      <c r="R104">
        <v>0.48883333333333329</v>
      </c>
      <c r="S104" t="s">
        <v>187</v>
      </c>
    </row>
    <row r="105" spans="16:19" x14ac:dyDescent="0.45">
      <c r="P105">
        <v>2045</v>
      </c>
      <c r="Q105" t="s">
        <v>189</v>
      </c>
      <c r="R105">
        <v>0.14533333333333334</v>
      </c>
      <c r="S105" t="s">
        <v>187</v>
      </c>
    </row>
    <row r="106" spans="16:19" x14ac:dyDescent="0.45">
      <c r="P106">
        <v>2045</v>
      </c>
      <c r="Q106" t="s">
        <v>190</v>
      </c>
      <c r="R106">
        <v>0.22896666666666668</v>
      </c>
      <c r="S106" t="s">
        <v>187</v>
      </c>
    </row>
    <row r="107" spans="16:19" x14ac:dyDescent="0.45">
      <c r="P107">
        <v>2046</v>
      </c>
      <c r="Q107" t="s">
        <v>186</v>
      </c>
      <c r="R107">
        <v>0.48579999999999995</v>
      </c>
      <c r="S107" t="s">
        <v>187</v>
      </c>
    </row>
    <row r="108" spans="16:19" x14ac:dyDescent="0.45">
      <c r="P108">
        <v>2046</v>
      </c>
      <c r="Q108" t="s">
        <v>188</v>
      </c>
      <c r="R108">
        <v>0.5282</v>
      </c>
      <c r="S108" t="s">
        <v>187</v>
      </c>
    </row>
    <row r="109" spans="16:19" x14ac:dyDescent="0.45">
      <c r="P109">
        <v>2046</v>
      </c>
      <c r="Q109" t="s">
        <v>189</v>
      </c>
      <c r="R109">
        <v>0.11020000000000001</v>
      </c>
      <c r="S109" t="s">
        <v>187</v>
      </c>
    </row>
    <row r="110" spans="16:19" x14ac:dyDescent="0.45">
      <c r="P110">
        <v>2046</v>
      </c>
      <c r="Q110" t="s">
        <v>190</v>
      </c>
      <c r="R110">
        <v>0.21153333333333335</v>
      </c>
      <c r="S110" t="s">
        <v>187</v>
      </c>
    </row>
    <row r="111" spans="16:19" x14ac:dyDescent="0.45">
      <c r="P111">
        <v>2047</v>
      </c>
      <c r="Q111" t="s">
        <v>186</v>
      </c>
      <c r="R111">
        <v>0.54680000000000006</v>
      </c>
      <c r="S111" t="s">
        <v>187</v>
      </c>
    </row>
    <row r="112" spans="16:19" x14ac:dyDescent="0.45">
      <c r="P112">
        <v>2047</v>
      </c>
      <c r="Q112" t="s">
        <v>188</v>
      </c>
      <c r="R112">
        <v>0.58323333333333327</v>
      </c>
      <c r="S112" t="s">
        <v>187</v>
      </c>
    </row>
    <row r="113" spans="16:19" x14ac:dyDescent="0.45">
      <c r="P113">
        <v>2047</v>
      </c>
      <c r="Q113" t="s">
        <v>189</v>
      </c>
      <c r="R113">
        <v>0.18200000000000002</v>
      </c>
      <c r="S113" t="s">
        <v>187</v>
      </c>
    </row>
    <row r="114" spans="16:19" x14ac:dyDescent="0.45">
      <c r="P114">
        <v>2047</v>
      </c>
      <c r="Q114" t="s">
        <v>190</v>
      </c>
      <c r="R114">
        <v>0.2185</v>
      </c>
      <c r="S114" t="s">
        <v>187</v>
      </c>
    </row>
    <row r="115" spans="16:19" x14ac:dyDescent="0.45">
      <c r="P115">
        <v>2048</v>
      </c>
      <c r="Q115" t="s">
        <v>186</v>
      </c>
      <c r="R115">
        <v>0.55003333333333337</v>
      </c>
      <c r="S115" t="s">
        <v>187</v>
      </c>
    </row>
    <row r="116" spans="16:19" x14ac:dyDescent="0.45">
      <c r="P116">
        <v>2048</v>
      </c>
      <c r="Q116" t="s">
        <v>188</v>
      </c>
      <c r="R116">
        <v>0.45459999999999995</v>
      </c>
      <c r="S116" t="s">
        <v>187</v>
      </c>
    </row>
    <row r="117" spans="16:19" x14ac:dyDescent="0.45">
      <c r="P117">
        <v>2048</v>
      </c>
      <c r="Q117" t="s">
        <v>189</v>
      </c>
      <c r="R117">
        <v>0.16300000000000001</v>
      </c>
      <c r="S117" t="s">
        <v>187</v>
      </c>
    </row>
    <row r="118" spans="16:19" x14ac:dyDescent="0.45">
      <c r="P118">
        <v>2048</v>
      </c>
      <c r="Q118" t="s">
        <v>190</v>
      </c>
      <c r="R118">
        <v>0.2031333333333333</v>
      </c>
      <c r="S118" t="s">
        <v>187</v>
      </c>
    </row>
    <row r="119" spans="16:19" x14ac:dyDescent="0.45">
      <c r="P119">
        <v>2049</v>
      </c>
      <c r="Q119" t="s">
        <v>186</v>
      </c>
      <c r="R119">
        <v>0.43813333333333332</v>
      </c>
      <c r="S119" t="s">
        <v>187</v>
      </c>
    </row>
    <row r="120" spans="16:19" x14ac:dyDescent="0.45">
      <c r="P120">
        <v>2049</v>
      </c>
      <c r="Q120" t="s">
        <v>188</v>
      </c>
      <c r="R120">
        <v>0.41219999999999996</v>
      </c>
      <c r="S120" t="s">
        <v>187</v>
      </c>
    </row>
    <row r="121" spans="16:19" x14ac:dyDescent="0.45">
      <c r="P121">
        <v>2049</v>
      </c>
      <c r="Q121" t="s">
        <v>189</v>
      </c>
      <c r="R121">
        <v>0.15743333333333334</v>
      </c>
      <c r="S121" t="s">
        <v>187</v>
      </c>
    </row>
    <row r="122" spans="16:19" x14ac:dyDescent="0.45">
      <c r="P122">
        <v>2049</v>
      </c>
      <c r="Q122" t="s">
        <v>190</v>
      </c>
      <c r="R122">
        <v>0.12086666666666668</v>
      </c>
      <c r="S122" t="s">
        <v>187</v>
      </c>
    </row>
    <row r="123" spans="16:19" x14ac:dyDescent="0.45">
      <c r="P123">
        <v>2050</v>
      </c>
      <c r="Q123" t="s">
        <v>186</v>
      </c>
      <c r="R123">
        <v>0.5013333333333333</v>
      </c>
      <c r="S123" t="s">
        <v>187</v>
      </c>
    </row>
    <row r="124" spans="16:19" x14ac:dyDescent="0.45">
      <c r="P124">
        <v>2050</v>
      </c>
      <c r="Q124" t="s">
        <v>188</v>
      </c>
      <c r="R124">
        <v>0.41686666666666666</v>
      </c>
      <c r="S124" t="s">
        <v>187</v>
      </c>
    </row>
    <row r="125" spans="16:19" x14ac:dyDescent="0.45">
      <c r="P125">
        <v>2050</v>
      </c>
      <c r="Q125" t="s">
        <v>189</v>
      </c>
      <c r="R125">
        <v>9.4866666666666655E-2</v>
      </c>
      <c r="S125" t="s">
        <v>187</v>
      </c>
    </row>
    <row r="126" spans="16:19" x14ac:dyDescent="0.45">
      <c r="P126">
        <v>2050</v>
      </c>
      <c r="Q126" t="s">
        <v>190</v>
      </c>
      <c r="R126">
        <v>0.17269999999999999</v>
      </c>
      <c r="S126" t="s">
        <v>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F4BC7-56A7-4D45-BFD4-EE115D160E78}">
  <dimension ref="B9:O418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region=GBR")</f>
        <v>~TFM_DINS-AT: region=GBR</v>
      </c>
      <c r="G9" t="str">
        <f>IF(A11="x","DeActivated","~TFM_DINS-AT: region=GBR")</f>
        <v>~TFM_DINS-AT: region=GBR</v>
      </c>
      <c r="L9" t="str">
        <f>IF(A11="x","DeActivated","~TFM_DINS-AT: region=GBR")</f>
        <v>~TFM_DINS-AT: region=GBR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232</v>
      </c>
      <c r="C11" t="s">
        <v>5</v>
      </c>
      <c r="D11">
        <v>0</v>
      </c>
      <c r="E11" t="s">
        <v>6</v>
      </c>
      <c r="G11" t="s">
        <v>233</v>
      </c>
      <c r="H11" t="s">
        <v>5</v>
      </c>
      <c r="I11">
        <v>9.9471765165682083E-2</v>
      </c>
      <c r="J11" t="s">
        <v>6</v>
      </c>
      <c r="L11" t="s">
        <v>234</v>
      </c>
      <c r="M11" t="s">
        <v>5</v>
      </c>
      <c r="N11">
        <v>9.4032088879370937E-2</v>
      </c>
      <c r="O11" t="s">
        <v>6</v>
      </c>
    </row>
    <row r="12" spans="2:15" x14ac:dyDescent="0.45">
      <c r="B12" t="s">
        <v>232</v>
      </c>
      <c r="C12" t="s">
        <v>9</v>
      </c>
      <c r="D12">
        <v>0.11876911387469449</v>
      </c>
      <c r="E12" t="s">
        <v>6</v>
      </c>
      <c r="G12" t="s">
        <v>233</v>
      </c>
      <c r="H12" t="s">
        <v>9</v>
      </c>
      <c r="I12">
        <v>0.12006650476905113</v>
      </c>
      <c r="J12" t="s">
        <v>6</v>
      </c>
      <c r="L12" t="s">
        <v>234</v>
      </c>
      <c r="M12" t="s">
        <v>9</v>
      </c>
      <c r="N12">
        <v>0.1163509540132746</v>
      </c>
      <c r="O12" t="s">
        <v>6</v>
      </c>
    </row>
    <row r="13" spans="2:15" x14ac:dyDescent="0.45">
      <c r="B13" t="s">
        <v>232</v>
      </c>
      <c r="C13" t="s">
        <v>10</v>
      </c>
      <c r="D13">
        <v>1.957536047664547E-4</v>
      </c>
      <c r="E13" t="s">
        <v>6</v>
      </c>
      <c r="G13" t="s">
        <v>233</v>
      </c>
      <c r="H13" t="s">
        <v>10</v>
      </c>
      <c r="I13">
        <v>7.5556130755222217E-2</v>
      </c>
      <c r="J13" t="s">
        <v>6</v>
      </c>
      <c r="L13" t="s">
        <v>234</v>
      </c>
      <c r="M13" t="s">
        <v>10</v>
      </c>
      <c r="N13">
        <v>6.9760846195677392E-2</v>
      </c>
      <c r="O13" t="s">
        <v>6</v>
      </c>
    </row>
    <row r="14" spans="2:15" x14ac:dyDescent="0.45">
      <c r="B14" t="s">
        <v>232</v>
      </c>
      <c r="C14" t="s">
        <v>11</v>
      </c>
      <c r="D14">
        <v>4.7648349908719859E-3</v>
      </c>
      <c r="E14" t="s">
        <v>6</v>
      </c>
      <c r="G14" t="s">
        <v>233</v>
      </c>
      <c r="H14" t="s">
        <v>11</v>
      </c>
      <c r="I14">
        <v>8.9353345036429291E-2</v>
      </c>
      <c r="J14" t="s">
        <v>6</v>
      </c>
      <c r="L14" t="s">
        <v>234</v>
      </c>
      <c r="M14" t="s">
        <v>11</v>
      </c>
      <c r="N14">
        <v>8.9643355376997635E-2</v>
      </c>
      <c r="O14" t="s">
        <v>6</v>
      </c>
    </row>
    <row r="15" spans="2:15" x14ac:dyDescent="0.45">
      <c r="B15" t="s">
        <v>232</v>
      </c>
      <c r="C15" t="s">
        <v>12</v>
      </c>
      <c r="D15">
        <v>0.31529686753053876</v>
      </c>
      <c r="E15" t="s">
        <v>6</v>
      </c>
      <c r="G15" t="s">
        <v>233</v>
      </c>
      <c r="H15" t="s">
        <v>12</v>
      </c>
      <c r="I15">
        <v>0.11335174004169263</v>
      </c>
      <c r="J15" t="s">
        <v>6</v>
      </c>
      <c r="L15" t="s">
        <v>234</v>
      </c>
      <c r="M15" t="s">
        <v>12</v>
      </c>
      <c r="N15">
        <v>0.1075517528046331</v>
      </c>
      <c r="O15" t="s">
        <v>6</v>
      </c>
    </row>
    <row r="16" spans="2:15" x14ac:dyDescent="0.45">
      <c r="B16" t="s">
        <v>232</v>
      </c>
      <c r="C16" t="s">
        <v>13</v>
      </c>
      <c r="D16">
        <v>1.0874135526014154E-2</v>
      </c>
      <c r="E16" t="s">
        <v>6</v>
      </c>
      <c r="G16" t="s">
        <v>233</v>
      </c>
      <c r="H16" t="s">
        <v>13</v>
      </c>
      <c r="I16">
        <v>6.837994002066225E-2</v>
      </c>
      <c r="J16" t="s">
        <v>6</v>
      </c>
      <c r="L16" t="s">
        <v>234</v>
      </c>
      <c r="M16" t="s">
        <v>13</v>
      </c>
      <c r="N16">
        <v>6.8816271276202795E-2</v>
      </c>
      <c r="O16" t="s">
        <v>6</v>
      </c>
    </row>
    <row r="17" spans="2:15" x14ac:dyDescent="0.45">
      <c r="B17" t="s">
        <v>232</v>
      </c>
      <c r="C17" t="s">
        <v>14</v>
      </c>
      <c r="D17">
        <v>8.3032107971812239E-3</v>
      </c>
      <c r="E17" t="s">
        <v>6</v>
      </c>
      <c r="G17" t="s">
        <v>233</v>
      </c>
      <c r="H17" t="s">
        <v>14</v>
      </c>
      <c r="I17">
        <v>5.4041434764491157E-2</v>
      </c>
      <c r="J17" t="s">
        <v>6</v>
      </c>
      <c r="L17" t="s">
        <v>234</v>
      </c>
      <c r="M17" t="s">
        <v>14</v>
      </c>
      <c r="N17">
        <v>6.6450862252232748E-2</v>
      </c>
      <c r="O17" t="s">
        <v>6</v>
      </c>
    </row>
    <row r="18" spans="2:15" x14ac:dyDescent="0.45">
      <c r="B18" t="s">
        <v>232</v>
      </c>
      <c r="C18" t="s">
        <v>15</v>
      </c>
      <c r="D18">
        <v>0.34788654897110177</v>
      </c>
      <c r="E18" t="s">
        <v>6</v>
      </c>
      <c r="G18" t="s">
        <v>233</v>
      </c>
      <c r="H18" t="s">
        <v>15</v>
      </c>
      <c r="I18">
        <v>6.6701163753992737E-2</v>
      </c>
      <c r="J18" t="s">
        <v>6</v>
      </c>
      <c r="L18" t="s">
        <v>234</v>
      </c>
      <c r="M18" t="s">
        <v>15</v>
      </c>
      <c r="N18">
        <v>7.9406511196116178E-2</v>
      </c>
      <c r="O18" t="s">
        <v>6</v>
      </c>
    </row>
    <row r="19" spans="2:15" x14ac:dyDescent="0.45">
      <c r="B19" t="s">
        <v>232</v>
      </c>
      <c r="C19" t="s">
        <v>16</v>
      </c>
      <c r="D19">
        <v>1.802924628059268E-2</v>
      </c>
      <c r="E19" t="s">
        <v>6</v>
      </c>
      <c r="G19" t="s">
        <v>233</v>
      </c>
      <c r="H19" t="s">
        <v>16</v>
      </c>
      <c r="I19">
        <v>4.4056768669288121E-2</v>
      </c>
      <c r="J19" t="s">
        <v>6</v>
      </c>
      <c r="L19" t="s">
        <v>234</v>
      </c>
      <c r="M19" t="s">
        <v>16</v>
      </c>
      <c r="N19">
        <v>5.2163488662040534E-2</v>
      </c>
      <c r="O19" t="s">
        <v>6</v>
      </c>
    </row>
    <row r="20" spans="2:15" x14ac:dyDescent="0.45">
      <c r="B20" t="s">
        <v>232</v>
      </c>
      <c r="C20" t="s">
        <v>17</v>
      </c>
      <c r="D20">
        <v>4.253127670898174E-4</v>
      </c>
      <c r="E20" t="s">
        <v>6</v>
      </c>
      <c r="G20" t="s">
        <v>233</v>
      </c>
      <c r="H20" t="s">
        <v>17</v>
      </c>
      <c r="I20">
        <v>8.9414049612171531E-2</v>
      </c>
      <c r="J20" t="s">
        <v>6</v>
      </c>
      <c r="L20" t="s">
        <v>234</v>
      </c>
      <c r="M20" t="s">
        <v>17</v>
      </c>
      <c r="N20">
        <v>8.3560234096527727E-2</v>
      </c>
      <c r="O20" t="s">
        <v>6</v>
      </c>
    </row>
    <row r="21" spans="2:15" x14ac:dyDescent="0.45">
      <c r="B21" t="s">
        <v>232</v>
      </c>
      <c r="C21" t="s">
        <v>18</v>
      </c>
      <c r="D21">
        <v>0.17413535743454925</v>
      </c>
      <c r="E21" t="s">
        <v>6</v>
      </c>
      <c r="G21" t="s">
        <v>233</v>
      </c>
      <c r="H21" t="s">
        <v>18</v>
      </c>
      <c r="I21">
        <v>0.11036711722304296</v>
      </c>
      <c r="J21" t="s">
        <v>6</v>
      </c>
      <c r="L21" t="s">
        <v>234</v>
      </c>
      <c r="M21" t="s">
        <v>18</v>
      </c>
      <c r="N21">
        <v>0.10621559552032854</v>
      </c>
      <c r="O21" t="s">
        <v>6</v>
      </c>
    </row>
    <row r="22" spans="2:15" x14ac:dyDescent="0.45">
      <c r="B22" t="s">
        <v>232</v>
      </c>
      <c r="C22" t="s">
        <v>19</v>
      </c>
      <c r="D22">
        <v>1.3196182225982886E-3</v>
      </c>
      <c r="E22" t="s">
        <v>6</v>
      </c>
      <c r="G22" t="s">
        <v>233</v>
      </c>
      <c r="H22" t="s">
        <v>19</v>
      </c>
      <c r="I22">
        <v>6.9240040188274121E-2</v>
      </c>
      <c r="J22" t="s">
        <v>6</v>
      </c>
      <c r="L22" t="s">
        <v>234</v>
      </c>
      <c r="M22" t="s">
        <v>19</v>
      </c>
      <c r="N22">
        <v>6.6048039726597396E-2</v>
      </c>
      <c r="O22" t="s">
        <v>6</v>
      </c>
    </row>
    <row r="23" spans="2:15" x14ac:dyDescent="0.45">
      <c r="B23" t="s">
        <v>235</v>
      </c>
      <c r="C23" t="s">
        <v>5</v>
      </c>
      <c r="D23">
        <v>0</v>
      </c>
      <c r="E23" t="s">
        <v>6</v>
      </c>
      <c r="G23" t="s">
        <v>236</v>
      </c>
      <c r="H23" t="s">
        <v>5</v>
      </c>
      <c r="I23">
        <v>0.1035919871296184</v>
      </c>
      <c r="J23" t="s">
        <v>6</v>
      </c>
      <c r="L23" t="s">
        <v>237</v>
      </c>
      <c r="M23" t="s">
        <v>5</v>
      </c>
      <c r="N23">
        <v>9.2094698563633601E-2</v>
      </c>
      <c r="O23" t="s">
        <v>6</v>
      </c>
    </row>
    <row r="24" spans="2:15" x14ac:dyDescent="0.45">
      <c r="B24" t="s">
        <v>235</v>
      </c>
      <c r="C24" t="s">
        <v>9</v>
      </c>
      <c r="D24">
        <v>0.12812417418120409</v>
      </c>
      <c r="E24" t="s">
        <v>6</v>
      </c>
      <c r="G24" t="s">
        <v>236</v>
      </c>
      <c r="H24" t="s">
        <v>9</v>
      </c>
      <c r="I24">
        <v>0.1267436512603789</v>
      </c>
      <c r="J24" t="s">
        <v>6</v>
      </c>
      <c r="L24" t="s">
        <v>237</v>
      </c>
      <c r="M24" t="s">
        <v>9</v>
      </c>
      <c r="N24">
        <v>0.1140255160930255</v>
      </c>
      <c r="O24" t="s">
        <v>6</v>
      </c>
    </row>
    <row r="25" spans="2:15" x14ac:dyDescent="0.45">
      <c r="B25" t="s">
        <v>235</v>
      </c>
      <c r="C25" t="s">
        <v>10</v>
      </c>
      <c r="D25">
        <v>1.1728794096713511E-4</v>
      </c>
      <c r="E25" t="s">
        <v>6</v>
      </c>
      <c r="G25" t="s">
        <v>236</v>
      </c>
      <c r="H25" t="s">
        <v>10</v>
      </c>
      <c r="I25">
        <v>7.8884379104137606E-2</v>
      </c>
      <c r="J25" t="s">
        <v>6</v>
      </c>
      <c r="L25" t="s">
        <v>237</v>
      </c>
      <c r="M25" t="s">
        <v>10</v>
      </c>
      <c r="N25">
        <v>7.1426298744950392E-2</v>
      </c>
      <c r="O25" t="s">
        <v>6</v>
      </c>
    </row>
    <row r="26" spans="2:15" x14ac:dyDescent="0.45">
      <c r="B26" t="s">
        <v>235</v>
      </c>
      <c r="C26" t="s">
        <v>11</v>
      </c>
      <c r="D26">
        <v>4.5012246165599982E-3</v>
      </c>
      <c r="E26" t="s">
        <v>6</v>
      </c>
      <c r="G26" t="s">
        <v>236</v>
      </c>
      <c r="H26" t="s">
        <v>11</v>
      </c>
      <c r="I26">
        <v>8.7827453190477342E-2</v>
      </c>
      <c r="J26" t="s">
        <v>6</v>
      </c>
      <c r="L26" t="s">
        <v>237</v>
      </c>
      <c r="M26" t="s">
        <v>11</v>
      </c>
      <c r="N26">
        <v>8.7445858150386135E-2</v>
      </c>
      <c r="O26" t="s">
        <v>6</v>
      </c>
    </row>
    <row r="27" spans="2:15" x14ac:dyDescent="0.45">
      <c r="B27" t="s">
        <v>235</v>
      </c>
      <c r="C27" t="s">
        <v>12</v>
      </c>
      <c r="D27">
        <v>0.29623954229053229</v>
      </c>
      <c r="E27" t="s">
        <v>6</v>
      </c>
      <c r="G27" t="s">
        <v>236</v>
      </c>
      <c r="H27" t="s">
        <v>12</v>
      </c>
      <c r="I27">
        <v>0.11663648666585852</v>
      </c>
      <c r="J27" t="s">
        <v>6</v>
      </c>
      <c r="L27" t="s">
        <v>237</v>
      </c>
      <c r="M27" t="s">
        <v>12</v>
      </c>
      <c r="N27">
        <v>9.7829301512225186E-2</v>
      </c>
      <c r="O27" t="s">
        <v>6</v>
      </c>
    </row>
    <row r="28" spans="2:15" x14ac:dyDescent="0.45">
      <c r="B28" t="s">
        <v>235</v>
      </c>
      <c r="C28" t="s">
        <v>13</v>
      </c>
      <c r="D28">
        <v>9.542138213872696E-3</v>
      </c>
      <c r="E28" t="s">
        <v>6</v>
      </c>
      <c r="G28" t="s">
        <v>236</v>
      </c>
      <c r="H28" t="s">
        <v>13</v>
      </c>
      <c r="I28">
        <v>6.4932148131506745E-2</v>
      </c>
      <c r="J28" t="s">
        <v>6</v>
      </c>
      <c r="L28" t="s">
        <v>237</v>
      </c>
      <c r="M28" t="s">
        <v>13</v>
      </c>
      <c r="N28">
        <v>6.5882133046509611E-2</v>
      </c>
      <c r="O28" t="s">
        <v>6</v>
      </c>
    </row>
    <row r="29" spans="2:15" x14ac:dyDescent="0.45">
      <c r="B29" t="s">
        <v>235</v>
      </c>
      <c r="C29" t="s">
        <v>14</v>
      </c>
      <c r="D29">
        <v>7.4021323292132457E-3</v>
      </c>
      <c r="E29" t="s">
        <v>6</v>
      </c>
      <c r="G29" t="s">
        <v>236</v>
      </c>
      <c r="H29" t="s">
        <v>14</v>
      </c>
      <c r="I29">
        <v>5.4757890143547483E-2</v>
      </c>
      <c r="J29" t="s">
        <v>6</v>
      </c>
      <c r="L29" t="s">
        <v>237</v>
      </c>
      <c r="M29" t="s">
        <v>14</v>
      </c>
      <c r="N29">
        <v>6.9479369698684471E-2</v>
      </c>
      <c r="O29" t="s">
        <v>6</v>
      </c>
    </row>
    <row r="30" spans="2:15" x14ac:dyDescent="0.45">
      <c r="B30" t="s">
        <v>235</v>
      </c>
      <c r="C30" t="s">
        <v>15</v>
      </c>
      <c r="D30">
        <v>0.34834221222453032</v>
      </c>
      <c r="E30" t="s">
        <v>6</v>
      </c>
      <c r="G30" t="s">
        <v>236</v>
      </c>
      <c r="H30" t="s">
        <v>15</v>
      </c>
      <c r="I30">
        <v>7.0059861183862621E-2</v>
      </c>
      <c r="J30" t="s">
        <v>6</v>
      </c>
      <c r="L30" t="s">
        <v>237</v>
      </c>
      <c r="M30" t="s">
        <v>15</v>
      </c>
      <c r="N30">
        <v>8.3715997668000267E-2</v>
      </c>
      <c r="O30" t="s">
        <v>6</v>
      </c>
    </row>
    <row r="31" spans="2:15" x14ac:dyDescent="0.45">
      <c r="B31" t="s">
        <v>235</v>
      </c>
      <c r="C31" t="s">
        <v>16</v>
      </c>
      <c r="D31">
        <v>1.6756057272301797E-2</v>
      </c>
      <c r="E31" t="s">
        <v>6</v>
      </c>
      <c r="G31" t="s">
        <v>236</v>
      </c>
      <c r="H31" t="s">
        <v>16</v>
      </c>
      <c r="I31">
        <v>4.4575534644629107E-2</v>
      </c>
      <c r="J31" t="s">
        <v>6</v>
      </c>
      <c r="L31" t="s">
        <v>237</v>
      </c>
      <c r="M31" t="s">
        <v>16</v>
      </c>
      <c r="N31">
        <v>6.027062595080062E-2</v>
      </c>
      <c r="O31" t="s">
        <v>6</v>
      </c>
    </row>
    <row r="32" spans="2:15" x14ac:dyDescent="0.45">
      <c r="B32" t="s">
        <v>235</v>
      </c>
      <c r="C32" t="s">
        <v>17</v>
      </c>
      <c r="D32">
        <v>4.2921592275849645E-4</v>
      </c>
      <c r="E32" t="s">
        <v>6</v>
      </c>
      <c r="G32" t="s">
        <v>236</v>
      </c>
      <c r="H32" t="s">
        <v>17</v>
      </c>
      <c r="I32">
        <v>8.0891543687854631E-2</v>
      </c>
      <c r="J32" t="s">
        <v>6</v>
      </c>
      <c r="L32" t="s">
        <v>237</v>
      </c>
      <c r="M32" t="s">
        <v>17</v>
      </c>
      <c r="N32">
        <v>8.2598189078466958E-2</v>
      </c>
      <c r="O32" t="s">
        <v>6</v>
      </c>
    </row>
    <row r="33" spans="2:15" x14ac:dyDescent="0.45">
      <c r="B33" t="s">
        <v>235</v>
      </c>
      <c r="C33" t="s">
        <v>18</v>
      </c>
      <c r="D33">
        <v>0.18704719034969994</v>
      </c>
      <c r="E33" t="s">
        <v>6</v>
      </c>
      <c r="G33" t="s">
        <v>236</v>
      </c>
      <c r="H33" t="s">
        <v>18</v>
      </c>
      <c r="I33">
        <v>0.10875057862426363</v>
      </c>
      <c r="J33" t="s">
        <v>6</v>
      </c>
      <c r="L33" t="s">
        <v>237</v>
      </c>
      <c r="M33" t="s">
        <v>18</v>
      </c>
      <c r="N33">
        <v>0.10765318317333274</v>
      </c>
      <c r="O33" t="s">
        <v>6</v>
      </c>
    </row>
    <row r="34" spans="2:15" x14ac:dyDescent="0.45">
      <c r="B34" t="s">
        <v>235</v>
      </c>
      <c r="C34" t="s">
        <v>19</v>
      </c>
      <c r="D34">
        <v>1.4988246583609172E-3</v>
      </c>
      <c r="E34" t="s">
        <v>6</v>
      </c>
      <c r="G34" t="s">
        <v>236</v>
      </c>
      <c r="H34" t="s">
        <v>19</v>
      </c>
      <c r="I34">
        <v>6.2348486233866032E-2</v>
      </c>
      <c r="J34" t="s">
        <v>6</v>
      </c>
      <c r="L34" t="s">
        <v>237</v>
      </c>
      <c r="M34" t="s">
        <v>19</v>
      </c>
      <c r="N34">
        <v>6.7578828319984477E-2</v>
      </c>
      <c r="O34" t="s">
        <v>6</v>
      </c>
    </row>
    <row r="35" spans="2:15" x14ac:dyDescent="0.45">
      <c r="B35" t="s">
        <v>238</v>
      </c>
      <c r="C35" t="s">
        <v>5</v>
      </c>
      <c r="D35">
        <v>0</v>
      </c>
      <c r="E35" t="s">
        <v>6</v>
      </c>
      <c r="G35" t="s">
        <v>239</v>
      </c>
      <c r="H35" t="s">
        <v>5</v>
      </c>
      <c r="I35">
        <v>0.10240744122356767</v>
      </c>
      <c r="J35" t="s">
        <v>6</v>
      </c>
      <c r="L35" t="s">
        <v>240</v>
      </c>
      <c r="M35" t="s">
        <v>5</v>
      </c>
      <c r="N35">
        <v>9.577327077592139E-2</v>
      </c>
      <c r="O35" t="s">
        <v>6</v>
      </c>
    </row>
    <row r="36" spans="2:15" x14ac:dyDescent="0.45">
      <c r="B36" t="s">
        <v>238</v>
      </c>
      <c r="C36" t="s">
        <v>9</v>
      </c>
      <c r="D36">
        <v>0.12428450419078876</v>
      </c>
      <c r="E36" t="s">
        <v>6</v>
      </c>
      <c r="G36" t="s">
        <v>239</v>
      </c>
      <c r="H36" t="s">
        <v>9</v>
      </c>
      <c r="I36">
        <v>0.12327962741229208</v>
      </c>
      <c r="J36" t="s">
        <v>6</v>
      </c>
      <c r="L36" t="s">
        <v>240</v>
      </c>
      <c r="M36" t="s">
        <v>9</v>
      </c>
      <c r="N36">
        <v>0.1159474502928733</v>
      </c>
      <c r="O36" t="s">
        <v>6</v>
      </c>
    </row>
    <row r="37" spans="2:15" x14ac:dyDescent="0.45">
      <c r="B37" t="s">
        <v>238</v>
      </c>
      <c r="C37" t="s">
        <v>10</v>
      </c>
      <c r="D37">
        <v>1.5540002812303557E-4</v>
      </c>
      <c r="E37" t="s">
        <v>6</v>
      </c>
      <c r="G37" t="s">
        <v>239</v>
      </c>
      <c r="H37" t="s">
        <v>10</v>
      </c>
      <c r="I37">
        <v>7.8998707708494001E-2</v>
      </c>
      <c r="J37" t="s">
        <v>6</v>
      </c>
      <c r="L37" t="s">
        <v>240</v>
      </c>
      <c r="M37" t="s">
        <v>10</v>
      </c>
      <c r="N37">
        <v>7.3107018537085275E-2</v>
      </c>
      <c r="O37" t="s">
        <v>6</v>
      </c>
    </row>
    <row r="38" spans="2:15" x14ac:dyDescent="0.45">
      <c r="B38" t="s">
        <v>238</v>
      </c>
      <c r="C38" t="s">
        <v>11</v>
      </c>
      <c r="D38">
        <v>4.7824201712856392E-3</v>
      </c>
      <c r="E38" t="s">
        <v>6</v>
      </c>
      <c r="G38" t="s">
        <v>239</v>
      </c>
      <c r="H38" t="s">
        <v>11</v>
      </c>
      <c r="I38">
        <v>8.395539555627872E-2</v>
      </c>
      <c r="J38" t="s">
        <v>6</v>
      </c>
      <c r="L38" t="s">
        <v>240</v>
      </c>
      <c r="M38" t="s">
        <v>11</v>
      </c>
      <c r="N38">
        <v>8.6134347289872029E-2</v>
      </c>
      <c r="O38" t="s">
        <v>6</v>
      </c>
    </row>
    <row r="39" spans="2:15" x14ac:dyDescent="0.45">
      <c r="B39" t="s">
        <v>238</v>
      </c>
      <c r="C39" t="s">
        <v>12</v>
      </c>
      <c r="D39">
        <v>0.30929329149362955</v>
      </c>
      <c r="E39" t="s">
        <v>6</v>
      </c>
      <c r="G39" t="s">
        <v>239</v>
      </c>
      <c r="H39" t="s">
        <v>12</v>
      </c>
      <c r="I39">
        <v>0.11608227446700228</v>
      </c>
      <c r="J39" t="s">
        <v>6</v>
      </c>
      <c r="L39" t="s">
        <v>240</v>
      </c>
      <c r="M39" t="s">
        <v>12</v>
      </c>
      <c r="N39">
        <v>0.10812728605880804</v>
      </c>
      <c r="O39" t="s">
        <v>6</v>
      </c>
    </row>
    <row r="40" spans="2:15" x14ac:dyDescent="0.45">
      <c r="B40" t="s">
        <v>238</v>
      </c>
      <c r="C40" t="s">
        <v>13</v>
      </c>
      <c r="D40">
        <v>1.0216502449829506E-2</v>
      </c>
      <c r="E40" t="s">
        <v>6</v>
      </c>
      <c r="G40" t="s">
        <v>239</v>
      </c>
      <c r="H40" t="s">
        <v>13</v>
      </c>
      <c r="I40">
        <v>6.4558317046661498E-2</v>
      </c>
      <c r="J40" t="s">
        <v>6</v>
      </c>
      <c r="L40" t="s">
        <v>240</v>
      </c>
      <c r="M40" t="s">
        <v>13</v>
      </c>
      <c r="N40">
        <v>6.6961524175822768E-2</v>
      </c>
      <c r="O40" t="s">
        <v>6</v>
      </c>
    </row>
    <row r="41" spans="2:15" x14ac:dyDescent="0.45">
      <c r="B41" t="s">
        <v>238</v>
      </c>
      <c r="C41" t="s">
        <v>14</v>
      </c>
      <c r="D41">
        <v>8.1325317594131905E-3</v>
      </c>
      <c r="E41" t="s">
        <v>6</v>
      </c>
      <c r="G41" t="s">
        <v>239</v>
      </c>
      <c r="H41" t="s">
        <v>14</v>
      </c>
      <c r="I41">
        <v>4.979976976508646E-2</v>
      </c>
      <c r="J41" t="s">
        <v>6</v>
      </c>
      <c r="L41" t="s">
        <v>240</v>
      </c>
      <c r="M41" t="s">
        <v>14</v>
      </c>
      <c r="N41">
        <v>6.3106398419163809E-2</v>
      </c>
      <c r="O41" t="s">
        <v>6</v>
      </c>
    </row>
    <row r="42" spans="2:15" x14ac:dyDescent="0.45">
      <c r="B42" t="s">
        <v>238</v>
      </c>
      <c r="C42" t="s">
        <v>15</v>
      </c>
      <c r="D42">
        <v>0.34283085990141127</v>
      </c>
      <c r="E42" t="s">
        <v>6</v>
      </c>
      <c r="G42" t="s">
        <v>239</v>
      </c>
      <c r="H42" t="s">
        <v>15</v>
      </c>
      <c r="I42">
        <v>6.7723167936300802E-2</v>
      </c>
      <c r="J42" t="s">
        <v>6</v>
      </c>
      <c r="L42" t="s">
        <v>240</v>
      </c>
      <c r="M42" t="s">
        <v>15</v>
      </c>
      <c r="N42">
        <v>7.5641185019722529E-2</v>
      </c>
      <c r="O42" t="s">
        <v>6</v>
      </c>
    </row>
    <row r="43" spans="2:15" x14ac:dyDescent="0.45">
      <c r="B43" t="s">
        <v>238</v>
      </c>
      <c r="C43" t="s">
        <v>16</v>
      </c>
      <c r="D43">
        <v>1.7276147436504703E-2</v>
      </c>
      <c r="E43" t="s">
        <v>6</v>
      </c>
      <c r="G43" t="s">
        <v>239</v>
      </c>
      <c r="H43" t="s">
        <v>16</v>
      </c>
      <c r="I43">
        <v>4.0503827467519606E-2</v>
      </c>
      <c r="J43" t="s">
        <v>6</v>
      </c>
      <c r="L43" t="s">
        <v>240</v>
      </c>
      <c r="M43" t="s">
        <v>16</v>
      </c>
      <c r="N43">
        <v>5.1023427591027549E-2</v>
      </c>
      <c r="O43" t="s">
        <v>6</v>
      </c>
    </row>
    <row r="44" spans="2:15" x14ac:dyDescent="0.45">
      <c r="B44" t="s">
        <v>238</v>
      </c>
      <c r="C44" t="s">
        <v>17</v>
      </c>
      <c r="D44">
        <v>4.3467487274298603E-4</v>
      </c>
      <c r="E44" t="s">
        <v>6</v>
      </c>
      <c r="G44" t="s">
        <v>239</v>
      </c>
      <c r="H44" t="s">
        <v>17</v>
      </c>
      <c r="I44">
        <v>9.0744973759727593E-2</v>
      </c>
      <c r="J44" t="s">
        <v>6</v>
      </c>
      <c r="L44" t="s">
        <v>240</v>
      </c>
      <c r="M44" t="s">
        <v>17</v>
      </c>
      <c r="N44">
        <v>8.6890422196605296E-2</v>
      </c>
      <c r="O44" t="s">
        <v>6</v>
      </c>
    </row>
    <row r="45" spans="2:15" x14ac:dyDescent="0.45">
      <c r="B45" t="s">
        <v>238</v>
      </c>
      <c r="C45" t="s">
        <v>18</v>
      </c>
      <c r="D45">
        <v>0.18119099404203498</v>
      </c>
      <c r="E45" t="s">
        <v>6</v>
      </c>
      <c r="G45" t="s">
        <v>239</v>
      </c>
      <c r="H45" t="s">
        <v>18</v>
      </c>
      <c r="I45">
        <v>0.11163496328135848</v>
      </c>
      <c r="J45" t="s">
        <v>6</v>
      </c>
      <c r="L45" t="s">
        <v>240</v>
      </c>
      <c r="M45" t="s">
        <v>18</v>
      </c>
      <c r="N45">
        <v>0.10836105707758668</v>
      </c>
      <c r="O45" t="s">
        <v>6</v>
      </c>
    </row>
    <row r="46" spans="2:15" x14ac:dyDescent="0.45">
      <c r="B46" t="s">
        <v>238</v>
      </c>
      <c r="C46" t="s">
        <v>19</v>
      </c>
      <c r="D46">
        <v>1.4026736542359654E-3</v>
      </c>
      <c r="E46" t="s">
        <v>6</v>
      </c>
      <c r="G46" t="s">
        <v>239</v>
      </c>
      <c r="H46" t="s">
        <v>19</v>
      </c>
      <c r="I46">
        <v>7.031153437570993E-2</v>
      </c>
      <c r="J46" t="s">
        <v>6</v>
      </c>
      <c r="L46" t="s">
        <v>240</v>
      </c>
      <c r="M46" t="s">
        <v>19</v>
      </c>
      <c r="N46">
        <v>6.8926612565510192E-2</v>
      </c>
      <c r="O46" t="s">
        <v>6</v>
      </c>
    </row>
    <row r="47" spans="2:15" x14ac:dyDescent="0.45">
      <c r="B47" t="s">
        <v>241</v>
      </c>
      <c r="C47" t="s">
        <v>5</v>
      </c>
      <c r="D47">
        <v>0</v>
      </c>
      <c r="E47" t="s">
        <v>6</v>
      </c>
      <c r="G47" t="s">
        <v>242</v>
      </c>
      <c r="H47" t="s">
        <v>5</v>
      </c>
      <c r="I47">
        <v>0.10189791532300974</v>
      </c>
      <c r="J47" t="s">
        <v>6</v>
      </c>
      <c r="L47" t="s">
        <v>243</v>
      </c>
      <c r="M47" t="s">
        <v>5</v>
      </c>
      <c r="N47">
        <v>9.5455938056625542E-2</v>
      </c>
      <c r="O47" t="s">
        <v>6</v>
      </c>
    </row>
    <row r="48" spans="2:15" x14ac:dyDescent="0.45">
      <c r="B48" t="s">
        <v>241</v>
      </c>
      <c r="C48" t="s">
        <v>9</v>
      </c>
      <c r="D48">
        <v>0.12867722139971838</v>
      </c>
      <c r="E48" t="s">
        <v>6</v>
      </c>
      <c r="G48" t="s">
        <v>242</v>
      </c>
      <c r="H48" t="s">
        <v>9</v>
      </c>
      <c r="I48">
        <v>0.12334861967925365</v>
      </c>
      <c r="J48" t="s">
        <v>6</v>
      </c>
      <c r="L48" t="s">
        <v>243</v>
      </c>
      <c r="M48" t="s">
        <v>9</v>
      </c>
      <c r="N48">
        <v>0.11944819569963164</v>
      </c>
      <c r="O48" t="s">
        <v>6</v>
      </c>
    </row>
    <row r="49" spans="2:15" x14ac:dyDescent="0.45">
      <c r="B49" t="s">
        <v>241</v>
      </c>
      <c r="C49" t="s">
        <v>10</v>
      </c>
      <c r="D49">
        <v>1.6231236090971883E-6</v>
      </c>
      <c r="E49" t="s">
        <v>6</v>
      </c>
      <c r="G49" t="s">
        <v>242</v>
      </c>
      <c r="H49" t="s">
        <v>10</v>
      </c>
      <c r="I49">
        <v>7.9169664744579968E-2</v>
      </c>
      <c r="J49" t="s">
        <v>6</v>
      </c>
      <c r="L49" t="s">
        <v>243</v>
      </c>
      <c r="M49" t="s">
        <v>10</v>
      </c>
      <c r="N49">
        <v>7.1334907953435153E-2</v>
      </c>
      <c r="O49" t="s">
        <v>6</v>
      </c>
    </row>
    <row r="50" spans="2:15" x14ac:dyDescent="0.45">
      <c r="B50" t="s">
        <v>241</v>
      </c>
      <c r="C50" t="s">
        <v>11</v>
      </c>
      <c r="D50">
        <v>6.6970777322500645E-3</v>
      </c>
      <c r="E50" t="s">
        <v>6</v>
      </c>
      <c r="G50" t="s">
        <v>242</v>
      </c>
      <c r="H50" t="s">
        <v>11</v>
      </c>
      <c r="I50">
        <v>8.4404543183741201E-2</v>
      </c>
      <c r="J50" t="s">
        <v>6</v>
      </c>
      <c r="L50" t="s">
        <v>243</v>
      </c>
      <c r="M50" t="s">
        <v>11</v>
      </c>
      <c r="N50">
        <v>9.350852917168373E-2</v>
      </c>
      <c r="O50" t="s">
        <v>6</v>
      </c>
    </row>
    <row r="51" spans="2:15" x14ac:dyDescent="0.45">
      <c r="B51" t="s">
        <v>241</v>
      </c>
      <c r="C51" t="s">
        <v>12</v>
      </c>
      <c r="D51">
        <v>0.30106631244883691</v>
      </c>
      <c r="E51" t="s">
        <v>6</v>
      </c>
      <c r="G51" t="s">
        <v>242</v>
      </c>
      <c r="H51" t="s">
        <v>12</v>
      </c>
      <c r="I51">
        <v>0.1196954520036906</v>
      </c>
      <c r="J51" t="s">
        <v>6</v>
      </c>
      <c r="L51" t="s">
        <v>243</v>
      </c>
      <c r="M51" t="s">
        <v>12</v>
      </c>
      <c r="N51">
        <v>0.1140470167903585</v>
      </c>
      <c r="O51" t="s">
        <v>6</v>
      </c>
    </row>
    <row r="52" spans="2:15" x14ac:dyDescent="0.45">
      <c r="B52" t="s">
        <v>241</v>
      </c>
      <c r="C52" t="s">
        <v>13</v>
      </c>
      <c r="D52">
        <v>8.1677850547978402E-3</v>
      </c>
      <c r="E52" t="s">
        <v>6</v>
      </c>
      <c r="G52" t="s">
        <v>242</v>
      </c>
      <c r="H52" t="s">
        <v>13</v>
      </c>
      <c r="I52">
        <v>6.7585410363656354E-2</v>
      </c>
      <c r="J52" t="s">
        <v>6</v>
      </c>
      <c r="L52" t="s">
        <v>243</v>
      </c>
      <c r="M52" t="s">
        <v>13</v>
      </c>
      <c r="N52">
        <v>7.1174178270169169E-2</v>
      </c>
      <c r="O52" t="s">
        <v>6</v>
      </c>
    </row>
    <row r="53" spans="2:15" x14ac:dyDescent="0.45">
      <c r="B53" t="s">
        <v>241</v>
      </c>
      <c r="C53" t="s">
        <v>14</v>
      </c>
      <c r="D53">
        <v>1.127949807979838E-2</v>
      </c>
      <c r="E53" t="s">
        <v>6</v>
      </c>
      <c r="G53" t="s">
        <v>242</v>
      </c>
      <c r="H53" t="s">
        <v>14</v>
      </c>
      <c r="I53">
        <v>5.035733017763868E-2</v>
      </c>
      <c r="J53" t="s">
        <v>6</v>
      </c>
      <c r="L53" t="s">
        <v>243</v>
      </c>
      <c r="M53" t="s">
        <v>14</v>
      </c>
      <c r="N53">
        <v>6.5746078931455301E-2</v>
      </c>
      <c r="O53" t="s">
        <v>6</v>
      </c>
    </row>
    <row r="54" spans="2:15" x14ac:dyDescent="0.45">
      <c r="B54" t="s">
        <v>241</v>
      </c>
      <c r="C54" t="s">
        <v>15</v>
      </c>
      <c r="D54">
        <v>0.34029696983797081</v>
      </c>
      <c r="E54" t="s">
        <v>6</v>
      </c>
      <c r="G54" t="s">
        <v>242</v>
      </c>
      <c r="H54" t="s">
        <v>15</v>
      </c>
      <c r="I54">
        <v>6.809265183381967E-2</v>
      </c>
      <c r="J54" t="s">
        <v>6</v>
      </c>
      <c r="L54" t="s">
        <v>243</v>
      </c>
      <c r="M54" t="s">
        <v>15</v>
      </c>
      <c r="N54">
        <v>8.0580269954727252E-2</v>
      </c>
      <c r="O54" t="s">
        <v>6</v>
      </c>
    </row>
    <row r="55" spans="2:15" x14ac:dyDescent="0.45">
      <c r="B55" t="s">
        <v>241</v>
      </c>
      <c r="C55" t="s">
        <v>16</v>
      </c>
      <c r="D55">
        <v>1.5242308179805014E-2</v>
      </c>
      <c r="E55" t="s">
        <v>6</v>
      </c>
      <c r="G55" t="s">
        <v>242</v>
      </c>
      <c r="H55" t="s">
        <v>16</v>
      </c>
      <c r="I55">
        <v>4.0530767359198035E-2</v>
      </c>
      <c r="J55" t="s">
        <v>6</v>
      </c>
      <c r="L55" t="s">
        <v>243</v>
      </c>
      <c r="M55" t="s">
        <v>16</v>
      </c>
      <c r="N55">
        <v>5.1261983432982459E-2</v>
      </c>
      <c r="O55" t="s">
        <v>6</v>
      </c>
    </row>
    <row r="56" spans="2:15" x14ac:dyDescent="0.45">
      <c r="B56" t="s">
        <v>241</v>
      </c>
      <c r="C56" t="s">
        <v>17</v>
      </c>
      <c r="D56">
        <v>9.7212363270723489E-4</v>
      </c>
      <c r="E56" t="s">
        <v>6</v>
      </c>
      <c r="G56" t="s">
        <v>242</v>
      </c>
      <c r="H56" t="s">
        <v>17</v>
      </c>
      <c r="I56">
        <v>8.7343302152643271E-2</v>
      </c>
      <c r="J56" t="s">
        <v>6</v>
      </c>
      <c r="L56" t="s">
        <v>243</v>
      </c>
      <c r="M56" t="s">
        <v>17</v>
      </c>
      <c r="N56">
        <v>7.8316710961620933E-2</v>
      </c>
      <c r="O56" t="s">
        <v>6</v>
      </c>
    </row>
    <row r="57" spans="2:15" x14ac:dyDescent="0.45">
      <c r="B57" t="s">
        <v>241</v>
      </c>
      <c r="C57" t="s">
        <v>18</v>
      </c>
      <c r="D57">
        <v>0.18666445867305836</v>
      </c>
      <c r="E57" t="s">
        <v>6</v>
      </c>
      <c r="G57" t="s">
        <v>242</v>
      </c>
      <c r="H57" t="s">
        <v>18</v>
      </c>
      <c r="I57">
        <v>0.10951587651122645</v>
      </c>
      <c r="J57" t="s">
        <v>6</v>
      </c>
      <c r="L57" t="s">
        <v>243</v>
      </c>
      <c r="M57" t="s">
        <v>18</v>
      </c>
      <c r="N57">
        <v>9.7719900134732959E-2</v>
      </c>
      <c r="O57" t="s">
        <v>6</v>
      </c>
    </row>
    <row r="58" spans="2:15" x14ac:dyDescent="0.45">
      <c r="B58" t="s">
        <v>241</v>
      </c>
      <c r="C58" t="s">
        <v>19</v>
      </c>
      <c r="D58">
        <v>9.3462183744723348E-4</v>
      </c>
      <c r="E58" t="s">
        <v>6</v>
      </c>
      <c r="G58" t="s">
        <v>242</v>
      </c>
      <c r="H58" t="s">
        <v>19</v>
      </c>
      <c r="I58">
        <v>6.8058466667539633E-2</v>
      </c>
      <c r="J58" t="s">
        <v>6</v>
      </c>
      <c r="L58" t="s">
        <v>243</v>
      </c>
      <c r="M58" t="s">
        <v>19</v>
      </c>
      <c r="N58">
        <v>6.1406290642577271E-2</v>
      </c>
      <c r="O58" t="s">
        <v>6</v>
      </c>
    </row>
    <row r="59" spans="2:15" x14ac:dyDescent="0.45">
      <c r="B59" t="s">
        <v>244</v>
      </c>
      <c r="C59" t="s">
        <v>5</v>
      </c>
      <c r="D59">
        <v>0</v>
      </c>
      <c r="E59" t="s">
        <v>6</v>
      </c>
      <c r="G59" t="s">
        <v>245</v>
      </c>
      <c r="H59" t="s">
        <v>5</v>
      </c>
      <c r="I59">
        <v>0.1044990198162397</v>
      </c>
      <c r="J59" t="s">
        <v>6</v>
      </c>
      <c r="L59" t="s">
        <v>246</v>
      </c>
      <c r="M59" t="s">
        <v>5</v>
      </c>
      <c r="N59">
        <v>9.6359548466579875E-2</v>
      </c>
      <c r="O59" t="s">
        <v>6</v>
      </c>
    </row>
    <row r="60" spans="2:15" x14ac:dyDescent="0.45">
      <c r="B60" t="s">
        <v>244</v>
      </c>
      <c r="C60" t="s">
        <v>9</v>
      </c>
      <c r="D60">
        <v>0.12586422451194951</v>
      </c>
      <c r="E60" t="s">
        <v>6</v>
      </c>
      <c r="G60" t="s">
        <v>245</v>
      </c>
      <c r="H60" t="s">
        <v>9</v>
      </c>
      <c r="I60">
        <v>0.13082508643069837</v>
      </c>
      <c r="J60" t="s">
        <v>6</v>
      </c>
      <c r="L60" t="s">
        <v>246</v>
      </c>
      <c r="M60" t="s">
        <v>9</v>
      </c>
      <c r="N60">
        <v>0.12313383593800697</v>
      </c>
      <c r="O60" t="s">
        <v>6</v>
      </c>
    </row>
    <row r="61" spans="2:15" x14ac:dyDescent="0.45">
      <c r="B61" t="s">
        <v>244</v>
      </c>
      <c r="C61" t="s">
        <v>10</v>
      </c>
      <c r="D61">
        <v>0</v>
      </c>
      <c r="E61" t="s">
        <v>6</v>
      </c>
      <c r="G61" t="s">
        <v>245</v>
      </c>
      <c r="H61" t="s">
        <v>10</v>
      </c>
      <c r="I61">
        <v>8.0832951362399527E-2</v>
      </c>
      <c r="J61" t="s">
        <v>6</v>
      </c>
      <c r="L61" t="s">
        <v>246</v>
      </c>
      <c r="M61" t="s">
        <v>10</v>
      </c>
      <c r="N61">
        <v>7.3767907996990512E-2</v>
      </c>
      <c r="O61" t="s">
        <v>6</v>
      </c>
    </row>
    <row r="62" spans="2:15" x14ac:dyDescent="0.45">
      <c r="B62" t="s">
        <v>244</v>
      </c>
      <c r="C62" t="s">
        <v>11</v>
      </c>
      <c r="D62">
        <v>7.4464535866550496E-3</v>
      </c>
      <c r="E62" t="s">
        <v>6</v>
      </c>
      <c r="G62" t="s">
        <v>245</v>
      </c>
      <c r="H62" t="s">
        <v>11</v>
      </c>
      <c r="I62">
        <v>8.4283803652781097E-2</v>
      </c>
      <c r="J62" t="s">
        <v>6</v>
      </c>
      <c r="L62" t="s">
        <v>246</v>
      </c>
      <c r="M62" t="s">
        <v>11</v>
      </c>
      <c r="N62">
        <v>9.7214184493227204E-2</v>
      </c>
      <c r="O62" t="s">
        <v>6</v>
      </c>
    </row>
    <row r="63" spans="2:15" x14ac:dyDescent="0.45">
      <c r="B63" t="s">
        <v>244</v>
      </c>
      <c r="C63" t="s">
        <v>12</v>
      </c>
      <c r="D63">
        <v>0.30749923653280437</v>
      </c>
      <c r="E63" t="s">
        <v>6</v>
      </c>
      <c r="G63" t="s">
        <v>245</v>
      </c>
      <c r="H63" t="s">
        <v>12</v>
      </c>
      <c r="I63">
        <v>0.12403370834150745</v>
      </c>
      <c r="J63" t="s">
        <v>6</v>
      </c>
      <c r="L63" t="s">
        <v>246</v>
      </c>
      <c r="M63" t="s">
        <v>12</v>
      </c>
      <c r="N63">
        <v>0.11601344000937898</v>
      </c>
      <c r="O63" t="s">
        <v>6</v>
      </c>
    </row>
    <row r="64" spans="2:15" x14ac:dyDescent="0.45">
      <c r="B64" t="s">
        <v>244</v>
      </c>
      <c r="C64" t="s">
        <v>13</v>
      </c>
      <c r="D64">
        <v>6.3734099948284202E-3</v>
      </c>
      <c r="E64" t="s">
        <v>6</v>
      </c>
      <c r="G64" t="s">
        <v>245</v>
      </c>
      <c r="H64" t="s">
        <v>13</v>
      </c>
      <c r="I64">
        <v>6.6701262512688139E-2</v>
      </c>
      <c r="J64" t="s">
        <v>6</v>
      </c>
      <c r="L64" t="s">
        <v>246</v>
      </c>
      <c r="M64" t="s">
        <v>13</v>
      </c>
      <c r="N64">
        <v>7.1490272744663963E-2</v>
      </c>
      <c r="O64" t="s">
        <v>6</v>
      </c>
    </row>
    <row r="65" spans="2:15" x14ac:dyDescent="0.45">
      <c r="B65" t="s">
        <v>244</v>
      </c>
      <c r="C65" t="s">
        <v>14</v>
      </c>
      <c r="D65">
        <v>1.1708216514494234E-2</v>
      </c>
      <c r="E65" t="s">
        <v>6</v>
      </c>
      <c r="G65" t="s">
        <v>245</v>
      </c>
      <c r="H65" t="s">
        <v>14</v>
      </c>
      <c r="I65">
        <v>4.7415114373056302E-2</v>
      </c>
      <c r="J65" t="s">
        <v>6</v>
      </c>
      <c r="L65" t="s">
        <v>246</v>
      </c>
      <c r="M65" t="s">
        <v>14</v>
      </c>
      <c r="N65">
        <v>6.4174473220961606E-2</v>
      </c>
      <c r="O65" t="s">
        <v>6</v>
      </c>
    </row>
    <row r="66" spans="2:15" x14ac:dyDescent="0.45">
      <c r="B66" t="s">
        <v>244</v>
      </c>
      <c r="C66" t="s">
        <v>15</v>
      </c>
      <c r="D66">
        <v>0.33695130714255983</v>
      </c>
      <c r="E66" t="s">
        <v>6</v>
      </c>
      <c r="G66" t="s">
        <v>245</v>
      </c>
      <c r="H66" t="s">
        <v>15</v>
      </c>
      <c r="I66">
        <v>7.024652950626098E-2</v>
      </c>
      <c r="J66" t="s">
        <v>6</v>
      </c>
      <c r="L66" t="s">
        <v>246</v>
      </c>
      <c r="M66" t="s">
        <v>15</v>
      </c>
      <c r="N66">
        <v>7.5862466219242031E-2</v>
      </c>
      <c r="O66" t="s">
        <v>6</v>
      </c>
    </row>
    <row r="67" spans="2:15" x14ac:dyDescent="0.45">
      <c r="B67" t="s">
        <v>244</v>
      </c>
      <c r="C67" t="s">
        <v>16</v>
      </c>
      <c r="D67">
        <v>1.2290446997050168E-2</v>
      </c>
      <c r="E67" t="s">
        <v>6</v>
      </c>
      <c r="G67" t="s">
        <v>245</v>
      </c>
      <c r="H67" t="s">
        <v>16</v>
      </c>
      <c r="I67">
        <v>4.1915920071405322E-2</v>
      </c>
      <c r="J67" t="s">
        <v>6</v>
      </c>
      <c r="L67" t="s">
        <v>246</v>
      </c>
      <c r="M67" t="s">
        <v>16</v>
      </c>
      <c r="N67">
        <v>4.8406386585356315E-2</v>
      </c>
      <c r="O67" t="s">
        <v>6</v>
      </c>
    </row>
    <row r="68" spans="2:15" x14ac:dyDescent="0.45">
      <c r="B68" t="s">
        <v>244</v>
      </c>
      <c r="C68" t="s">
        <v>17</v>
      </c>
      <c r="D68">
        <v>1.371857808633946E-3</v>
      </c>
      <c r="E68" t="s">
        <v>6</v>
      </c>
      <c r="G68" t="s">
        <v>245</v>
      </c>
      <c r="H68" t="s">
        <v>17</v>
      </c>
      <c r="I68">
        <v>7.7569914329580103E-2</v>
      </c>
      <c r="J68" t="s">
        <v>6</v>
      </c>
      <c r="L68" t="s">
        <v>246</v>
      </c>
      <c r="M68" t="s">
        <v>17</v>
      </c>
      <c r="N68">
        <v>7.6865591875188252E-2</v>
      </c>
      <c r="O68" t="s">
        <v>6</v>
      </c>
    </row>
    <row r="69" spans="2:15" x14ac:dyDescent="0.45">
      <c r="B69" t="s">
        <v>244</v>
      </c>
      <c r="C69" t="s">
        <v>18</v>
      </c>
      <c r="D69">
        <v>0.1898776568928727</v>
      </c>
      <c r="E69" t="s">
        <v>6</v>
      </c>
      <c r="G69" t="s">
        <v>245</v>
      </c>
      <c r="H69" t="s">
        <v>18</v>
      </c>
      <c r="I69">
        <v>0.1091265047979252</v>
      </c>
      <c r="J69" t="s">
        <v>6</v>
      </c>
      <c r="L69" t="s">
        <v>246</v>
      </c>
      <c r="M69" t="s">
        <v>18</v>
      </c>
      <c r="N69">
        <v>9.8527002797962837E-2</v>
      </c>
      <c r="O69" t="s">
        <v>6</v>
      </c>
    </row>
    <row r="70" spans="2:15" x14ac:dyDescent="0.45">
      <c r="B70" t="s">
        <v>244</v>
      </c>
      <c r="C70" t="s">
        <v>19</v>
      </c>
      <c r="D70">
        <v>6.1719001815035816E-4</v>
      </c>
      <c r="E70" t="s">
        <v>6</v>
      </c>
      <c r="G70" t="s">
        <v>245</v>
      </c>
      <c r="H70" t="s">
        <v>19</v>
      </c>
      <c r="I70">
        <v>6.2550184805460318E-2</v>
      </c>
      <c r="J70" t="s">
        <v>6</v>
      </c>
      <c r="L70" t="s">
        <v>246</v>
      </c>
      <c r="M70" t="s">
        <v>19</v>
      </c>
      <c r="N70">
        <v>5.8184889652442097E-2</v>
      </c>
      <c r="O70" t="s">
        <v>6</v>
      </c>
    </row>
    <row r="71" spans="2:15" x14ac:dyDescent="0.45">
      <c r="B71" t="s">
        <v>247</v>
      </c>
      <c r="C71" t="s">
        <v>5</v>
      </c>
      <c r="D71">
        <v>0</v>
      </c>
      <c r="E71" t="s">
        <v>6</v>
      </c>
      <c r="G71" t="s">
        <v>248</v>
      </c>
      <c r="H71" t="s">
        <v>5</v>
      </c>
      <c r="I71">
        <v>9.9829090517380467E-2</v>
      </c>
      <c r="J71" t="s">
        <v>6</v>
      </c>
      <c r="L71" t="s">
        <v>249</v>
      </c>
      <c r="M71" t="s">
        <v>5</v>
      </c>
      <c r="N71">
        <v>9.8523460176375588E-2</v>
      </c>
      <c r="O71" t="s">
        <v>6</v>
      </c>
    </row>
    <row r="72" spans="2:15" x14ac:dyDescent="0.45">
      <c r="B72" t="s">
        <v>247</v>
      </c>
      <c r="C72" t="s">
        <v>9</v>
      </c>
      <c r="D72">
        <v>0.12488737019056163</v>
      </c>
      <c r="E72" t="s">
        <v>6</v>
      </c>
      <c r="G72" t="s">
        <v>248</v>
      </c>
      <c r="H72" t="s">
        <v>9</v>
      </c>
      <c r="I72">
        <v>0.12117239695079399</v>
      </c>
      <c r="J72" t="s">
        <v>6</v>
      </c>
      <c r="L72" t="s">
        <v>249</v>
      </c>
      <c r="M72" t="s">
        <v>9</v>
      </c>
      <c r="N72">
        <v>0.1202250179595953</v>
      </c>
      <c r="O72" t="s">
        <v>6</v>
      </c>
    </row>
    <row r="73" spans="2:15" x14ac:dyDescent="0.45">
      <c r="B73" t="s">
        <v>247</v>
      </c>
      <c r="C73" t="s">
        <v>10</v>
      </c>
      <c r="D73">
        <v>2.2274035793142672E-8</v>
      </c>
      <c r="E73" t="s">
        <v>6</v>
      </c>
      <c r="G73" t="s">
        <v>248</v>
      </c>
      <c r="H73" t="s">
        <v>10</v>
      </c>
      <c r="I73">
        <v>7.5310228733033363E-2</v>
      </c>
      <c r="J73" t="s">
        <v>6</v>
      </c>
      <c r="L73" t="s">
        <v>249</v>
      </c>
      <c r="M73" t="s">
        <v>10</v>
      </c>
      <c r="N73">
        <v>7.3705667021448582E-2</v>
      </c>
      <c r="O73" t="s">
        <v>6</v>
      </c>
    </row>
    <row r="74" spans="2:15" x14ac:dyDescent="0.45">
      <c r="B74" t="s">
        <v>247</v>
      </c>
      <c r="C74" t="s">
        <v>11</v>
      </c>
      <c r="D74">
        <v>6.8869781150528867E-3</v>
      </c>
      <c r="E74" t="s">
        <v>6</v>
      </c>
      <c r="G74" t="s">
        <v>248</v>
      </c>
      <c r="H74" t="s">
        <v>11</v>
      </c>
      <c r="I74">
        <v>8.8264060707550426E-2</v>
      </c>
      <c r="J74" t="s">
        <v>6</v>
      </c>
      <c r="L74" t="s">
        <v>249</v>
      </c>
      <c r="M74" t="s">
        <v>11</v>
      </c>
      <c r="N74">
        <v>9.1742367438526054E-2</v>
      </c>
      <c r="O74" t="s">
        <v>6</v>
      </c>
    </row>
    <row r="75" spans="2:15" x14ac:dyDescent="0.45">
      <c r="B75" t="s">
        <v>247</v>
      </c>
      <c r="C75" t="s">
        <v>12</v>
      </c>
      <c r="D75">
        <v>0.29399139405010555</v>
      </c>
      <c r="E75" t="s">
        <v>6</v>
      </c>
      <c r="G75" t="s">
        <v>248</v>
      </c>
      <c r="H75" t="s">
        <v>12</v>
      </c>
      <c r="I75">
        <v>0.11829396494683669</v>
      </c>
      <c r="J75" t="s">
        <v>6</v>
      </c>
      <c r="L75" t="s">
        <v>249</v>
      </c>
      <c r="M75" t="s">
        <v>12</v>
      </c>
      <c r="N75">
        <v>0.11556468842485063</v>
      </c>
      <c r="O75" t="s">
        <v>6</v>
      </c>
    </row>
    <row r="76" spans="2:15" x14ac:dyDescent="0.45">
      <c r="B76" t="s">
        <v>247</v>
      </c>
      <c r="C76" t="s">
        <v>13</v>
      </c>
      <c r="D76">
        <v>6.7313301212346324E-3</v>
      </c>
      <c r="E76" t="s">
        <v>6</v>
      </c>
      <c r="G76" t="s">
        <v>248</v>
      </c>
      <c r="H76" t="s">
        <v>13</v>
      </c>
      <c r="I76">
        <v>6.8728547645030127E-2</v>
      </c>
      <c r="J76" t="s">
        <v>6</v>
      </c>
      <c r="L76" t="s">
        <v>249</v>
      </c>
      <c r="M76" t="s">
        <v>13</v>
      </c>
      <c r="N76">
        <v>6.7493128340797182E-2</v>
      </c>
      <c r="O76" t="s">
        <v>6</v>
      </c>
    </row>
    <row r="77" spans="2:15" x14ac:dyDescent="0.45">
      <c r="B77" t="s">
        <v>247</v>
      </c>
      <c r="C77" t="s">
        <v>14</v>
      </c>
      <c r="D77">
        <v>1.1302126060353235E-2</v>
      </c>
      <c r="E77" t="s">
        <v>6</v>
      </c>
      <c r="G77" t="s">
        <v>248</v>
      </c>
      <c r="H77" t="s">
        <v>14</v>
      </c>
      <c r="I77">
        <v>5.9171680781475645E-2</v>
      </c>
      <c r="J77" t="s">
        <v>6</v>
      </c>
      <c r="L77" t="s">
        <v>249</v>
      </c>
      <c r="M77" t="s">
        <v>14</v>
      </c>
      <c r="N77">
        <v>6.1544627367984148E-2</v>
      </c>
      <c r="O77" t="s">
        <v>6</v>
      </c>
    </row>
    <row r="78" spans="2:15" x14ac:dyDescent="0.45">
      <c r="B78" t="s">
        <v>247</v>
      </c>
      <c r="C78" t="s">
        <v>15</v>
      </c>
      <c r="D78">
        <v>0.35105364185754329</v>
      </c>
      <c r="E78" t="s">
        <v>6</v>
      </c>
      <c r="G78" t="s">
        <v>248</v>
      </c>
      <c r="H78" t="s">
        <v>15</v>
      </c>
      <c r="I78">
        <v>7.3607479872152215E-2</v>
      </c>
      <c r="J78" t="s">
        <v>6</v>
      </c>
      <c r="L78" t="s">
        <v>249</v>
      </c>
      <c r="M78" t="s">
        <v>15</v>
      </c>
      <c r="N78">
        <v>7.3884155504307117E-2</v>
      </c>
      <c r="O78" t="s">
        <v>6</v>
      </c>
    </row>
    <row r="79" spans="2:15" x14ac:dyDescent="0.45">
      <c r="B79" t="s">
        <v>247</v>
      </c>
      <c r="C79" t="s">
        <v>16</v>
      </c>
      <c r="D79">
        <v>1.333398081530498E-2</v>
      </c>
      <c r="E79" t="s">
        <v>6</v>
      </c>
      <c r="G79" t="s">
        <v>248</v>
      </c>
      <c r="H79" t="s">
        <v>16</v>
      </c>
      <c r="I79">
        <v>4.6871185198272859E-2</v>
      </c>
      <c r="J79" t="s">
        <v>6</v>
      </c>
      <c r="L79" t="s">
        <v>249</v>
      </c>
      <c r="M79" t="s">
        <v>16</v>
      </c>
      <c r="N79">
        <v>4.9317659805147095E-2</v>
      </c>
      <c r="O79" t="s">
        <v>6</v>
      </c>
    </row>
    <row r="80" spans="2:15" x14ac:dyDescent="0.45">
      <c r="B80" t="s">
        <v>247</v>
      </c>
      <c r="C80" t="s">
        <v>17</v>
      </c>
      <c r="D80">
        <v>1.3518026915599309E-3</v>
      </c>
      <c r="E80" t="s">
        <v>6</v>
      </c>
      <c r="G80" t="s">
        <v>248</v>
      </c>
      <c r="H80" t="s">
        <v>17</v>
      </c>
      <c r="I80">
        <v>7.9496018993429673E-2</v>
      </c>
      <c r="J80" t="s">
        <v>6</v>
      </c>
      <c r="L80" t="s">
        <v>249</v>
      </c>
      <c r="M80" t="s">
        <v>17</v>
      </c>
      <c r="N80">
        <v>8.0391846586145801E-2</v>
      </c>
      <c r="O80" t="s">
        <v>6</v>
      </c>
    </row>
    <row r="81" spans="2:15" x14ac:dyDescent="0.45">
      <c r="B81" t="s">
        <v>247</v>
      </c>
      <c r="C81" t="s">
        <v>18</v>
      </c>
      <c r="D81">
        <v>0.18968188519227863</v>
      </c>
      <c r="E81" t="s">
        <v>6</v>
      </c>
      <c r="G81" t="s">
        <v>248</v>
      </c>
      <c r="H81" t="s">
        <v>18</v>
      </c>
      <c r="I81">
        <v>0.10650723464890569</v>
      </c>
      <c r="J81" t="s">
        <v>6</v>
      </c>
      <c r="L81" t="s">
        <v>249</v>
      </c>
      <c r="M81" t="s">
        <v>18</v>
      </c>
      <c r="N81">
        <v>0.10452288531670115</v>
      </c>
      <c r="O81" t="s">
        <v>6</v>
      </c>
    </row>
    <row r="82" spans="2:15" x14ac:dyDescent="0.45">
      <c r="B82" t="s">
        <v>247</v>
      </c>
      <c r="C82" t="s">
        <v>19</v>
      </c>
      <c r="D82">
        <v>7.7946863196783512E-4</v>
      </c>
      <c r="E82" t="s">
        <v>6</v>
      </c>
      <c r="G82" t="s">
        <v>248</v>
      </c>
      <c r="H82" t="s">
        <v>19</v>
      </c>
      <c r="I82">
        <v>6.2748111005138371E-2</v>
      </c>
      <c r="J82" t="s">
        <v>6</v>
      </c>
      <c r="L82" t="s">
        <v>249</v>
      </c>
      <c r="M82" t="s">
        <v>19</v>
      </c>
      <c r="N82">
        <v>6.3084496058120873E-2</v>
      </c>
      <c r="O82" t="s">
        <v>6</v>
      </c>
    </row>
    <row r="83" spans="2:15" x14ac:dyDescent="0.45">
      <c r="B83" t="s">
        <v>250</v>
      </c>
      <c r="C83" t="s">
        <v>5</v>
      </c>
      <c r="D83">
        <v>0</v>
      </c>
      <c r="E83" t="s">
        <v>6</v>
      </c>
      <c r="G83" t="s">
        <v>251</v>
      </c>
      <c r="H83" t="s">
        <v>5</v>
      </c>
      <c r="I83">
        <v>0.10029859663763316</v>
      </c>
      <c r="J83" t="s">
        <v>6</v>
      </c>
      <c r="L83" t="s">
        <v>252</v>
      </c>
      <c r="M83" t="s">
        <v>5</v>
      </c>
      <c r="N83">
        <v>0.10107508566095338</v>
      </c>
      <c r="O83" t="s">
        <v>6</v>
      </c>
    </row>
    <row r="84" spans="2:15" x14ac:dyDescent="0.45">
      <c r="B84" t="s">
        <v>250</v>
      </c>
      <c r="C84" t="s">
        <v>9</v>
      </c>
      <c r="D84">
        <v>0.1296318483839318</v>
      </c>
      <c r="E84" t="s">
        <v>6</v>
      </c>
      <c r="G84" t="s">
        <v>251</v>
      </c>
      <c r="H84" t="s">
        <v>9</v>
      </c>
      <c r="I84">
        <v>0.12045730538589938</v>
      </c>
      <c r="J84" t="s">
        <v>6</v>
      </c>
      <c r="L84" t="s">
        <v>252</v>
      </c>
      <c r="M84" t="s">
        <v>9</v>
      </c>
      <c r="N84">
        <v>0.1227546651504049</v>
      </c>
      <c r="O84" t="s">
        <v>6</v>
      </c>
    </row>
    <row r="85" spans="2:15" x14ac:dyDescent="0.45">
      <c r="B85" t="s">
        <v>250</v>
      </c>
      <c r="C85" t="s">
        <v>10</v>
      </c>
      <c r="D85">
        <v>4.0188333232792125E-5</v>
      </c>
      <c r="E85" t="s">
        <v>6</v>
      </c>
      <c r="G85" t="s">
        <v>251</v>
      </c>
      <c r="H85" t="s">
        <v>10</v>
      </c>
      <c r="I85">
        <v>7.5909613689720171E-2</v>
      </c>
      <c r="J85" t="s">
        <v>6</v>
      </c>
      <c r="L85" t="s">
        <v>252</v>
      </c>
      <c r="M85" t="s">
        <v>10</v>
      </c>
      <c r="N85">
        <v>7.7340704811321201E-2</v>
      </c>
      <c r="O85" t="s">
        <v>6</v>
      </c>
    </row>
    <row r="86" spans="2:15" x14ac:dyDescent="0.45">
      <c r="B86" t="s">
        <v>250</v>
      </c>
      <c r="C86" t="s">
        <v>11</v>
      </c>
      <c r="D86">
        <v>5.7935816387777693E-3</v>
      </c>
      <c r="E86" t="s">
        <v>6</v>
      </c>
      <c r="G86" t="s">
        <v>251</v>
      </c>
      <c r="H86" t="s">
        <v>11</v>
      </c>
      <c r="I86">
        <v>8.6916584590053109E-2</v>
      </c>
      <c r="J86" t="s">
        <v>6</v>
      </c>
      <c r="L86" t="s">
        <v>252</v>
      </c>
      <c r="M86" t="s">
        <v>11</v>
      </c>
      <c r="N86">
        <v>9.0700166509878527E-2</v>
      </c>
      <c r="O86" t="s">
        <v>6</v>
      </c>
    </row>
    <row r="87" spans="2:15" x14ac:dyDescent="0.45">
      <c r="B87" t="s">
        <v>250</v>
      </c>
      <c r="C87" t="s">
        <v>12</v>
      </c>
      <c r="D87">
        <v>0.2884324290367008</v>
      </c>
      <c r="E87" t="s">
        <v>6</v>
      </c>
      <c r="G87" t="s">
        <v>251</v>
      </c>
      <c r="H87" t="s">
        <v>12</v>
      </c>
      <c r="I87">
        <v>0.1145153463083818</v>
      </c>
      <c r="J87" t="s">
        <v>6</v>
      </c>
      <c r="L87" t="s">
        <v>252</v>
      </c>
      <c r="M87" t="s">
        <v>12</v>
      </c>
      <c r="N87">
        <v>0.10956413193392174</v>
      </c>
      <c r="O87" t="s">
        <v>6</v>
      </c>
    </row>
    <row r="88" spans="2:15" x14ac:dyDescent="0.45">
      <c r="B88" t="s">
        <v>250</v>
      </c>
      <c r="C88" t="s">
        <v>13</v>
      </c>
      <c r="D88">
        <v>8.0771842249534268E-3</v>
      </c>
      <c r="E88" t="s">
        <v>6</v>
      </c>
      <c r="G88" t="s">
        <v>251</v>
      </c>
      <c r="H88" t="s">
        <v>13</v>
      </c>
      <c r="I88">
        <v>6.8345781069752309E-2</v>
      </c>
      <c r="J88" t="s">
        <v>6</v>
      </c>
      <c r="L88" t="s">
        <v>252</v>
      </c>
      <c r="M88" t="s">
        <v>13</v>
      </c>
      <c r="N88">
        <v>6.5689196153445664E-2</v>
      </c>
      <c r="O88" t="s">
        <v>6</v>
      </c>
    </row>
    <row r="89" spans="2:15" x14ac:dyDescent="0.45">
      <c r="B89" t="s">
        <v>250</v>
      </c>
      <c r="C89" t="s">
        <v>14</v>
      </c>
      <c r="D89">
        <v>9.3887594221890337E-3</v>
      </c>
      <c r="E89" t="s">
        <v>6</v>
      </c>
      <c r="G89" t="s">
        <v>251</v>
      </c>
      <c r="H89" t="s">
        <v>14</v>
      </c>
      <c r="I89">
        <v>5.8834102448587493E-2</v>
      </c>
      <c r="J89" t="s">
        <v>6</v>
      </c>
      <c r="L89" t="s">
        <v>252</v>
      </c>
      <c r="M89" t="s">
        <v>14</v>
      </c>
      <c r="N89">
        <v>5.4990985846285659E-2</v>
      </c>
      <c r="O89" t="s">
        <v>6</v>
      </c>
    </row>
    <row r="90" spans="2:15" x14ac:dyDescent="0.45">
      <c r="B90" t="s">
        <v>250</v>
      </c>
      <c r="C90" t="s">
        <v>15</v>
      </c>
      <c r="D90">
        <v>0.35250875885663174</v>
      </c>
      <c r="E90" t="s">
        <v>6</v>
      </c>
      <c r="G90" t="s">
        <v>251</v>
      </c>
      <c r="H90" t="s">
        <v>15</v>
      </c>
      <c r="I90">
        <v>7.5935263994383342E-2</v>
      </c>
      <c r="J90" t="s">
        <v>6</v>
      </c>
      <c r="L90" t="s">
        <v>252</v>
      </c>
      <c r="M90" t="s">
        <v>15</v>
      </c>
      <c r="N90">
        <v>7.1123681796069385E-2</v>
      </c>
      <c r="O90" t="s">
        <v>6</v>
      </c>
    </row>
    <row r="91" spans="2:15" x14ac:dyDescent="0.45">
      <c r="B91" t="s">
        <v>250</v>
      </c>
      <c r="C91" t="s">
        <v>16</v>
      </c>
      <c r="D91">
        <v>1.5378982559795217E-2</v>
      </c>
      <c r="E91" t="s">
        <v>6</v>
      </c>
      <c r="G91" t="s">
        <v>251</v>
      </c>
      <c r="H91" t="s">
        <v>16</v>
      </c>
      <c r="I91">
        <v>4.9367424648366881E-2</v>
      </c>
      <c r="J91" t="s">
        <v>6</v>
      </c>
      <c r="L91" t="s">
        <v>252</v>
      </c>
      <c r="M91" t="s">
        <v>16</v>
      </c>
      <c r="N91">
        <v>5.0233633685667946E-2</v>
      </c>
      <c r="O91" t="s">
        <v>6</v>
      </c>
    </row>
    <row r="92" spans="2:15" x14ac:dyDescent="0.45">
      <c r="B92" t="s">
        <v>250</v>
      </c>
      <c r="C92" t="s">
        <v>17</v>
      </c>
      <c r="D92">
        <v>7.0960932957590394E-4</v>
      </c>
      <c r="E92" t="s">
        <v>6</v>
      </c>
      <c r="G92" t="s">
        <v>251</v>
      </c>
      <c r="H92" t="s">
        <v>17</v>
      </c>
      <c r="I92">
        <v>8.0409856832539692E-2</v>
      </c>
      <c r="J92" t="s">
        <v>6</v>
      </c>
      <c r="L92" t="s">
        <v>252</v>
      </c>
      <c r="M92" t="s">
        <v>17</v>
      </c>
      <c r="N92">
        <v>8.4437879707222593E-2</v>
      </c>
      <c r="O92" t="s">
        <v>6</v>
      </c>
    </row>
    <row r="93" spans="2:15" x14ac:dyDescent="0.45">
      <c r="B93" t="s">
        <v>250</v>
      </c>
      <c r="C93" t="s">
        <v>18</v>
      </c>
      <c r="D93">
        <v>0.18878140690674045</v>
      </c>
      <c r="E93" t="s">
        <v>6</v>
      </c>
      <c r="G93" t="s">
        <v>251</v>
      </c>
      <c r="H93" t="s">
        <v>18</v>
      </c>
      <c r="I93">
        <v>0.10484243202394317</v>
      </c>
      <c r="J93" t="s">
        <v>6</v>
      </c>
      <c r="L93" t="s">
        <v>252</v>
      </c>
      <c r="M93" t="s">
        <v>18</v>
      </c>
      <c r="N93">
        <v>0.10768185728315306</v>
      </c>
      <c r="O93" t="s">
        <v>6</v>
      </c>
    </row>
    <row r="94" spans="2:15" x14ac:dyDescent="0.45">
      <c r="B94" t="s">
        <v>250</v>
      </c>
      <c r="C94" t="s">
        <v>19</v>
      </c>
      <c r="D94">
        <v>1.2572513074722087E-3</v>
      </c>
      <c r="E94" t="s">
        <v>6</v>
      </c>
      <c r="G94" t="s">
        <v>251</v>
      </c>
      <c r="H94" t="s">
        <v>19</v>
      </c>
      <c r="I94">
        <v>6.416769237073526E-2</v>
      </c>
      <c r="J94" t="s">
        <v>6</v>
      </c>
      <c r="L94" t="s">
        <v>252</v>
      </c>
      <c r="M94" t="s">
        <v>19</v>
      </c>
      <c r="N94">
        <v>6.4408011461677503E-2</v>
      </c>
      <c r="O94" t="s">
        <v>6</v>
      </c>
    </row>
    <row r="95" spans="2:15" x14ac:dyDescent="0.45">
      <c r="B95" t="s">
        <v>253</v>
      </c>
      <c r="C95" t="s">
        <v>5</v>
      </c>
      <c r="D95">
        <v>0</v>
      </c>
      <c r="E95" t="s">
        <v>6</v>
      </c>
      <c r="G95" t="s">
        <v>254</v>
      </c>
      <c r="H95" t="s">
        <v>5</v>
      </c>
      <c r="I95">
        <v>9.5652220578623173E-2</v>
      </c>
      <c r="J95" t="s">
        <v>6</v>
      </c>
      <c r="L95" t="s">
        <v>255</v>
      </c>
      <c r="M95" t="s">
        <v>5</v>
      </c>
      <c r="N95">
        <v>9.6358475650306155E-2</v>
      </c>
      <c r="O95" t="s">
        <v>6</v>
      </c>
    </row>
    <row r="96" spans="2:15" x14ac:dyDescent="0.45">
      <c r="B96" t="s">
        <v>253</v>
      </c>
      <c r="C96" t="s">
        <v>9</v>
      </c>
      <c r="D96">
        <v>0.12925012884523704</v>
      </c>
      <c r="E96" t="s">
        <v>6</v>
      </c>
      <c r="G96" t="s">
        <v>254</v>
      </c>
      <c r="H96" t="s">
        <v>9</v>
      </c>
      <c r="I96">
        <v>0.1151086923842763</v>
      </c>
      <c r="J96" t="s">
        <v>6</v>
      </c>
      <c r="L96" t="s">
        <v>255</v>
      </c>
      <c r="M96" t="s">
        <v>9</v>
      </c>
      <c r="N96">
        <v>0.12099721844146523</v>
      </c>
      <c r="O96" t="s">
        <v>6</v>
      </c>
    </row>
    <row r="97" spans="2:15" x14ac:dyDescent="0.45">
      <c r="B97" t="s">
        <v>253</v>
      </c>
      <c r="C97" t="s">
        <v>10</v>
      </c>
      <c r="D97">
        <v>1.095253817791659E-4</v>
      </c>
      <c r="E97" t="s">
        <v>6</v>
      </c>
      <c r="G97" t="s">
        <v>254</v>
      </c>
      <c r="H97" t="s">
        <v>10</v>
      </c>
      <c r="I97">
        <v>7.2950467405005007E-2</v>
      </c>
      <c r="J97" t="s">
        <v>6</v>
      </c>
      <c r="L97" t="s">
        <v>255</v>
      </c>
      <c r="M97" t="s">
        <v>10</v>
      </c>
      <c r="N97">
        <v>7.3780252389137491E-2</v>
      </c>
      <c r="O97" t="s">
        <v>6</v>
      </c>
    </row>
    <row r="98" spans="2:15" x14ac:dyDescent="0.45">
      <c r="B98" t="s">
        <v>253</v>
      </c>
      <c r="C98" t="s">
        <v>11</v>
      </c>
      <c r="D98">
        <v>6.2286332960664543E-3</v>
      </c>
      <c r="E98" t="s">
        <v>6</v>
      </c>
      <c r="G98" t="s">
        <v>254</v>
      </c>
      <c r="H98" t="s">
        <v>11</v>
      </c>
      <c r="I98">
        <v>8.6426500202908471E-2</v>
      </c>
      <c r="J98" t="s">
        <v>6</v>
      </c>
      <c r="L98" t="s">
        <v>255</v>
      </c>
      <c r="M98" t="s">
        <v>11</v>
      </c>
      <c r="N98">
        <v>9.4728328538233528E-2</v>
      </c>
      <c r="O98" t="s">
        <v>6</v>
      </c>
    </row>
    <row r="99" spans="2:15" x14ac:dyDescent="0.45">
      <c r="B99" t="s">
        <v>253</v>
      </c>
      <c r="C99" t="s">
        <v>12</v>
      </c>
      <c r="D99">
        <v>0.30236520171587056</v>
      </c>
      <c r="E99" t="s">
        <v>6</v>
      </c>
      <c r="G99" t="s">
        <v>254</v>
      </c>
      <c r="H99" t="s">
        <v>12</v>
      </c>
      <c r="I99">
        <v>0.10333585933603352</v>
      </c>
      <c r="J99" t="s">
        <v>6</v>
      </c>
      <c r="L99" t="s">
        <v>255</v>
      </c>
      <c r="M99" t="s">
        <v>12</v>
      </c>
      <c r="N99">
        <v>0.11269835558937445</v>
      </c>
      <c r="O99" t="s">
        <v>6</v>
      </c>
    </row>
    <row r="100" spans="2:15" x14ac:dyDescent="0.45">
      <c r="B100" t="s">
        <v>253</v>
      </c>
      <c r="C100" t="s">
        <v>13</v>
      </c>
      <c r="D100">
        <v>9.115474056909597E-3</v>
      </c>
      <c r="E100" t="s">
        <v>6</v>
      </c>
      <c r="G100" t="s">
        <v>254</v>
      </c>
      <c r="H100" t="s">
        <v>13</v>
      </c>
      <c r="I100">
        <v>6.5958003887748279E-2</v>
      </c>
      <c r="J100" t="s">
        <v>6</v>
      </c>
      <c r="L100" t="s">
        <v>255</v>
      </c>
      <c r="M100" t="s">
        <v>13</v>
      </c>
      <c r="N100">
        <v>6.6732060294535586E-2</v>
      </c>
      <c r="O100" t="s">
        <v>6</v>
      </c>
    </row>
    <row r="101" spans="2:15" x14ac:dyDescent="0.45">
      <c r="B101" t="s">
        <v>253</v>
      </c>
      <c r="C101" t="s">
        <v>14</v>
      </c>
      <c r="D101">
        <v>1.0184058425708572E-2</v>
      </c>
      <c r="E101" t="s">
        <v>6</v>
      </c>
      <c r="G101" t="s">
        <v>254</v>
      </c>
      <c r="H101" t="s">
        <v>14</v>
      </c>
      <c r="I101">
        <v>6.671290867044366E-2</v>
      </c>
      <c r="J101" t="s">
        <v>6</v>
      </c>
      <c r="L101" t="s">
        <v>255</v>
      </c>
      <c r="M101" t="s">
        <v>14</v>
      </c>
      <c r="N101">
        <v>6.1574250865240848E-2</v>
      </c>
      <c r="O101" t="s">
        <v>6</v>
      </c>
    </row>
    <row r="102" spans="2:15" x14ac:dyDescent="0.45">
      <c r="B102" t="s">
        <v>253</v>
      </c>
      <c r="C102" t="s">
        <v>15</v>
      </c>
      <c r="D102">
        <v>0.3393986954981118</v>
      </c>
      <c r="E102" t="s">
        <v>6</v>
      </c>
      <c r="G102" t="s">
        <v>254</v>
      </c>
      <c r="H102" t="s">
        <v>15</v>
      </c>
      <c r="I102">
        <v>8.1744466726427198E-2</v>
      </c>
      <c r="J102" t="s">
        <v>6</v>
      </c>
      <c r="L102" t="s">
        <v>255</v>
      </c>
      <c r="M102" t="s">
        <v>15</v>
      </c>
      <c r="N102">
        <v>7.6190637213019566E-2</v>
      </c>
      <c r="O102" t="s">
        <v>6</v>
      </c>
    </row>
    <row r="103" spans="2:15" x14ac:dyDescent="0.45">
      <c r="B103" t="s">
        <v>253</v>
      </c>
      <c r="C103" t="s">
        <v>16</v>
      </c>
      <c r="D103">
        <v>1.6340226893611465E-2</v>
      </c>
      <c r="E103" t="s">
        <v>6</v>
      </c>
      <c r="G103" t="s">
        <v>254</v>
      </c>
      <c r="H103" t="s">
        <v>16</v>
      </c>
      <c r="I103">
        <v>5.4851249727181049E-2</v>
      </c>
      <c r="J103" t="s">
        <v>6</v>
      </c>
      <c r="L103" t="s">
        <v>255</v>
      </c>
      <c r="M103" t="s">
        <v>16</v>
      </c>
      <c r="N103">
        <v>5.2182484218422226E-2</v>
      </c>
      <c r="O103" t="s">
        <v>6</v>
      </c>
    </row>
    <row r="104" spans="2:15" x14ac:dyDescent="0.45">
      <c r="B104" t="s">
        <v>253</v>
      </c>
      <c r="C104" t="s">
        <v>17</v>
      </c>
      <c r="D104">
        <v>6.7335874088128101E-4</v>
      </c>
      <c r="E104" t="s">
        <v>6</v>
      </c>
      <c r="G104" t="s">
        <v>254</v>
      </c>
      <c r="H104" t="s">
        <v>17</v>
      </c>
      <c r="I104">
        <v>8.3863807638791851E-2</v>
      </c>
      <c r="J104" t="s">
        <v>6</v>
      </c>
      <c r="L104" t="s">
        <v>255</v>
      </c>
      <c r="M104" t="s">
        <v>17</v>
      </c>
      <c r="N104">
        <v>7.9292497682994872E-2</v>
      </c>
      <c r="O104" t="s">
        <v>6</v>
      </c>
    </row>
    <row r="105" spans="2:15" x14ac:dyDescent="0.45">
      <c r="B105" t="s">
        <v>253</v>
      </c>
      <c r="C105" t="s">
        <v>18</v>
      </c>
      <c r="D105">
        <v>0.18509604825207437</v>
      </c>
      <c r="E105" t="s">
        <v>6</v>
      </c>
      <c r="G105" t="s">
        <v>254</v>
      </c>
      <c r="H105" t="s">
        <v>18</v>
      </c>
      <c r="I105">
        <v>0.10542398964891427</v>
      </c>
      <c r="J105" t="s">
        <v>6</v>
      </c>
      <c r="L105" t="s">
        <v>255</v>
      </c>
      <c r="M105" t="s">
        <v>18</v>
      </c>
      <c r="N105">
        <v>0.10387122925546577</v>
      </c>
      <c r="O105" t="s">
        <v>6</v>
      </c>
    </row>
    <row r="106" spans="2:15" x14ac:dyDescent="0.45">
      <c r="B106" t="s">
        <v>253</v>
      </c>
      <c r="C106" t="s">
        <v>19</v>
      </c>
      <c r="D106">
        <v>1.2386488937477162E-3</v>
      </c>
      <c r="E106" t="s">
        <v>6</v>
      </c>
      <c r="G106" t="s">
        <v>254</v>
      </c>
      <c r="H106" t="s">
        <v>19</v>
      </c>
      <c r="I106">
        <v>6.7971833793645256E-2</v>
      </c>
      <c r="J106" t="s">
        <v>6</v>
      </c>
      <c r="L106" t="s">
        <v>255</v>
      </c>
      <c r="M106" t="s">
        <v>19</v>
      </c>
      <c r="N106">
        <v>6.1594209861800059E-2</v>
      </c>
      <c r="O106" t="s">
        <v>6</v>
      </c>
    </row>
    <row r="107" spans="2:15" x14ac:dyDescent="0.45">
      <c r="B107" t="s">
        <v>256</v>
      </c>
      <c r="C107" t="s">
        <v>5</v>
      </c>
      <c r="D107">
        <v>0</v>
      </c>
      <c r="E107" t="s">
        <v>6</v>
      </c>
      <c r="G107" t="s">
        <v>257</v>
      </c>
      <c r="H107" t="s">
        <v>5</v>
      </c>
      <c r="I107">
        <v>0.10097601229435137</v>
      </c>
      <c r="J107" t="s">
        <v>6</v>
      </c>
      <c r="L107" t="s">
        <v>258</v>
      </c>
      <c r="M107" t="s">
        <v>5</v>
      </c>
      <c r="N107">
        <v>0.10908755268152344</v>
      </c>
      <c r="O107" t="s">
        <v>6</v>
      </c>
    </row>
    <row r="108" spans="2:15" x14ac:dyDescent="0.45">
      <c r="B108" t="s">
        <v>256</v>
      </c>
      <c r="C108" t="s">
        <v>9</v>
      </c>
      <c r="D108">
        <v>0.13243498822727445</v>
      </c>
      <c r="E108" t="s">
        <v>6</v>
      </c>
      <c r="G108" t="s">
        <v>257</v>
      </c>
      <c r="H108" t="s">
        <v>9</v>
      </c>
      <c r="I108">
        <v>0.11979991685458358</v>
      </c>
      <c r="J108" t="s">
        <v>6</v>
      </c>
      <c r="L108" t="s">
        <v>258</v>
      </c>
      <c r="M108" t="s">
        <v>9</v>
      </c>
      <c r="N108">
        <v>0.13105455025549959</v>
      </c>
      <c r="O108" t="s">
        <v>6</v>
      </c>
    </row>
    <row r="109" spans="2:15" x14ac:dyDescent="0.45">
      <c r="B109" t="s">
        <v>256</v>
      </c>
      <c r="C109" t="s">
        <v>10</v>
      </c>
      <c r="D109">
        <v>3.1003759639871013E-5</v>
      </c>
      <c r="E109" t="s">
        <v>6</v>
      </c>
      <c r="G109" t="s">
        <v>257</v>
      </c>
      <c r="H109" t="s">
        <v>10</v>
      </c>
      <c r="I109">
        <v>7.6970054195499044E-2</v>
      </c>
      <c r="J109" t="s">
        <v>6</v>
      </c>
      <c r="L109" t="s">
        <v>258</v>
      </c>
      <c r="M109" t="s">
        <v>10</v>
      </c>
      <c r="N109">
        <v>8.3203718491564535E-2</v>
      </c>
      <c r="O109" t="s">
        <v>6</v>
      </c>
    </row>
    <row r="110" spans="2:15" x14ac:dyDescent="0.45">
      <c r="B110" t="s">
        <v>256</v>
      </c>
      <c r="C110" t="s">
        <v>11</v>
      </c>
      <c r="D110">
        <v>6.6524061755415627E-3</v>
      </c>
      <c r="E110" t="s">
        <v>6</v>
      </c>
      <c r="G110" t="s">
        <v>257</v>
      </c>
      <c r="H110" t="s">
        <v>11</v>
      </c>
      <c r="I110">
        <v>8.5845715447962226E-2</v>
      </c>
      <c r="J110" t="s">
        <v>6</v>
      </c>
      <c r="L110" t="s">
        <v>258</v>
      </c>
      <c r="M110" t="s">
        <v>11</v>
      </c>
      <c r="N110">
        <v>7.4454984523115386E-2</v>
      </c>
      <c r="O110" t="s">
        <v>6</v>
      </c>
    </row>
    <row r="111" spans="2:15" x14ac:dyDescent="0.45">
      <c r="B111" t="s">
        <v>256</v>
      </c>
      <c r="C111" t="s">
        <v>12</v>
      </c>
      <c r="D111">
        <v>0.29966830488853224</v>
      </c>
      <c r="E111" t="s">
        <v>6</v>
      </c>
      <c r="G111" t="s">
        <v>257</v>
      </c>
      <c r="H111" t="s">
        <v>12</v>
      </c>
      <c r="I111">
        <v>0.11005474564249997</v>
      </c>
      <c r="J111" t="s">
        <v>6</v>
      </c>
      <c r="L111" t="s">
        <v>258</v>
      </c>
      <c r="M111" t="s">
        <v>12</v>
      </c>
      <c r="N111">
        <v>9.9864011493093124E-2</v>
      </c>
      <c r="O111" t="s">
        <v>6</v>
      </c>
    </row>
    <row r="112" spans="2:15" x14ac:dyDescent="0.45">
      <c r="B112" t="s">
        <v>256</v>
      </c>
      <c r="C112" t="s">
        <v>13</v>
      </c>
      <c r="D112">
        <v>7.7160430331548605E-3</v>
      </c>
      <c r="E112" t="s">
        <v>6</v>
      </c>
      <c r="G112" t="s">
        <v>257</v>
      </c>
      <c r="H112" t="s">
        <v>13</v>
      </c>
      <c r="I112">
        <v>6.6830955086518498E-2</v>
      </c>
      <c r="J112" t="s">
        <v>6</v>
      </c>
      <c r="L112" t="s">
        <v>258</v>
      </c>
      <c r="M112" t="s">
        <v>13</v>
      </c>
      <c r="N112">
        <v>6.1502541386379818E-2</v>
      </c>
      <c r="O112" t="s">
        <v>6</v>
      </c>
    </row>
    <row r="113" spans="2:15" x14ac:dyDescent="0.45">
      <c r="B113" t="s">
        <v>256</v>
      </c>
      <c r="C113" t="s">
        <v>14</v>
      </c>
      <c r="D113">
        <v>1.0886259390636177E-2</v>
      </c>
      <c r="E113" t="s">
        <v>6</v>
      </c>
      <c r="G113" t="s">
        <v>257</v>
      </c>
      <c r="H113" t="s">
        <v>14</v>
      </c>
      <c r="I113">
        <v>5.9976503582516306E-2</v>
      </c>
      <c r="J113" t="s">
        <v>6</v>
      </c>
      <c r="L113" t="s">
        <v>258</v>
      </c>
      <c r="M113" t="s">
        <v>14</v>
      </c>
      <c r="N113">
        <v>5.6458394236397043E-2</v>
      </c>
      <c r="O113" t="s">
        <v>6</v>
      </c>
    </row>
    <row r="114" spans="2:15" x14ac:dyDescent="0.45">
      <c r="B114" t="s">
        <v>256</v>
      </c>
      <c r="C114" t="s">
        <v>15</v>
      </c>
      <c r="D114">
        <v>0.34005731211211682</v>
      </c>
      <c r="E114" t="s">
        <v>6</v>
      </c>
      <c r="G114" t="s">
        <v>257</v>
      </c>
      <c r="H114" t="s">
        <v>15</v>
      </c>
      <c r="I114">
        <v>7.195882070797302E-2</v>
      </c>
      <c r="J114" t="s">
        <v>6</v>
      </c>
      <c r="L114" t="s">
        <v>258</v>
      </c>
      <c r="M114" t="s">
        <v>15</v>
      </c>
      <c r="N114">
        <v>7.9111051599037294E-2</v>
      </c>
      <c r="O114" t="s">
        <v>6</v>
      </c>
    </row>
    <row r="115" spans="2:15" x14ac:dyDescent="0.45">
      <c r="B115" t="s">
        <v>256</v>
      </c>
      <c r="C115" t="s">
        <v>16</v>
      </c>
      <c r="D115">
        <v>1.4443993200073127E-2</v>
      </c>
      <c r="E115" t="s">
        <v>6</v>
      </c>
      <c r="G115" t="s">
        <v>257</v>
      </c>
      <c r="H115" t="s">
        <v>16</v>
      </c>
      <c r="I115">
        <v>4.7784133010909377E-2</v>
      </c>
      <c r="J115" t="s">
        <v>6</v>
      </c>
      <c r="L115" t="s">
        <v>258</v>
      </c>
      <c r="M115" t="s">
        <v>16</v>
      </c>
      <c r="N115">
        <v>4.2432961218292743E-2</v>
      </c>
      <c r="O115" t="s">
        <v>6</v>
      </c>
    </row>
    <row r="116" spans="2:15" x14ac:dyDescent="0.45">
      <c r="B116" t="s">
        <v>256</v>
      </c>
      <c r="C116" t="s">
        <v>17</v>
      </c>
      <c r="D116">
        <v>1.0041491207234809E-3</v>
      </c>
      <c r="E116" t="s">
        <v>6</v>
      </c>
      <c r="G116" t="s">
        <v>257</v>
      </c>
      <c r="H116" t="s">
        <v>17</v>
      </c>
      <c r="I116">
        <v>8.7734934228547015E-2</v>
      </c>
      <c r="J116" t="s">
        <v>6</v>
      </c>
      <c r="L116" t="s">
        <v>258</v>
      </c>
      <c r="M116" t="s">
        <v>17</v>
      </c>
      <c r="N116">
        <v>8.3666399390584914E-2</v>
      </c>
      <c r="O116" t="s">
        <v>6</v>
      </c>
    </row>
    <row r="117" spans="2:15" x14ac:dyDescent="0.45">
      <c r="B117" t="s">
        <v>256</v>
      </c>
      <c r="C117" t="s">
        <v>18</v>
      </c>
      <c r="D117">
        <v>0.18619419262346651</v>
      </c>
      <c r="E117" t="s">
        <v>6</v>
      </c>
      <c r="G117" t="s">
        <v>257</v>
      </c>
      <c r="H117" t="s">
        <v>18</v>
      </c>
      <c r="I117">
        <v>0.10424758623499981</v>
      </c>
      <c r="J117" t="s">
        <v>6</v>
      </c>
      <c r="L117" t="s">
        <v>258</v>
      </c>
      <c r="M117" t="s">
        <v>18</v>
      </c>
      <c r="N117">
        <v>0.11443313755834134</v>
      </c>
      <c r="O117" t="s">
        <v>6</v>
      </c>
    </row>
    <row r="118" spans="2:15" x14ac:dyDescent="0.45">
      <c r="B118" t="s">
        <v>256</v>
      </c>
      <c r="C118" t="s">
        <v>19</v>
      </c>
      <c r="D118">
        <v>9.1134746884174273E-4</v>
      </c>
      <c r="E118" t="s">
        <v>6</v>
      </c>
      <c r="G118" t="s">
        <v>257</v>
      </c>
      <c r="H118" t="s">
        <v>19</v>
      </c>
      <c r="I118">
        <v>6.7820622713638964E-2</v>
      </c>
      <c r="J118" t="s">
        <v>6</v>
      </c>
      <c r="L118" t="s">
        <v>258</v>
      </c>
      <c r="M118" t="s">
        <v>19</v>
      </c>
      <c r="N118">
        <v>6.4730697166168943E-2</v>
      </c>
      <c r="O118" t="s">
        <v>6</v>
      </c>
    </row>
    <row r="119" spans="2:15" x14ac:dyDescent="0.45">
      <c r="B119" t="s">
        <v>259</v>
      </c>
      <c r="C119" t="s">
        <v>5</v>
      </c>
      <c r="D119">
        <v>0</v>
      </c>
      <c r="E119" t="s">
        <v>6</v>
      </c>
      <c r="G119" t="s">
        <v>260</v>
      </c>
      <c r="H119" t="s">
        <v>5</v>
      </c>
      <c r="I119">
        <v>0.10852717865375902</v>
      </c>
      <c r="J119" t="s">
        <v>6</v>
      </c>
      <c r="L119" t="s">
        <v>261</v>
      </c>
      <c r="M119" t="s">
        <v>5</v>
      </c>
      <c r="N119">
        <v>0.1108044992334587</v>
      </c>
      <c r="O119" t="s">
        <v>6</v>
      </c>
    </row>
    <row r="120" spans="2:15" x14ac:dyDescent="0.45">
      <c r="B120" t="s">
        <v>259</v>
      </c>
      <c r="C120" t="s">
        <v>9</v>
      </c>
      <c r="D120">
        <v>8.7425134018509709E-2</v>
      </c>
      <c r="E120" t="s">
        <v>6</v>
      </c>
      <c r="G120" t="s">
        <v>260</v>
      </c>
      <c r="H120" t="s">
        <v>9</v>
      </c>
      <c r="I120">
        <v>0.13689957260848504</v>
      </c>
      <c r="J120" t="s">
        <v>6</v>
      </c>
      <c r="L120" t="s">
        <v>261</v>
      </c>
      <c r="M120" t="s">
        <v>9</v>
      </c>
      <c r="N120">
        <v>0.12918718048326602</v>
      </c>
      <c r="O120" t="s">
        <v>6</v>
      </c>
    </row>
    <row r="121" spans="2:15" x14ac:dyDescent="0.45">
      <c r="B121" t="s">
        <v>259</v>
      </c>
      <c r="C121" t="s">
        <v>10</v>
      </c>
      <c r="D121">
        <v>2.3505891334903517E-4</v>
      </c>
      <c r="E121" t="s">
        <v>6</v>
      </c>
      <c r="G121" t="s">
        <v>260</v>
      </c>
      <c r="H121" t="s">
        <v>10</v>
      </c>
      <c r="I121">
        <v>8.6207761830820573E-2</v>
      </c>
      <c r="J121" t="s">
        <v>6</v>
      </c>
      <c r="L121" t="s">
        <v>261</v>
      </c>
      <c r="M121" t="s">
        <v>10</v>
      </c>
      <c r="N121">
        <v>8.297648380919094E-2</v>
      </c>
      <c r="O121" t="s">
        <v>6</v>
      </c>
    </row>
    <row r="122" spans="2:15" x14ac:dyDescent="0.45">
      <c r="B122" t="s">
        <v>259</v>
      </c>
      <c r="C122" t="s">
        <v>11</v>
      </c>
      <c r="D122">
        <v>4.0843804447644426E-3</v>
      </c>
      <c r="E122" t="s">
        <v>6</v>
      </c>
      <c r="G122" t="s">
        <v>260</v>
      </c>
      <c r="H122" t="s">
        <v>11</v>
      </c>
      <c r="I122">
        <v>9.0346086176160745E-2</v>
      </c>
      <c r="J122" t="s">
        <v>6</v>
      </c>
      <c r="L122" t="s">
        <v>261</v>
      </c>
      <c r="M122" t="s">
        <v>11</v>
      </c>
      <c r="N122">
        <v>7.2989738856319347E-2</v>
      </c>
      <c r="O122" t="s">
        <v>6</v>
      </c>
    </row>
    <row r="123" spans="2:15" x14ac:dyDescent="0.45">
      <c r="B123" t="s">
        <v>259</v>
      </c>
      <c r="C123" t="s">
        <v>12</v>
      </c>
      <c r="D123">
        <v>0.35204209074954917</v>
      </c>
      <c r="E123" t="s">
        <v>6</v>
      </c>
      <c r="G123" t="s">
        <v>260</v>
      </c>
      <c r="H123" t="s">
        <v>12</v>
      </c>
      <c r="I123">
        <v>0.12429791208145367</v>
      </c>
      <c r="J123" t="s">
        <v>6</v>
      </c>
      <c r="L123" t="s">
        <v>261</v>
      </c>
      <c r="M123" t="s">
        <v>12</v>
      </c>
      <c r="N123">
        <v>0.10362759889147814</v>
      </c>
      <c r="O123" t="s">
        <v>6</v>
      </c>
    </row>
    <row r="124" spans="2:15" x14ac:dyDescent="0.45">
      <c r="B124" t="s">
        <v>259</v>
      </c>
      <c r="C124" t="s">
        <v>13</v>
      </c>
      <c r="D124">
        <v>1.5323274573804424E-2</v>
      </c>
      <c r="E124" t="s">
        <v>6</v>
      </c>
      <c r="G124" t="s">
        <v>260</v>
      </c>
      <c r="H124" t="s">
        <v>13</v>
      </c>
      <c r="I124">
        <v>6.7585940842092046E-2</v>
      </c>
      <c r="J124" t="s">
        <v>6</v>
      </c>
      <c r="L124" t="s">
        <v>261</v>
      </c>
      <c r="M124" t="s">
        <v>13</v>
      </c>
      <c r="N124">
        <v>6.0819747735686214E-2</v>
      </c>
      <c r="O124" t="s">
        <v>6</v>
      </c>
    </row>
    <row r="125" spans="2:15" x14ac:dyDescent="0.45">
      <c r="B125" t="s">
        <v>259</v>
      </c>
      <c r="C125" t="s">
        <v>14</v>
      </c>
      <c r="D125">
        <v>7.4915896310276181E-3</v>
      </c>
      <c r="E125" t="s">
        <v>6</v>
      </c>
      <c r="G125" t="s">
        <v>260</v>
      </c>
      <c r="H125" t="s">
        <v>14</v>
      </c>
      <c r="I125">
        <v>4.502015187740456E-2</v>
      </c>
      <c r="J125" t="s">
        <v>6</v>
      </c>
      <c r="L125" t="s">
        <v>261</v>
      </c>
      <c r="M125" t="s">
        <v>14</v>
      </c>
      <c r="N125">
        <v>4.9944678157454375E-2</v>
      </c>
      <c r="O125" t="s">
        <v>6</v>
      </c>
    </row>
    <row r="126" spans="2:15" x14ac:dyDescent="0.45">
      <c r="B126" t="s">
        <v>259</v>
      </c>
      <c r="C126" t="s">
        <v>15</v>
      </c>
      <c r="D126">
        <v>0.33911486276452862</v>
      </c>
      <c r="E126" t="s">
        <v>6</v>
      </c>
      <c r="G126" t="s">
        <v>260</v>
      </c>
      <c r="H126" t="s">
        <v>15</v>
      </c>
      <c r="I126">
        <v>6.420867724311026E-2</v>
      </c>
      <c r="J126" t="s">
        <v>6</v>
      </c>
      <c r="L126" t="s">
        <v>261</v>
      </c>
      <c r="M126" t="s">
        <v>15</v>
      </c>
      <c r="N126">
        <v>7.6549557863924603E-2</v>
      </c>
      <c r="O126" t="s">
        <v>6</v>
      </c>
    </row>
    <row r="127" spans="2:15" x14ac:dyDescent="0.45">
      <c r="B127" t="s">
        <v>259</v>
      </c>
      <c r="C127" t="s">
        <v>16</v>
      </c>
      <c r="D127">
        <v>2.5078148498225657E-2</v>
      </c>
      <c r="E127" t="s">
        <v>6</v>
      </c>
      <c r="G127" t="s">
        <v>260</v>
      </c>
      <c r="H127" t="s">
        <v>16</v>
      </c>
      <c r="I127">
        <v>3.3046023192842389E-2</v>
      </c>
      <c r="J127" t="s">
        <v>6</v>
      </c>
      <c r="L127" t="s">
        <v>261</v>
      </c>
      <c r="M127" t="s">
        <v>16</v>
      </c>
      <c r="N127">
        <v>3.9177059192080269E-2</v>
      </c>
      <c r="O127" t="s">
        <v>6</v>
      </c>
    </row>
    <row r="128" spans="2:15" x14ac:dyDescent="0.45">
      <c r="B128" t="s">
        <v>259</v>
      </c>
      <c r="C128" t="s">
        <v>17</v>
      </c>
      <c r="D128">
        <v>1.6661774206161366E-4</v>
      </c>
      <c r="E128" t="s">
        <v>6</v>
      </c>
      <c r="G128" t="s">
        <v>260</v>
      </c>
      <c r="H128" t="s">
        <v>17</v>
      </c>
      <c r="I128">
        <v>7.8875642058781822E-2</v>
      </c>
      <c r="J128" t="s">
        <v>6</v>
      </c>
      <c r="L128" t="s">
        <v>261</v>
      </c>
      <c r="M128" t="s">
        <v>17</v>
      </c>
      <c r="N128">
        <v>8.829145883098552E-2</v>
      </c>
      <c r="O128" t="s">
        <v>6</v>
      </c>
    </row>
    <row r="129" spans="2:15" x14ac:dyDescent="0.45">
      <c r="B129" t="s">
        <v>259</v>
      </c>
      <c r="C129" t="s">
        <v>18</v>
      </c>
      <c r="D129">
        <v>0.16716053414295495</v>
      </c>
      <c r="E129" t="s">
        <v>6</v>
      </c>
      <c r="G129" t="s">
        <v>260</v>
      </c>
      <c r="H129" t="s">
        <v>18</v>
      </c>
      <c r="I129">
        <v>0.10670878540858419</v>
      </c>
      <c r="J129" t="s">
        <v>6</v>
      </c>
      <c r="L129" t="s">
        <v>261</v>
      </c>
      <c r="M129" t="s">
        <v>18</v>
      </c>
      <c r="N129">
        <v>0.11720889835315719</v>
      </c>
      <c r="O129" t="s">
        <v>6</v>
      </c>
    </row>
    <row r="130" spans="2:15" x14ac:dyDescent="0.45">
      <c r="B130" t="s">
        <v>259</v>
      </c>
      <c r="C130" t="s">
        <v>19</v>
      </c>
      <c r="D130">
        <v>1.8783085212267809E-3</v>
      </c>
      <c r="E130" t="s">
        <v>6</v>
      </c>
      <c r="G130" t="s">
        <v>260</v>
      </c>
      <c r="H130" t="s">
        <v>19</v>
      </c>
      <c r="I130">
        <v>5.8276268026506622E-2</v>
      </c>
      <c r="J130" t="s">
        <v>6</v>
      </c>
      <c r="L130" t="s">
        <v>261</v>
      </c>
      <c r="M130" t="s">
        <v>19</v>
      </c>
      <c r="N130">
        <v>6.8423098592996043E-2</v>
      </c>
      <c r="O130" t="s">
        <v>6</v>
      </c>
    </row>
    <row r="131" spans="2:15" x14ac:dyDescent="0.45">
      <c r="B131" t="s">
        <v>262</v>
      </c>
      <c r="C131" t="s">
        <v>5</v>
      </c>
      <c r="D131">
        <v>0</v>
      </c>
      <c r="E131" t="s">
        <v>6</v>
      </c>
      <c r="G131" t="s">
        <v>263</v>
      </c>
      <c r="H131" t="s">
        <v>5</v>
      </c>
      <c r="I131">
        <v>0.10600322486152614</v>
      </c>
      <c r="J131" t="s">
        <v>6</v>
      </c>
      <c r="L131" t="s">
        <v>264</v>
      </c>
      <c r="M131" t="s">
        <v>5</v>
      </c>
      <c r="N131">
        <v>0.10502592698640448</v>
      </c>
      <c r="O131" t="s">
        <v>6</v>
      </c>
    </row>
    <row r="132" spans="2:15" x14ac:dyDescent="0.45">
      <c r="B132" t="s">
        <v>262</v>
      </c>
      <c r="C132" t="s">
        <v>9</v>
      </c>
      <c r="D132">
        <v>9.5353959016691928E-2</v>
      </c>
      <c r="E132" t="s">
        <v>6</v>
      </c>
      <c r="G132" t="s">
        <v>263</v>
      </c>
      <c r="H132" t="s">
        <v>9</v>
      </c>
      <c r="I132">
        <v>0.12960858308585288</v>
      </c>
      <c r="J132" t="s">
        <v>6</v>
      </c>
      <c r="L132" t="s">
        <v>264</v>
      </c>
      <c r="M132" t="s">
        <v>9</v>
      </c>
      <c r="N132">
        <v>0.12640817047113445</v>
      </c>
      <c r="O132" t="s">
        <v>6</v>
      </c>
    </row>
    <row r="133" spans="2:15" x14ac:dyDescent="0.45">
      <c r="B133" t="s">
        <v>262</v>
      </c>
      <c r="C133" t="s">
        <v>10</v>
      </c>
      <c r="D133">
        <v>2.0501429613979004E-4</v>
      </c>
      <c r="E133" t="s">
        <v>6</v>
      </c>
      <c r="G133" t="s">
        <v>263</v>
      </c>
      <c r="H133" t="s">
        <v>10</v>
      </c>
      <c r="I133">
        <v>8.0324971511169796E-2</v>
      </c>
      <c r="J133" t="s">
        <v>6</v>
      </c>
      <c r="L133" t="s">
        <v>264</v>
      </c>
      <c r="M133" t="s">
        <v>10</v>
      </c>
      <c r="N133">
        <v>7.9230183131866097E-2</v>
      </c>
      <c r="O133" t="s">
        <v>6</v>
      </c>
    </row>
    <row r="134" spans="2:15" x14ac:dyDescent="0.45">
      <c r="B134" t="s">
        <v>262</v>
      </c>
      <c r="C134" t="s">
        <v>11</v>
      </c>
      <c r="D134">
        <v>4.8183822956837851E-3</v>
      </c>
      <c r="E134" t="s">
        <v>6</v>
      </c>
      <c r="G134" t="s">
        <v>263</v>
      </c>
      <c r="H134" t="s">
        <v>11</v>
      </c>
      <c r="I134">
        <v>8.9058966832682496E-2</v>
      </c>
      <c r="J134" t="s">
        <v>6</v>
      </c>
      <c r="L134" t="s">
        <v>264</v>
      </c>
      <c r="M134" t="s">
        <v>11</v>
      </c>
      <c r="N134">
        <v>9.1860964525987007E-2</v>
      </c>
      <c r="O134" t="s">
        <v>6</v>
      </c>
    </row>
    <row r="135" spans="2:15" x14ac:dyDescent="0.45">
      <c r="B135" t="s">
        <v>262</v>
      </c>
      <c r="C135" t="s">
        <v>12</v>
      </c>
      <c r="D135">
        <v>0.36628847309621837</v>
      </c>
      <c r="E135" t="s">
        <v>6</v>
      </c>
      <c r="G135" t="s">
        <v>263</v>
      </c>
      <c r="H135" t="s">
        <v>12</v>
      </c>
      <c r="I135">
        <v>0.11304134305737722</v>
      </c>
      <c r="J135" t="s">
        <v>6</v>
      </c>
      <c r="L135" t="s">
        <v>264</v>
      </c>
      <c r="M135" t="s">
        <v>12</v>
      </c>
      <c r="N135">
        <v>0.11196127809597367</v>
      </c>
      <c r="O135" t="s">
        <v>6</v>
      </c>
    </row>
    <row r="136" spans="2:15" x14ac:dyDescent="0.45">
      <c r="B136" t="s">
        <v>262</v>
      </c>
      <c r="C136" t="s">
        <v>13</v>
      </c>
      <c r="D136">
        <v>1.5205485982608362E-2</v>
      </c>
      <c r="E136" t="s">
        <v>6</v>
      </c>
      <c r="G136" t="s">
        <v>263</v>
      </c>
      <c r="H136" t="s">
        <v>13</v>
      </c>
      <c r="I136">
        <v>6.7851483480196983E-2</v>
      </c>
      <c r="J136" t="s">
        <v>6</v>
      </c>
      <c r="L136" t="s">
        <v>264</v>
      </c>
      <c r="M136" t="s">
        <v>13</v>
      </c>
      <c r="N136">
        <v>6.8056919367479554E-2</v>
      </c>
      <c r="O136" t="s">
        <v>6</v>
      </c>
    </row>
    <row r="137" spans="2:15" x14ac:dyDescent="0.45">
      <c r="B137" t="s">
        <v>262</v>
      </c>
      <c r="C137" t="s">
        <v>14</v>
      </c>
      <c r="D137">
        <v>8.2939894177770073E-3</v>
      </c>
      <c r="E137" t="s">
        <v>6</v>
      </c>
      <c r="G137" t="s">
        <v>263</v>
      </c>
      <c r="H137" t="s">
        <v>14</v>
      </c>
      <c r="I137">
        <v>5.087473941094655E-2</v>
      </c>
      <c r="J137" t="s">
        <v>6</v>
      </c>
      <c r="L137" t="s">
        <v>264</v>
      </c>
      <c r="M137" t="s">
        <v>14</v>
      </c>
      <c r="N137">
        <v>5.0629841264020446E-2</v>
      </c>
      <c r="O137" t="s">
        <v>6</v>
      </c>
    </row>
    <row r="138" spans="2:15" x14ac:dyDescent="0.45">
      <c r="B138" t="s">
        <v>262</v>
      </c>
      <c r="C138" t="s">
        <v>15</v>
      </c>
      <c r="D138">
        <v>0.32793536062272327</v>
      </c>
      <c r="E138" t="s">
        <v>6</v>
      </c>
      <c r="G138" t="s">
        <v>263</v>
      </c>
      <c r="H138" t="s">
        <v>15</v>
      </c>
      <c r="I138">
        <v>6.4526499149803393E-2</v>
      </c>
      <c r="J138" t="s">
        <v>6</v>
      </c>
      <c r="L138" t="s">
        <v>264</v>
      </c>
      <c r="M138" t="s">
        <v>15</v>
      </c>
      <c r="N138">
        <v>6.2484531978766883E-2</v>
      </c>
      <c r="O138" t="s">
        <v>6</v>
      </c>
    </row>
    <row r="139" spans="2:15" x14ac:dyDescent="0.45">
      <c r="B139" t="s">
        <v>262</v>
      </c>
      <c r="C139" t="s">
        <v>16</v>
      </c>
      <c r="D139">
        <v>2.3568378072066874E-2</v>
      </c>
      <c r="E139" t="s">
        <v>6</v>
      </c>
      <c r="G139" t="s">
        <v>263</v>
      </c>
      <c r="H139" t="s">
        <v>16</v>
      </c>
      <c r="I139">
        <v>3.8191570053751504E-2</v>
      </c>
      <c r="J139" t="s">
        <v>6</v>
      </c>
      <c r="L139" t="s">
        <v>264</v>
      </c>
      <c r="M139" t="s">
        <v>16</v>
      </c>
      <c r="N139">
        <v>4.0777648524280022E-2</v>
      </c>
      <c r="O139" t="s">
        <v>6</v>
      </c>
    </row>
    <row r="140" spans="2:15" x14ac:dyDescent="0.45">
      <c r="B140" t="s">
        <v>262</v>
      </c>
      <c r="C140" t="s">
        <v>17</v>
      </c>
      <c r="D140">
        <v>2.1686943403018537E-4</v>
      </c>
      <c r="E140" t="s">
        <v>6</v>
      </c>
      <c r="G140" t="s">
        <v>263</v>
      </c>
      <c r="H140" t="s">
        <v>17</v>
      </c>
      <c r="I140">
        <v>8.598603303679217E-2</v>
      </c>
      <c r="J140" t="s">
        <v>6</v>
      </c>
      <c r="L140" t="s">
        <v>264</v>
      </c>
      <c r="M140" t="s">
        <v>17</v>
      </c>
      <c r="N140">
        <v>8.7115355789664783E-2</v>
      </c>
      <c r="O140" t="s">
        <v>6</v>
      </c>
    </row>
    <row r="141" spans="2:15" x14ac:dyDescent="0.45">
      <c r="B141" t="s">
        <v>262</v>
      </c>
      <c r="C141" t="s">
        <v>18</v>
      </c>
      <c r="D141">
        <v>0.15644108470050139</v>
      </c>
      <c r="E141" t="s">
        <v>6</v>
      </c>
      <c r="G141" t="s">
        <v>263</v>
      </c>
      <c r="H141" t="s">
        <v>18</v>
      </c>
      <c r="I141">
        <v>0.10936416460311298</v>
      </c>
      <c r="J141" t="s">
        <v>6</v>
      </c>
      <c r="L141" t="s">
        <v>264</v>
      </c>
      <c r="M141" t="s">
        <v>18</v>
      </c>
      <c r="N141">
        <v>0.10914911414480889</v>
      </c>
      <c r="O141" t="s">
        <v>6</v>
      </c>
    </row>
    <row r="142" spans="2:15" x14ac:dyDescent="0.45">
      <c r="B142" t="s">
        <v>262</v>
      </c>
      <c r="C142" t="s">
        <v>19</v>
      </c>
      <c r="D142">
        <v>1.6730030655606025E-3</v>
      </c>
      <c r="E142" t="s">
        <v>6</v>
      </c>
      <c r="G142" t="s">
        <v>263</v>
      </c>
      <c r="H142" t="s">
        <v>19</v>
      </c>
      <c r="I142">
        <v>6.5168420916788761E-2</v>
      </c>
      <c r="J142" t="s">
        <v>6</v>
      </c>
      <c r="L142" t="s">
        <v>264</v>
      </c>
      <c r="M142" t="s">
        <v>19</v>
      </c>
      <c r="N142">
        <v>6.7300065719611515E-2</v>
      </c>
      <c r="O142" t="s">
        <v>6</v>
      </c>
    </row>
    <row r="143" spans="2:15" x14ac:dyDescent="0.45">
      <c r="B143" t="s">
        <v>265</v>
      </c>
      <c r="C143" t="s">
        <v>5</v>
      </c>
      <c r="D143">
        <v>0</v>
      </c>
      <c r="E143" t="s">
        <v>6</v>
      </c>
      <c r="G143" t="s">
        <v>266</v>
      </c>
      <c r="H143" t="s">
        <v>5</v>
      </c>
      <c r="I143">
        <v>0.10554444909224721</v>
      </c>
      <c r="J143" t="s">
        <v>6</v>
      </c>
      <c r="L143" t="s">
        <v>267</v>
      </c>
      <c r="M143" t="s">
        <v>5</v>
      </c>
      <c r="N143">
        <v>0.10726933596055493</v>
      </c>
      <c r="O143" t="s">
        <v>6</v>
      </c>
    </row>
    <row r="144" spans="2:15" x14ac:dyDescent="0.45">
      <c r="B144" t="s">
        <v>265</v>
      </c>
      <c r="C144" t="s">
        <v>9</v>
      </c>
      <c r="D144">
        <v>9.8725301277222566E-2</v>
      </c>
      <c r="E144" t="s">
        <v>6</v>
      </c>
      <c r="G144" t="s">
        <v>266</v>
      </c>
      <c r="H144" t="s">
        <v>9</v>
      </c>
      <c r="I144">
        <v>0.13040016935634755</v>
      </c>
      <c r="J144" t="s">
        <v>6</v>
      </c>
      <c r="L144" t="s">
        <v>267</v>
      </c>
      <c r="M144" t="s">
        <v>9</v>
      </c>
      <c r="N144">
        <v>0.12995853878994312</v>
      </c>
      <c r="O144" t="s">
        <v>6</v>
      </c>
    </row>
    <row r="145" spans="2:15" x14ac:dyDescent="0.45">
      <c r="B145" t="s">
        <v>265</v>
      </c>
      <c r="C145" t="s">
        <v>10</v>
      </c>
      <c r="D145">
        <v>0</v>
      </c>
      <c r="E145" t="s">
        <v>6</v>
      </c>
      <c r="G145" t="s">
        <v>266</v>
      </c>
      <c r="H145" t="s">
        <v>10</v>
      </c>
      <c r="I145">
        <v>8.0566979382086595E-2</v>
      </c>
      <c r="J145" t="s">
        <v>6</v>
      </c>
      <c r="L145" t="s">
        <v>267</v>
      </c>
      <c r="M145" t="s">
        <v>10</v>
      </c>
      <c r="N145">
        <v>8.0395997916007475E-2</v>
      </c>
      <c r="O145" t="s">
        <v>6</v>
      </c>
    </row>
    <row r="146" spans="2:15" x14ac:dyDescent="0.45">
      <c r="B146" t="s">
        <v>265</v>
      </c>
      <c r="C146" t="s">
        <v>11</v>
      </c>
      <c r="D146">
        <v>6.9448037732361438E-3</v>
      </c>
      <c r="E146" t="s">
        <v>6</v>
      </c>
      <c r="G146" t="s">
        <v>266</v>
      </c>
      <c r="H146" t="s">
        <v>11</v>
      </c>
      <c r="I146">
        <v>8.3609494525505437E-2</v>
      </c>
      <c r="J146" t="s">
        <v>6</v>
      </c>
      <c r="L146" t="s">
        <v>267</v>
      </c>
      <c r="M146" t="s">
        <v>11</v>
      </c>
      <c r="N146">
        <v>8.7244898583455618E-2</v>
      </c>
      <c r="O146" t="s">
        <v>6</v>
      </c>
    </row>
    <row r="147" spans="2:15" x14ac:dyDescent="0.45">
      <c r="B147" t="s">
        <v>265</v>
      </c>
      <c r="C147" t="s">
        <v>12</v>
      </c>
      <c r="D147">
        <v>0.36384097392792458</v>
      </c>
      <c r="E147" t="s">
        <v>6</v>
      </c>
      <c r="G147" t="s">
        <v>266</v>
      </c>
      <c r="H147" t="s">
        <v>12</v>
      </c>
      <c r="I147">
        <v>0.11356623133360612</v>
      </c>
      <c r="J147" t="s">
        <v>6</v>
      </c>
      <c r="L147" t="s">
        <v>267</v>
      </c>
      <c r="M147" t="s">
        <v>12</v>
      </c>
      <c r="N147">
        <v>0.11001727147005291</v>
      </c>
      <c r="O147" t="s">
        <v>6</v>
      </c>
    </row>
    <row r="148" spans="2:15" x14ac:dyDescent="0.45">
      <c r="B148" t="s">
        <v>265</v>
      </c>
      <c r="C148" t="s">
        <v>13</v>
      </c>
      <c r="D148">
        <v>1.1517442836772609E-2</v>
      </c>
      <c r="E148" t="s">
        <v>6</v>
      </c>
      <c r="G148" t="s">
        <v>266</v>
      </c>
      <c r="H148" t="s">
        <v>13</v>
      </c>
      <c r="I148">
        <v>6.1936993511459711E-2</v>
      </c>
      <c r="J148" t="s">
        <v>6</v>
      </c>
      <c r="L148" t="s">
        <v>267</v>
      </c>
      <c r="M148" t="s">
        <v>13</v>
      </c>
      <c r="N148">
        <v>6.7914159271972169E-2</v>
      </c>
      <c r="O148" t="s">
        <v>6</v>
      </c>
    </row>
    <row r="149" spans="2:15" x14ac:dyDescent="0.45">
      <c r="B149" t="s">
        <v>265</v>
      </c>
      <c r="C149" t="s">
        <v>14</v>
      </c>
      <c r="D149">
        <v>1.1597905826006142E-2</v>
      </c>
      <c r="E149" t="s">
        <v>6</v>
      </c>
      <c r="G149" t="s">
        <v>266</v>
      </c>
      <c r="H149" t="s">
        <v>14</v>
      </c>
      <c r="I149">
        <v>4.3450217316132841E-2</v>
      </c>
      <c r="J149" t="s">
        <v>6</v>
      </c>
      <c r="L149" t="s">
        <v>267</v>
      </c>
      <c r="M149" t="s">
        <v>14</v>
      </c>
      <c r="N149">
        <v>5.0282189600123588E-2</v>
      </c>
      <c r="O149" t="s">
        <v>6</v>
      </c>
    </row>
    <row r="150" spans="2:15" x14ac:dyDescent="0.45">
      <c r="B150" t="s">
        <v>265</v>
      </c>
      <c r="C150" t="s">
        <v>15</v>
      </c>
      <c r="D150">
        <v>0.33465567883786396</v>
      </c>
      <c r="E150" t="s">
        <v>6</v>
      </c>
      <c r="G150" t="s">
        <v>266</v>
      </c>
      <c r="H150" t="s">
        <v>15</v>
      </c>
      <c r="I150">
        <v>6.288685094804268E-2</v>
      </c>
      <c r="J150" t="s">
        <v>6</v>
      </c>
      <c r="L150" t="s">
        <v>267</v>
      </c>
      <c r="M150" t="s">
        <v>15</v>
      </c>
      <c r="N150">
        <v>6.2995470789725672E-2</v>
      </c>
      <c r="O150" t="s">
        <v>6</v>
      </c>
    </row>
    <row r="151" spans="2:15" x14ac:dyDescent="0.45">
      <c r="B151" t="s">
        <v>265</v>
      </c>
      <c r="C151" t="s">
        <v>16</v>
      </c>
      <c r="D151">
        <v>1.9947572951191046E-2</v>
      </c>
      <c r="E151" t="s">
        <v>6</v>
      </c>
      <c r="G151" t="s">
        <v>266</v>
      </c>
      <c r="H151" t="s">
        <v>16</v>
      </c>
      <c r="I151">
        <v>3.7516849888108668E-2</v>
      </c>
      <c r="J151" t="s">
        <v>6</v>
      </c>
      <c r="L151" t="s">
        <v>267</v>
      </c>
      <c r="M151" t="s">
        <v>16</v>
      </c>
      <c r="N151">
        <v>3.7652811700719949E-2</v>
      </c>
      <c r="O151" t="s">
        <v>6</v>
      </c>
    </row>
    <row r="152" spans="2:15" x14ac:dyDescent="0.45">
      <c r="B152" t="s">
        <v>265</v>
      </c>
      <c r="C152" t="s">
        <v>17</v>
      </c>
      <c r="D152">
        <v>4.5253138715976225E-4</v>
      </c>
      <c r="E152" t="s">
        <v>6</v>
      </c>
      <c r="G152" t="s">
        <v>266</v>
      </c>
      <c r="H152" t="s">
        <v>17</v>
      </c>
      <c r="I152">
        <v>9.2292380013803271E-2</v>
      </c>
      <c r="J152" t="s">
        <v>6</v>
      </c>
      <c r="L152" t="s">
        <v>267</v>
      </c>
      <c r="M152" t="s">
        <v>17</v>
      </c>
      <c r="N152">
        <v>8.7729788500874054E-2</v>
      </c>
      <c r="O152" t="s">
        <v>6</v>
      </c>
    </row>
    <row r="153" spans="2:15" x14ac:dyDescent="0.45">
      <c r="B153" t="s">
        <v>265</v>
      </c>
      <c r="C153" t="s">
        <v>18</v>
      </c>
      <c r="D153">
        <v>0.15117101798453225</v>
      </c>
      <c r="E153" t="s">
        <v>6</v>
      </c>
      <c r="G153" t="s">
        <v>266</v>
      </c>
      <c r="H153" t="s">
        <v>18</v>
      </c>
      <c r="I153">
        <v>0.11676197010648831</v>
      </c>
      <c r="J153" t="s">
        <v>6</v>
      </c>
      <c r="L153" t="s">
        <v>267</v>
      </c>
      <c r="M153" t="s">
        <v>18</v>
      </c>
      <c r="N153">
        <v>0.11157286627237915</v>
      </c>
      <c r="O153" t="s">
        <v>6</v>
      </c>
    </row>
    <row r="154" spans="2:15" x14ac:dyDescent="0.45">
      <c r="B154" t="s">
        <v>265</v>
      </c>
      <c r="C154" t="s">
        <v>19</v>
      </c>
      <c r="D154">
        <v>1.1467711980876173E-3</v>
      </c>
      <c r="E154" t="s">
        <v>6</v>
      </c>
      <c r="G154" t="s">
        <v>266</v>
      </c>
      <c r="H154" t="s">
        <v>19</v>
      </c>
      <c r="I154">
        <v>7.1467414526168005E-2</v>
      </c>
      <c r="J154" t="s">
        <v>6</v>
      </c>
      <c r="L154" t="s">
        <v>267</v>
      </c>
      <c r="M154" t="s">
        <v>19</v>
      </c>
      <c r="N154">
        <v>6.6966671144192996E-2</v>
      </c>
      <c r="O154" t="s">
        <v>6</v>
      </c>
    </row>
    <row r="155" spans="2:15" x14ac:dyDescent="0.45">
      <c r="B155" t="s">
        <v>268</v>
      </c>
      <c r="C155" t="s">
        <v>5</v>
      </c>
      <c r="D155">
        <v>0</v>
      </c>
      <c r="E155" t="s">
        <v>6</v>
      </c>
      <c r="G155" t="s">
        <v>269</v>
      </c>
      <c r="H155" t="s">
        <v>5</v>
      </c>
      <c r="I155">
        <v>0.11753901605458687</v>
      </c>
      <c r="J155" t="s">
        <v>6</v>
      </c>
      <c r="L155" t="s">
        <v>270</v>
      </c>
      <c r="M155" t="s">
        <v>5</v>
      </c>
      <c r="N155">
        <v>0.10262187180962622</v>
      </c>
      <c r="O155" t="s">
        <v>6</v>
      </c>
    </row>
    <row r="156" spans="2:15" x14ac:dyDescent="0.45">
      <c r="B156" t="s">
        <v>268</v>
      </c>
      <c r="C156" t="s">
        <v>9</v>
      </c>
      <c r="D156">
        <v>0.10738015794478023</v>
      </c>
      <c r="E156" t="s">
        <v>6</v>
      </c>
      <c r="G156" t="s">
        <v>269</v>
      </c>
      <c r="H156" t="s">
        <v>9</v>
      </c>
      <c r="I156">
        <v>0.1394623030166115</v>
      </c>
      <c r="J156" t="s">
        <v>6</v>
      </c>
      <c r="L156" t="s">
        <v>270</v>
      </c>
      <c r="M156" t="s">
        <v>9</v>
      </c>
      <c r="N156">
        <v>0.12608000149429635</v>
      </c>
      <c r="O156" t="s">
        <v>6</v>
      </c>
    </row>
    <row r="157" spans="2:15" x14ac:dyDescent="0.45">
      <c r="B157" t="s">
        <v>268</v>
      </c>
      <c r="C157" t="s">
        <v>10</v>
      </c>
      <c r="D157">
        <v>9.6657381384895595E-5</v>
      </c>
      <c r="E157" t="s">
        <v>6</v>
      </c>
      <c r="G157" t="s">
        <v>269</v>
      </c>
      <c r="H157" t="s">
        <v>10</v>
      </c>
      <c r="I157">
        <v>8.5800241634935229E-2</v>
      </c>
      <c r="J157" t="s">
        <v>6</v>
      </c>
      <c r="L157" t="s">
        <v>270</v>
      </c>
      <c r="M157" t="s">
        <v>10</v>
      </c>
      <c r="N157">
        <v>7.7957178361536428E-2</v>
      </c>
      <c r="O157" t="s">
        <v>6</v>
      </c>
    </row>
    <row r="158" spans="2:15" x14ac:dyDescent="0.45">
      <c r="B158" t="s">
        <v>268</v>
      </c>
      <c r="C158" t="s">
        <v>11</v>
      </c>
      <c r="D158">
        <v>5.8082998240810649E-3</v>
      </c>
      <c r="E158" t="s">
        <v>6</v>
      </c>
      <c r="G158" t="s">
        <v>269</v>
      </c>
      <c r="H158" t="s">
        <v>11</v>
      </c>
      <c r="I158">
        <v>8.0475744045488073E-2</v>
      </c>
      <c r="J158" t="s">
        <v>6</v>
      </c>
      <c r="L158" t="s">
        <v>270</v>
      </c>
      <c r="M158" t="s">
        <v>11</v>
      </c>
      <c r="N158">
        <v>8.2566303589414275E-2</v>
      </c>
      <c r="O158" t="s">
        <v>6</v>
      </c>
    </row>
    <row r="159" spans="2:15" x14ac:dyDescent="0.45">
      <c r="B159" t="s">
        <v>268</v>
      </c>
      <c r="C159" t="s">
        <v>12</v>
      </c>
      <c r="D159">
        <v>0.33698699782134367</v>
      </c>
      <c r="E159" t="s">
        <v>6</v>
      </c>
      <c r="G159" t="s">
        <v>269</v>
      </c>
      <c r="H159" t="s">
        <v>12</v>
      </c>
      <c r="I159">
        <v>0.1091284546290341</v>
      </c>
      <c r="J159" t="s">
        <v>6</v>
      </c>
      <c r="L159" t="s">
        <v>270</v>
      </c>
      <c r="M159" t="s">
        <v>12</v>
      </c>
      <c r="N159">
        <v>0.10642895614502863</v>
      </c>
      <c r="O159" t="s">
        <v>6</v>
      </c>
    </row>
    <row r="160" spans="2:15" x14ac:dyDescent="0.45">
      <c r="B160" t="s">
        <v>268</v>
      </c>
      <c r="C160" t="s">
        <v>13</v>
      </c>
      <c r="D160">
        <v>1.2699615840292992E-2</v>
      </c>
      <c r="E160" t="s">
        <v>6</v>
      </c>
      <c r="G160" t="s">
        <v>269</v>
      </c>
      <c r="H160" t="s">
        <v>13</v>
      </c>
      <c r="I160">
        <v>6.0204202027384766E-2</v>
      </c>
      <c r="J160" t="s">
        <v>6</v>
      </c>
      <c r="L160" t="s">
        <v>270</v>
      </c>
      <c r="M160" t="s">
        <v>13</v>
      </c>
      <c r="N160">
        <v>6.4155159082042487E-2</v>
      </c>
      <c r="O160" t="s">
        <v>6</v>
      </c>
    </row>
    <row r="161" spans="2:15" x14ac:dyDescent="0.45">
      <c r="B161" t="s">
        <v>268</v>
      </c>
      <c r="C161" t="s">
        <v>14</v>
      </c>
      <c r="D161">
        <v>1.0349905303457462E-2</v>
      </c>
      <c r="E161" t="s">
        <v>6</v>
      </c>
      <c r="G161" t="s">
        <v>269</v>
      </c>
      <c r="H161" t="s">
        <v>14</v>
      </c>
      <c r="I161">
        <v>3.604935513865553E-2</v>
      </c>
      <c r="J161" t="s">
        <v>6</v>
      </c>
      <c r="L161" t="s">
        <v>270</v>
      </c>
      <c r="M161" t="s">
        <v>14</v>
      </c>
      <c r="N161">
        <v>6.1465680406358837E-2</v>
      </c>
      <c r="O161" t="s">
        <v>6</v>
      </c>
    </row>
    <row r="162" spans="2:15" x14ac:dyDescent="0.45">
      <c r="B162" t="s">
        <v>268</v>
      </c>
      <c r="C162" t="s">
        <v>15</v>
      </c>
      <c r="D162">
        <v>0.34050257178010301</v>
      </c>
      <c r="E162" t="s">
        <v>6</v>
      </c>
      <c r="G162" t="s">
        <v>269</v>
      </c>
      <c r="H162" t="s">
        <v>15</v>
      </c>
      <c r="I162">
        <v>5.878745107978043E-2</v>
      </c>
      <c r="J162" t="s">
        <v>6</v>
      </c>
      <c r="L162" t="s">
        <v>270</v>
      </c>
      <c r="M162" t="s">
        <v>15</v>
      </c>
      <c r="N162">
        <v>7.4248955287409324E-2</v>
      </c>
      <c r="O162" t="s">
        <v>6</v>
      </c>
    </row>
    <row r="163" spans="2:15" x14ac:dyDescent="0.45">
      <c r="B163" t="s">
        <v>268</v>
      </c>
      <c r="C163" t="s">
        <v>16</v>
      </c>
      <c r="D163">
        <v>2.1611096606231388E-2</v>
      </c>
      <c r="E163" t="s">
        <v>6</v>
      </c>
      <c r="G163" t="s">
        <v>269</v>
      </c>
      <c r="H163" t="s">
        <v>16</v>
      </c>
      <c r="I163">
        <v>2.9936386123359696E-2</v>
      </c>
      <c r="J163" t="s">
        <v>6</v>
      </c>
      <c r="L163" t="s">
        <v>270</v>
      </c>
      <c r="M163" t="s">
        <v>16</v>
      </c>
      <c r="N163">
        <v>4.4804910529935293E-2</v>
      </c>
      <c r="O163" t="s">
        <v>6</v>
      </c>
    </row>
    <row r="164" spans="2:15" x14ac:dyDescent="0.45">
      <c r="B164" t="s">
        <v>268</v>
      </c>
      <c r="C164" t="s">
        <v>17</v>
      </c>
      <c r="D164">
        <v>3.6552777527037187E-4</v>
      </c>
      <c r="E164" t="s">
        <v>6</v>
      </c>
      <c r="G164" t="s">
        <v>269</v>
      </c>
      <c r="H164" t="s">
        <v>17</v>
      </c>
      <c r="I164">
        <v>9.2980556791691982E-2</v>
      </c>
      <c r="J164" t="s">
        <v>6</v>
      </c>
      <c r="L164" t="s">
        <v>270</v>
      </c>
      <c r="M164" t="s">
        <v>17</v>
      </c>
      <c r="N164">
        <v>8.5434993096416251E-2</v>
      </c>
      <c r="O164" t="s">
        <v>6</v>
      </c>
    </row>
    <row r="165" spans="2:15" x14ac:dyDescent="0.45">
      <c r="B165" t="s">
        <v>268</v>
      </c>
      <c r="C165" t="s">
        <v>18</v>
      </c>
      <c r="D165">
        <v>0.16290505926619114</v>
      </c>
      <c r="E165" t="s">
        <v>6</v>
      </c>
      <c r="G165" t="s">
        <v>269</v>
      </c>
      <c r="H165" t="s">
        <v>18</v>
      </c>
      <c r="I165">
        <v>0.11872908253966781</v>
      </c>
      <c r="J165" t="s">
        <v>6</v>
      </c>
      <c r="L165" t="s">
        <v>270</v>
      </c>
      <c r="M165" t="s">
        <v>18</v>
      </c>
      <c r="N165">
        <v>0.10983927017551545</v>
      </c>
      <c r="O165" t="s">
        <v>6</v>
      </c>
    </row>
    <row r="166" spans="2:15" x14ac:dyDescent="0.45">
      <c r="B166" t="s">
        <v>268</v>
      </c>
      <c r="C166" t="s">
        <v>19</v>
      </c>
      <c r="D166">
        <v>1.2941104568626116E-3</v>
      </c>
      <c r="E166" t="s">
        <v>6</v>
      </c>
      <c r="G166" t="s">
        <v>269</v>
      </c>
      <c r="H166" t="s">
        <v>19</v>
      </c>
      <c r="I166">
        <v>7.0907206918802715E-2</v>
      </c>
      <c r="J166" t="s">
        <v>6</v>
      </c>
      <c r="L166" t="s">
        <v>270</v>
      </c>
      <c r="M166" t="s">
        <v>19</v>
      </c>
      <c r="N166">
        <v>6.4396720022417017E-2</v>
      </c>
      <c r="O166" t="s">
        <v>6</v>
      </c>
    </row>
    <row r="167" spans="2:15" x14ac:dyDescent="0.45">
      <c r="B167" t="s">
        <v>271</v>
      </c>
      <c r="C167" t="s">
        <v>5</v>
      </c>
      <c r="D167">
        <v>0</v>
      </c>
      <c r="E167" t="s">
        <v>6</v>
      </c>
      <c r="G167" t="s">
        <v>272</v>
      </c>
      <c r="H167" t="s">
        <v>5</v>
      </c>
      <c r="I167">
        <v>0.10646570176100122</v>
      </c>
      <c r="J167" t="s">
        <v>6</v>
      </c>
      <c r="L167" t="s">
        <v>273</v>
      </c>
      <c r="M167" t="s">
        <v>5</v>
      </c>
      <c r="N167">
        <v>9.3933971332349778E-2</v>
      </c>
      <c r="O167" t="s">
        <v>6</v>
      </c>
    </row>
    <row r="168" spans="2:15" x14ac:dyDescent="0.45">
      <c r="B168" t="s">
        <v>271</v>
      </c>
      <c r="C168" t="s">
        <v>9</v>
      </c>
      <c r="D168">
        <v>0.10688078933865446</v>
      </c>
      <c r="E168" t="s">
        <v>6</v>
      </c>
      <c r="G168" t="s">
        <v>272</v>
      </c>
      <c r="H168" t="s">
        <v>9</v>
      </c>
      <c r="I168">
        <v>0.13117093077066552</v>
      </c>
      <c r="J168" t="s">
        <v>6</v>
      </c>
      <c r="L168" t="s">
        <v>273</v>
      </c>
      <c r="M168" t="s">
        <v>9</v>
      </c>
      <c r="N168">
        <v>0.12316801545808828</v>
      </c>
      <c r="O168" t="s">
        <v>6</v>
      </c>
    </row>
    <row r="169" spans="2:15" x14ac:dyDescent="0.45">
      <c r="B169" t="s">
        <v>271</v>
      </c>
      <c r="C169" t="s">
        <v>10</v>
      </c>
      <c r="D169">
        <v>1.6983182805886073E-5</v>
      </c>
      <c r="E169" t="s">
        <v>6</v>
      </c>
      <c r="G169" t="s">
        <v>272</v>
      </c>
      <c r="H169" t="s">
        <v>10</v>
      </c>
      <c r="I169">
        <v>8.1781777488333027E-2</v>
      </c>
      <c r="J169" t="s">
        <v>6</v>
      </c>
      <c r="L169" t="s">
        <v>273</v>
      </c>
      <c r="M169" t="s">
        <v>10</v>
      </c>
      <c r="N169">
        <v>7.3208128187010432E-2</v>
      </c>
      <c r="O169" t="s">
        <v>6</v>
      </c>
    </row>
    <row r="170" spans="2:15" x14ac:dyDescent="0.45">
      <c r="B170" t="s">
        <v>271</v>
      </c>
      <c r="C170" t="s">
        <v>11</v>
      </c>
      <c r="D170">
        <v>6.276585890061242E-3</v>
      </c>
      <c r="E170" t="s">
        <v>6</v>
      </c>
      <c r="G170" t="s">
        <v>272</v>
      </c>
      <c r="H170" t="s">
        <v>11</v>
      </c>
      <c r="I170">
        <v>8.5167162999679843E-2</v>
      </c>
      <c r="J170" t="s">
        <v>6</v>
      </c>
      <c r="L170" t="s">
        <v>273</v>
      </c>
      <c r="M170" t="s">
        <v>11</v>
      </c>
      <c r="N170">
        <v>8.3794859528640381E-2</v>
      </c>
      <c r="O170" t="s">
        <v>6</v>
      </c>
    </row>
    <row r="171" spans="2:15" x14ac:dyDescent="0.45">
      <c r="B171" t="s">
        <v>271</v>
      </c>
      <c r="C171" t="s">
        <v>12</v>
      </c>
      <c r="D171">
        <v>0.34374547320654558</v>
      </c>
      <c r="E171" t="s">
        <v>6</v>
      </c>
      <c r="G171" t="s">
        <v>272</v>
      </c>
      <c r="H171" t="s">
        <v>12</v>
      </c>
      <c r="I171">
        <v>0.11851494378527599</v>
      </c>
      <c r="J171" t="s">
        <v>6</v>
      </c>
      <c r="L171" t="s">
        <v>273</v>
      </c>
      <c r="M171" t="s">
        <v>12</v>
      </c>
      <c r="N171">
        <v>0.10700525935221268</v>
      </c>
      <c r="O171" t="s">
        <v>6</v>
      </c>
    </row>
    <row r="172" spans="2:15" x14ac:dyDescent="0.45">
      <c r="B172" t="s">
        <v>271</v>
      </c>
      <c r="C172" t="s">
        <v>13</v>
      </c>
      <c r="D172">
        <v>1.2274020901785129E-2</v>
      </c>
      <c r="E172" t="s">
        <v>6</v>
      </c>
      <c r="G172" t="s">
        <v>272</v>
      </c>
      <c r="H172" t="s">
        <v>13</v>
      </c>
      <c r="I172">
        <v>6.5712273844421187E-2</v>
      </c>
      <c r="J172" t="s">
        <v>6</v>
      </c>
      <c r="L172" t="s">
        <v>273</v>
      </c>
      <c r="M172" t="s">
        <v>13</v>
      </c>
      <c r="N172">
        <v>6.2155306799696962E-2</v>
      </c>
      <c r="O172" t="s">
        <v>6</v>
      </c>
    </row>
    <row r="173" spans="2:15" x14ac:dyDescent="0.45">
      <c r="B173" t="s">
        <v>271</v>
      </c>
      <c r="C173" t="s">
        <v>14</v>
      </c>
      <c r="D173">
        <v>1.0760264829454406E-2</v>
      </c>
      <c r="E173" t="s">
        <v>6</v>
      </c>
      <c r="G173" t="s">
        <v>272</v>
      </c>
      <c r="H173" t="s">
        <v>14</v>
      </c>
      <c r="I173">
        <v>4.2590582225154765E-2</v>
      </c>
      <c r="J173" t="s">
        <v>6</v>
      </c>
      <c r="L173" t="s">
        <v>273</v>
      </c>
      <c r="M173" t="s">
        <v>14</v>
      </c>
      <c r="N173">
        <v>7.2290006938756951E-2</v>
      </c>
      <c r="O173" t="s">
        <v>6</v>
      </c>
    </row>
    <row r="174" spans="2:15" x14ac:dyDescent="0.45">
      <c r="B174" t="s">
        <v>271</v>
      </c>
      <c r="C174" t="s">
        <v>15</v>
      </c>
      <c r="D174">
        <v>0.33454812500317582</v>
      </c>
      <c r="E174" t="s">
        <v>6</v>
      </c>
      <c r="G174" t="s">
        <v>272</v>
      </c>
      <c r="H174" t="s">
        <v>15</v>
      </c>
      <c r="I174">
        <v>6.5689726619370559E-2</v>
      </c>
      <c r="J174" t="s">
        <v>6</v>
      </c>
      <c r="L174" t="s">
        <v>273</v>
      </c>
      <c r="M174" t="s">
        <v>15</v>
      </c>
      <c r="N174">
        <v>9.2637069687905527E-2</v>
      </c>
      <c r="O174" t="s">
        <v>6</v>
      </c>
    </row>
    <row r="175" spans="2:15" x14ac:dyDescent="0.45">
      <c r="B175" t="s">
        <v>271</v>
      </c>
      <c r="C175" t="s">
        <v>16</v>
      </c>
      <c r="D175">
        <v>2.064022801149254E-2</v>
      </c>
      <c r="E175" t="s">
        <v>6</v>
      </c>
      <c r="G175" t="s">
        <v>272</v>
      </c>
      <c r="H175" t="s">
        <v>16</v>
      </c>
      <c r="I175">
        <v>3.5072418517279144E-2</v>
      </c>
      <c r="J175" t="s">
        <v>6</v>
      </c>
      <c r="L175" t="s">
        <v>273</v>
      </c>
      <c r="M175" t="s">
        <v>16</v>
      </c>
      <c r="N175">
        <v>5.5863151679260488E-2</v>
      </c>
      <c r="O175" t="s">
        <v>6</v>
      </c>
    </row>
    <row r="176" spans="2:15" x14ac:dyDescent="0.45">
      <c r="B176" t="s">
        <v>271</v>
      </c>
      <c r="C176" t="s">
        <v>17</v>
      </c>
      <c r="D176">
        <v>4.1291635549503959E-4</v>
      </c>
      <c r="E176" t="s">
        <v>6</v>
      </c>
      <c r="G176" t="s">
        <v>272</v>
      </c>
      <c r="H176" t="s">
        <v>17</v>
      </c>
      <c r="I176">
        <v>8.6141439872525538E-2</v>
      </c>
      <c r="J176" t="s">
        <v>6</v>
      </c>
      <c r="L176" t="s">
        <v>273</v>
      </c>
      <c r="M176" t="s">
        <v>17</v>
      </c>
      <c r="N176">
        <v>7.7649511454217904E-2</v>
      </c>
      <c r="O176" t="s">
        <v>6</v>
      </c>
    </row>
    <row r="177" spans="2:15" x14ac:dyDescent="0.45">
      <c r="B177" t="s">
        <v>271</v>
      </c>
      <c r="C177" t="s">
        <v>18</v>
      </c>
      <c r="D177">
        <v>0.16314418271075257</v>
      </c>
      <c r="E177" t="s">
        <v>6</v>
      </c>
      <c r="G177" t="s">
        <v>272</v>
      </c>
      <c r="H177" t="s">
        <v>18</v>
      </c>
      <c r="I177">
        <v>0.11414928503246037</v>
      </c>
      <c r="J177" t="s">
        <v>6</v>
      </c>
      <c r="L177" t="s">
        <v>273</v>
      </c>
      <c r="M177" t="s">
        <v>18</v>
      </c>
      <c r="N177">
        <v>9.8988820799953581E-2</v>
      </c>
      <c r="O177" t="s">
        <v>6</v>
      </c>
    </row>
    <row r="178" spans="2:15" x14ac:dyDescent="0.45">
      <c r="B178" t="s">
        <v>271</v>
      </c>
      <c r="C178" t="s">
        <v>19</v>
      </c>
      <c r="D178">
        <v>1.3004305697769454E-3</v>
      </c>
      <c r="E178" t="s">
        <v>6</v>
      </c>
      <c r="G178" t="s">
        <v>272</v>
      </c>
      <c r="H178" t="s">
        <v>19</v>
      </c>
      <c r="I178">
        <v>6.7543757083832548E-2</v>
      </c>
      <c r="J178" t="s">
        <v>6</v>
      </c>
      <c r="L178" t="s">
        <v>273</v>
      </c>
      <c r="M178" t="s">
        <v>19</v>
      </c>
      <c r="N178">
        <v>5.9305898781903593E-2</v>
      </c>
      <c r="O178" t="s">
        <v>6</v>
      </c>
    </row>
    <row r="179" spans="2:15" x14ac:dyDescent="0.45">
      <c r="B179" t="s">
        <v>274</v>
      </c>
      <c r="C179" t="s">
        <v>5</v>
      </c>
      <c r="D179">
        <v>0</v>
      </c>
      <c r="E179" t="s">
        <v>6</v>
      </c>
      <c r="G179" t="s">
        <v>275</v>
      </c>
      <c r="H179" t="s">
        <v>5</v>
      </c>
      <c r="I179">
        <v>0.10476857207319515</v>
      </c>
      <c r="J179" t="s">
        <v>6</v>
      </c>
      <c r="L179" t="s">
        <v>276</v>
      </c>
      <c r="M179" t="s">
        <v>5</v>
      </c>
      <c r="N179">
        <v>9.8737399807657916E-2</v>
      </c>
      <c r="O179" t="s">
        <v>6</v>
      </c>
    </row>
    <row r="180" spans="2:15" x14ac:dyDescent="0.45">
      <c r="B180" t="s">
        <v>274</v>
      </c>
      <c r="C180" t="s">
        <v>9</v>
      </c>
      <c r="D180">
        <v>0.11519144044219884</v>
      </c>
      <c r="E180" t="s">
        <v>6</v>
      </c>
      <c r="G180" t="s">
        <v>275</v>
      </c>
      <c r="H180" t="s">
        <v>9</v>
      </c>
      <c r="I180">
        <v>0.13071076375427496</v>
      </c>
      <c r="J180" t="s">
        <v>6</v>
      </c>
      <c r="L180" t="s">
        <v>276</v>
      </c>
      <c r="M180" t="s">
        <v>9</v>
      </c>
      <c r="N180">
        <v>0.12449750035683303</v>
      </c>
      <c r="O180" t="s">
        <v>6</v>
      </c>
    </row>
    <row r="181" spans="2:15" x14ac:dyDescent="0.45">
      <c r="B181" t="s">
        <v>274</v>
      </c>
      <c r="C181" t="s">
        <v>10</v>
      </c>
      <c r="D181">
        <v>1.7524842800401226E-5</v>
      </c>
      <c r="E181" t="s">
        <v>6</v>
      </c>
      <c r="G181" t="s">
        <v>275</v>
      </c>
      <c r="H181" t="s">
        <v>10</v>
      </c>
      <c r="I181">
        <v>8.1839153966589834E-2</v>
      </c>
      <c r="J181" t="s">
        <v>6</v>
      </c>
      <c r="L181" t="s">
        <v>276</v>
      </c>
      <c r="M181" t="s">
        <v>10</v>
      </c>
      <c r="N181">
        <v>7.6181930851087459E-2</v>
      </c>
      <c r="O181" t="s">
        <v>6</v>
      </c>
    </row>
    <row r="182" spans="2:15" x14ac:dyDescent="0.45">
      <c r="B182" t="s">
        <v>274</v>
      </c>
      <c r="C182" t="s">
        <v>11</v>
      </c>
      <c r="D182">
        <v>6.565222381374046E-3</v>
      </c>
      <c r="E182" t="s">
        <v>6</v>
      </c>
      <c r="G182" t="s">
        <v>275</v>
      </c>
      <c r="H182" t="s">
        <v>11</v>
      </c>
      <c r="I182">
        <v>8.1631465168741632E-2</v>
      </c>
      <c r="J182" t="s">
        <v>6</v>
      </c>
      <c r="L182" t="s">
        <v>276</v>
      </c>
      <c r="M182" t="s">
        <v>11</v>
      </c>
      <c r="N182">
        <v>8.1521462309263312E-2</v>
      </c>
      <c r="O182" t="s">
        <v>6</v>
      </c>
    </row>
    <row r="183" spans="2:15" x14ac:dyDescent="0.45">
      <c r="B183" t="s">
        <v>274</v>
      </c>
      <c r="C183" t="s">
        <v>12</v>
      </c>
      <c r="D183">
        <v>0.3223887755554774</v>
      </c>
      <c r="E183" t="s">
        <v>6</v>
      </c>
      <c r="G183" t="s">
        <v>275</v>
      </c>
      <c r="H183" t="s">
        <v>12</v>
      </c>
      <c r="I183">
        <v>0.12258993489056143</v>
      </c>
      <c r="J183" t="s">
        <v>6</v>
      </c>
      <c r="L183" t="s">
        <v>276</v>
      </c>
      <c r="M183" t="s">
        <v>12</v>
      </c>
      <c r="N183">
        <v>0.104820064247512</v>
      </c>
      <c r="O183" t="s">
        <v>6</v>
      </c>
    </row>
    <row r="184" spans="2:15" x14ac:dyDescent="0.45">
      <c r="B184" t="s">
        <v>274</v>
      </c>
      <c r="C184" t="s">
        <v>13</v>
      </c>
      <c r="D184">
        <v>1.084699297757352E-2</v>
      </c>
      <c r="E184" t="s">
        <v>6</v>
      </c>
      <c r="G184" t="s">
        <v>275</v>
      </c>
      <c r="H184" t="s">
        <v>13</v>
      </c>
      <c r="I184">
        <v>6.2638857220640345E-2</v>
      </c>
      <c r="J184" t="s">
        <v>6</v>
      </c>
      <c r="L184" t="s">
        <v>276</v>
      </c>
      <c r="M184" t="s">
        <v>13</v>
      </c>
      <c r="N184">
        <v>6.1500584074888315E-2</v>
      </c>
      <c r="O184" t="s">
        <v>6</v>
      </c>
    </row>
    <row r="185" spans="2:15" x14ac:dyDescent="0.45">
      <c r="B185" t="s">
        <v>274</v>
      </c>
      <c r="C185" t="s">
        <v>14</v>
      </c>
      <c r="D185">
        <v>1.1350178658779204E-2</v>
      </c>
      <c r="E185" t="s">
        <v>6</v>
      </c>
      <c r="G185" t="s">
        <v>275</v>
      </c>
      <c r="H185" t="s">
        <v>14</v>
      </c>
      <c r="I185">
        <v>3.9283715914969208E-2</v>
      </c>
      <c r="J185" t="s">
        <v>6</v>
      </c>
      <c r="L185" t="s">
        <v>276</v>
      </c>
      <c r="M185" t="s">
        <v>14</v>
      </c>
      <c r="N185">
        <v>6.7772815362802316E-2</v>
      </c>
      <c r="O185" t="s">
        <v>6</v>
      </c>
    </row>
    <row r="186" spans="2:15" x14ac:dyDescent="0.45">
      <c r="B186" t="s">
        <v>274</v>
      </c>
      <c r="C186" t="s">
        <v>15</v>
      </c>
      <c r="D186">
        <v>0.33690172602462803</v>
      </c>
      <c r="E186" t="s">
        <v>6</v>
      </c>
      <c r="G186" t="s">
        <v>275</v>
      </c>
      <c r="H186" t="s">
        <v>15</v>
      </c>
      <c r="I186">
        <v>6.6861562142689832E-2</v>
      </c>
      <c r="J186" t="s">
        <v>6</v>
      </c>
      <c r="L186" t="s">
        <v>276</v>
      </c>
      <c r="M186" t="s">
        <v>15</v>
      </c>
      <c r="N186">
        <v>8.2827114960496107E-2</v>
      </c>
      <c r="O186" t="s">
        <v>6</v>
      </c>
    </row>
    <row r="187" spans="2:15" x14ac:dyDescent="0.45">
      <c r="B187" t="s">
        <v>274</v>
      </c>
      <c r="C187" t="s">
        <v>16</v>
      </c>
      <c r="D187">
        <v>1.9636118792564997E-2</v>
      </c>
      <c r="E187" t="s">
        <v>6</v>
      </c>
      <c r="G187" t="s">
        <v>275</v>
      </c>
      <c r="H187" t="s">
        <v>16</v>
      </c>
      <c r="I187">
        <v>3.4146617269480505E-2</v>
      </c>
      <c r="J187" t="s">
        <v>6</v>
      </c>
      <c r="L187" t="s">
        <v>276</v>
      </c>
      <c r="M187" t="s">
        <v>16</v>
      </c>
      <c r="N187">
        <v>5.0311100450199299E-2</v>
      </c>
      <c r="O187" t="s">
        <v>6</v>
      </c>
    </row>
    <row r="188" spans="2:15" x14ac:dyDescent="0.45">
      <c r="B188" t="s">
        <v>274</v>
      </c>
      <c r="C188" t="s">
        <v>17</v>
      </c>
      <c r="D188">
        <v>5.7544918809105533E-4</v>
      </c>
      <c r="E188" t="s">
        <v>6</v>
      </c>
      <c r="G188" t="s">
        <v>275</v>
      </c>
      <c r="H188" t="s">
        <v>17</v>
      </c>
      <c r="I188">
        <v>8.8482230370283674E-2</v>
      </c>
      <c r="J188" t="s">
        <v>6</v>
      </c>
      <c r="L188" t="s">
        <v>276</v>
      </c>
      <c r="M188" t="s">
        <v>17</v>
      </c>
      <c r="N188">
        <v>8.3374530393433288E-2</v>
      </c>
      <c r="O188" t="s">
        <v>6</v>
      </c>
    </row>
    <row r="189" spans="2:15" x14ac:dyDescent="0.45">
      <c r="B189" t="s">
        <v>274</v>
      </c>
      <c r="C189" t="s">
        <v>18</v>
      </c>
      <c r="D189">
        <v>0.17528444813114236</v>
      </c>
      <c r="E189" t="s">
        <v>6</v>
      </c>
      <c r="G189" t="s">
        <v>275</v>
      </c>
      <c r="H189" t="s">
        <v>18</v>
      </c>
      <c r="I189">
        <v>0.11693666120134337</v>
      </c>
      <c r="J189" t="s">
        <v>6</v>
      </c>
      <c r="L189" t="s">
        <v>276</v>
      </c>
      <c r="M189" t="s">
        <v>18</v>
      </c>
      <c r="N189">
        <v>0.10601984195514243</v>
      </c>
      <c r="O189" t="s">
        <v>6</v>
      </c>
    </row>
    <row r="190" spans="2:15" x14ac:dyDescent="0.45">
      <c r="B190" t="s">
        <v>274</v>
      </c>
      <c r="C190" t="s">
        <v>19</v>
      </c>
      <c r="D190">
        <v>1.2421230053701051E-3</v>
      </c>
      <c r="E190" t="s">
        <v>6</v>
      </c>
      <c r="G190" t="s">
        <v>275</v>
      </c>
      <c r="H190" t="s">
        <v>19</v>
      </c>
      <c r="I190">
        <v>7.0110466027229951E-2</v>
      </c>
      <c r="J190" t="s">
        <v>6</v>
      </c>
      <c r="L190" t="s">
        <v>276</v>
      </c>
      <c r="M190" t="s">
        <v>19</v>
      </c>
      <c r="N190">
        <v>6.2435655230681397E-2</v>
      </c>
      <c r="O190" t="s">
        <v>6</v>
      </c>
    </row>
    <row r="191" spans="2:15" x14ac:dyDescent="0.45">
      <c r="B191" t="s">
        <v>277</v>
      </c>
      <c r="C191" t="s">
        <v>5</v>
      </c>
      <c r="D191">
        <v>0</v>
      </c>
      <c r="E191" t="s">
        <v>6</v>
      </c>
      <c r="G191" t="s">
        <v>278</v>
      </c>
      <c r="H191" t="s">
        <v>5</v>
      </c>
      <c r="I191">
        <v>0.11150347405535929</v>
      </c>
      <c r="J191" t="s">
        <v>6</v>
      </c>
      <c r="L191" t="s">
        <v>279</v>
      </c>
      <c r="M191" t="s">
        <v>5</v>
      </c>
      <c r="N191">
        <v>0.10208218812009448</v>
      </c>
      <c r="O191" t="s">
        <v>6</v>
      </c>
    </row>
    <row r="192" spans="2:15" x14ac:dyDescent="0.45">
      <c r="B192" t="s">
        <v>277</v>
      </c>
      <c r="C192" t="s">
        <v>9</v>
      </c>
      <c r="D192">
        <v>0.12094384062364716</v>
      </c>
      <c r="E192" t="s">
        <v>6</v>
      </c>
      <c r="G192" t="s">
        <v>278</v>
      </c>
      <c r="H192" t="s">
        <v>9</v>
      </c>
      <c r="I192">
        <v>0.13410474179771015</v>
      </c>
      <c r="J192" t="s">
        <v>6</v>
      </c>
      <c r="L192" t="s">
        <v>279</v>
      </c>
      <c r="M192" t="s">
        <v>9</v>
      </c>
      <c r="N192">
        <v>0.12595616625359371</v>
      </c>
      <c r="O192" t="s">
        <v>6</v>
      </c>
    </row>
    <row r="193" spans="2:15" x14ac:dyDescent="0.45">
      <c r="B193" t="s">
        <v>277</v>
      </c>
      <c r="C193" t="s">
        <v>10</v>
      </c>
      <c r="D193">
        <v>1.8326686128201765E-4</v>
      </c>
      <c r="E193" t="s">
        <v>6</v>
      </c>
      <c r="G193" t="s">
        <v>278</v>
      </c>
      <c r="H193" t="s">
        <v>10</v>
      </c>
      <c r="I193">
        <v>8.3441824798882458E-2</v>
      </c>
      <c r="J193" t="s">
        <v>6</v>
      </c>
      <c r="L193" t="s">
        <v>279</v>
      </c>
      <c r="M193" t="s">
        <v>10</v>
      </c>
      <c r="N193">
        <v>7.5070680260369005E-2</v>
      </c>
      <c r="O193" t="s">
        <v>6</v>
      </c>
    </row>
    <row r="194" spans="2:15" x14ac:dyDescent="0.45">
      <c r="B194" t="s">
        <v>277</v>
      </c>
      <c r="C194" t="s">
        <v>11</v>
      </c>
      <c r="D194">
        <v>5.581221605550777E-3</v>
      </c>
      <c r="E194" t="s">
        <v>6</v>
      </c>
      <c r="G194" t="s">
        <v>278</v>
      </c>
      <c r="H194" t="s">
        <v>11</v>
      </c>
      <c r="I194">
        <v>7.8864276062932434E-2</v>
      </c>
      <c r="J194" t="s">
        <v>6</v>
      </c>
      <c r="L194" t="s">
        <v>279</v>
      </c>
      <c r="M194" t="s">
        <v>11</v>
      </c>
      <c r="N194">
        <v>7.5276860052572447E-2</v>
      </c>
      <c r="O194" t="s">
        <v>6</v>
      </c>
    </row>
    <row r="195" spans="2:15" x14ac:dyDescent="0.45">
      <c r="B195" t="s">
        <v>277</v>
      </c>
      <c r="C195" t="s">
        <v>12</v>
      </c>
      <c r="D195">
        <v>0.31752056991598981</v>
      </c>
      <c r="E195" t="s">
        <v>6</v>
      </c>
      <c r="G195" t="s">
        <v>278</v>
      </c>
      <c r="H195" t="s">
        <v>12</v>
      </c>
      <c r="I195">
        <v>0.12340824863797824</v>
      </c>
      <c r="J195" t="s">
        <v>6</v>
      </c>
      <c r="L195" t="s">
        <v>279</v>
      </c>
      <c r="M195" t="s">
        <v>12</v>
      </c>
      <c r="N195">
        <v>9.8796652519396358E-2</v>
      </c>
      <c r="O195" t="s">
        <v>6</v>
      </c>
    </row>
    <row r="196" spans="2:15" x14ac:dyDescent="0.45">
      <c r="B196" t="s">
        <v>277</v>
      </c>
      <c r="C196" t="s">
        <v>13</v>
      </c>
      <c r="D196">
        <v>1.1846471135399507E-2</v>
      </c>
      <c r="E196" t="s">
        <v>6</v>
      </c>
      <c r="G196" t="s">
        <v>278</v>
      </c>
      <c r="H196" t="s">
        <v>13</v>
      </c>
      <c r="I196">
        <v>6.4915262142715716E-2</v>
      </c>
      <c r="J196" t="s">
        <v>6</v>
      </c>
      <c r="L196" t="s">
        <v>279</v>
      </c>
      <c r="M196" t="s">
        <v>13</v>
      </c>
      <c r="N196">
        <v>5.996251132537754E-2</v>
      </c>
      <c r="O196" t="s">
        <v>6</v>
      </c>
    </row>
    <row r="197" spans="2:15" x14ac:dyDescent="0.45">
      <c r="B197" t="s">
        <v>277</v>
      </c>
      <c r="C197" t="s">
        <v>14</v>
      </c>
      <c r="D197">
        <v>9.65418944091293E-3</v>
      </c>
      <c r="E197" t="s">
        <v>6</v>
      </c>
      <c r="G197" t="s">
        <v>278</v>
      </c>
      <c r="H197" t="s">
        <v>14</v>
      </c>
      <c r="I197">
        <v>3.5340323293811683E-2</v>
      </c>
      <c r="J197" t="s">
        <v>6</v>
      </c>
      <c r="L197" t="s">
        <v>279</v>
      </c>
      <c r="M197" t="s">
        <v>14</v>
      </c>
      <c r="N197">
        <v>7.0999929919835003E-2</v>
      </c>
      <c r="O197" t="s">
        <v>6</v>
      </c>
    </row>
    <row r="198" spans="2:15" x14ac:dyDescent="0.45">
      <c r="B198" t="s">
        <v>277</v>
      </c>
      <c r="C198" t="s">
        <v>15</v>
      </c>
      <c r="D198">
        <v>0.33437229951442549</v>
      </c>
      <c r="E198" t="s">
        <v>6</v>
      </c>
      <c r="G198" t="s">
        <v>278</v>
      </c>
      <c r="H198" t="s">
        <v>15</v>
      </c>
      <c r="I198">
        <v>7.0378935312699079E-2</v>
      </c>
      <c r="J198" t="s">
        <v>6</v>
      </c>
      <c r="L198" t="s">
        <v>279</v>
      </c>
      <c r="M198" t="s">
        <v>15</v>
      </c>
      <c r="N198">
        <v>8.8891539262776653E-2</v>
      </c>
      <c r="O198" t="s">
        <v>6</v>
      </c>
    </row>
    <row r="199" spans="2:15" x14ac:dyDescent="0.45">
      <c r="B199" t="s">
        <v>277</v>
      </c>
      <c r="C199" t="s">
        <v>16</v>
      </c>
      <c r="D199">
        <v>1.9620896123450825E-2</v>
      </c>
      <c r="E199" t="s">
        <v>6</v>
      </c>
      <c r="G199" t="s">
        <v>278</v>
      </c>
      <c r="H199" t="s">
        <v>16</v>
      </c>
      <c r="I199">
        <v>3.2452805952869916E-2</v>
      </c>
      <c r="J199" t="s">
        <v>6</v>
      </c>
      <c r="L199" t="s">
        <v>279</v>
      </c>
      <c r="M199" t="s">
        <v>16</v>
      </c>
      <c r="N199">
        <v>5.2771403766155835E-2</v>
      </c>
      <c r="O199" t="s">
        <v>6</v>
      </c>
    </row>
    <row r="200" spans="2:15" x14ac:dyDescent="0.45">
      <c r="B200" t="s">
        <v>277</v>
      </c>
      <c r="C200" t="s">
        <v>17</v>
      </c>
      <c r="D200">
        <v>4.0000632514293537E-4</v>
      </c>
      <c r="E200" t="s">
        <v>6</v>
      </c>
      <c r="G200" t="s">
        <v>278</v>
      </c>
      <c r="H200" t="s">
        <v>17</v>
      </c>
      <c r="I200">
        <v>8.2378230615165665E-2</v>
      </c>
      <c r="J200" t="s">
        <v>6</v>
      </c>
      <c r="L200" t="s">
        <v>279</v>
      </c>
      <c r="M200" t="s">
        <v>17</v>
      </c>
      <c r="N200">
        <v>8.4140203262055568E-2</v>
      </c>
      <c r="O200" t="s">
        <v>6</v>
      </c>
    </row>
    <row r="201" spans="2:15" x14ac:dyDescent="0.45">
      <c r="B201" t="s">
        <v>277</v>
      </c>
      <c r="C201" t="s">
        <v>18</v>
      </c>
      <c r="D201">
        <v>0.17849335447990936</v>
      </c>
      <c r="E201" t="s">
        <v>6</v>
      </c>
      <c r="G201" t="s">
        <v>278</v>
      </c>
      <c r="H201" t="s">
        <v>18</v>
      </c>
      <c r="I201">
        <v>0.11951010851989211</v>
      </c>
      <c r="J201" t="s">
        <v>6</v>
      </c>
      <c r="L201" t="s">
        <v>279</v>
      </c>
      <c r="M201" t="s">
        <v>18</v>
      </c>
      <c r="N201">
        <v>0.10190978934102066</v>
      </c>
      <c r="O201" t="s">
        <v>6</v>
      </c>
    </row>
    <row r="202" spans="2:15" x14ac:dyDescent="0.45">
      <c r="B202" t="s">
        <v>277</v>
      </c>
      <c r="C202" t="s">
        <v>19</v>
      </c>
      <c r="D202">
        <v>1.383883974289337E-3</v>
      </c>
      <c r="E202" t="s">
        <v>6</v>
      </c>
      <c r="G202" t="s">
        <v>278</v>
      </c>
      <c r="H202" t="s">
        <v>19</v>
      </c>
      <c r="I202">
        <v>6.3701768809983336E-2</v>
      </c>
      <c r="J202" t="s">
        <v>6</v>
      </c>
      <c r="L202" t="s">
        <v>279</v>
      </c>
      <c r="M202" t="s">
        <v>19</v>
      </c>
      <c r="N202">
        <v>6.414207591675411E-2</v>
      </c>
      <c r="O202" t="s">
        <v>6</v>
      </c>
    </row>
    <row r="203" spans="2:15" x14ac:dyDescent="0.45">
      <c r="B203" t="s">
        <v>280</v>
      </c>
      <c r="C203" t="s">
        <v>5</v>
      </c>
      <c r="D203">
        <v>0</v>
      </c>
      <c r="E203" t="s">
        <v>6</v>
      </c>
      <c r="G203" t="s">
        <v>281</v>
      </c>
      <c r="H203" t="s">
        <v>5</v>
      </c>
      <c r="I203">
        <v>0.11100990696204439</v>
      </c>
      <c r="J203" t="s">
        <v>6</v>
      </c>
      <c r="L203" t="s">
        <v>282</v>
      </c>
      <c r="M203" t="s">
        <v>5</v>
      </c>
      <c r="N203">
        <v>0.10256462848507113</v>
      </c>
      <c r="O203" t="s">
        <v>6</v>
      </c>
    </row>
    <row r="204" spans="2:15" x14ac:dyDescent="0.45">
      <c r="B204" t="s">
        <v>280</v>
      </c>
      <c r="C204" t="s">
        <v>9</v>
      </c>
      <c r="D204">
        <v>0.12238881078940489</v>
      </c>
      <c r="E204" t="s">
        <v>6</v>
      </c>
      <c r="G204" t="s">
        <v>281</v>
      </c>
      <c r="H204" t="s">
        <v>9</v>
      </c>
      <c r="I204">
        <v>0.13032738809343894</v>
      </c>
      <c r="J204" t="s">
        <v>6</v>
      </c>
      <c r="L204" t="s">
        <v>282</v>
      </c>
      <c r="M204" t="s">
        <v>9</v>
      </c>
      <c r="N204">
        <v>0.12384859021459935</v>
      </c>
      <c r="O204" t="s">
        <v>6</v>
      </c>
    </row>
    <row r="205" spans="2:15" x14ac:dyDescent="0.45">
      <c r="B205" t="s">
        <v>280</v>
      </c>
      <c r="C205" t="s">
        <v>10</v>
      </c>
      <c r="D205">
        <v>1.4596485168246465E-5</v>
      </c>
      <c r="E205" t="s">
        <v>6</v>
      </c>
      <c r="G205" t="s">
        <v>281</v>
      </c>
      <c r="H205" t="s">
        <v>10</v>
      </c>
      <c r="I205">
        <v>8.3329243723555019E-2</v>
      </c>
      <c r="J205" t="s">
        <v>6</v>
      </c>
      <c r="L205" t="s">
        <v>282</v>
      </c>
      <c r="M205" t="s">
        <v>10</v>
      </c>
      <c r="N205">
        <v>7.574655222938835E-2</v>
      </c>
      <c r="O205" t="s">
        <v>6</v>
      </c>
    </row>
    <row r="206" spans="2:15" x14ac:dyDescent="0.45">
      <c r="B206" t="s">
        <v>280</v>
      </c>
      <c r="C206" t="s">
        <v>11</v>
      </c>
      <c r="D206">
        <v>6.6059353110511547E-3</v>
      </c>
      <c r="E206" t="s">
        <v>6</v>
      </c>
      <c r="G206" t="s">
        <v>281</v>
      </c>
      <c r="H206" t="s">
        <v>11</v>
      </c>
      <c r="I206">
        <v>7.2491509634902404E-2</v>
      </c>
      <c r="J206" t="s">
        <v>6</v>
      </c>
      <c r="L206" t="s">
        <v>282</v>
      </c>
      <c r="M206" t="s">
        <v>11</v>
      </c>
      <c r="N206">
        <v>7.7885385150749623E-2</v>
      </c>
      <c r="O206" t="s">
        <v>6</v>
      </c>
    </row>
    <row r="207" spans="2:15" x14ac:dyDescent="0.45">
      <c r="B207" t="s">
        <v>280</v>
      </c>
      <c r="C207" t="s">
        <v>12</v>
      </c>
      <c r="D207">
        <v>0.31365150829667332</v>
      </c>
      <c r="E207" t="s">
        <v>6</v>
      </c>
      <c r="G207" t="s">
        <v>281</v>
      </c>
      <c r="H207" t="s">
        <v>12</v>
      </c>
      <c r="I207">
        <v>0.10910975949524042</v>
      </c>
      <c r="J207" t="s">
        <v>6</v>
      </c>
      <c r="L207" t="s">
        <v>282</v>
      </c>
      <c r="M207" t="s">
        <v>12</v>
      </c>
      <c r="N207">
        <v>0.10071477354444222</v>
      </c>
      <c r="O207" t="s">
        <v>6</v>
      </c>
    </row>
    <row r="208" spans="2:15" x14ac:dyDescent="0.45">
      <c r="B208" t="s">
        <v>280</v>
      </c>
      <c r="C208" t="s">
        <v>13</v>
      </c>
      <c r="D208">
        <v>1.0450654818037619E-2</v>
      </c>
      <c r="E208" t="s">
        <v>6</v>
      </c>
      <c r="G208" t="s">
        <v>281</v>
      </c>
      <c r="H208" t="s">
        <v>13</v>
      </c>
      <c r="I208">
        <v>6.1545119030795639E-2</v>
      </c>
      <c r="J208" t="s">
        <v>6</v>
      </c>
      <c r="L208" t="s">
        <v>282</v>
      </c>
      <c r="M208" t="s">
        <v>13</v>
      </c>
      <c r="N208">
        <v>6.0037957869064254E-2</v>
      </c>
      <c r="O208" t="s">
        <v>6</v>
      </c>
    </row>
    <row r="209" spans="2:15" x14ac:dyDescent="0.45">
      <c r="B209" t="s">
        <v>280</v>
      </c>
      <c r="C209" t="s">
        <v>14</v>
      </c>
      <c r="D209">
        <v>1.1260388843126599E-2</v>
      </c>
      <c r="E209" t="s">
        <v>6</v>
      </c>
      <c r="G209" t="s">
        <v>281</v>
      </c>
      <c r="H209" t="s">
        <v>14</v>
      </c>
      <c r="I209">
        <v>4.6053006099234038E-2</v>
      </c>
      <c r="J209" t="s">
        <v>6</v>
      </c>
      <c r="L209" t="s">
        <v>282</v>
      </c>
      <c r="M209" t="s">
        <v>14</v>
      </c>
      <c r="N209">
        <v>7.1155726731110119E-2</v>
      </c>
      <c r="O209" t="s">
        <v>6</v>
      </c>
    </row>
    <row r="210" spans="2:15" x14ac:dyDescent="0.45">
      <c r="B210" t="s">
        <v>280</v>
      </c>
      <c r="C210" t="s">
        <v>15</v>
      </c>
      <c r="D210">
        <v>0.33548660826132926</v>
      </c>
      <c r="E210" t="s">
        <v>6</v>
      </c>
      <c r="G210" t="s">
        <v>281</v>
      </c>
      <c r="H210" t="s">
        <v>15</v>
      </c>
      <c r="I210">
        <v>7.902190095903959E-2</v>
      </c>
      <c r="J210" t="s">
        <v>6</v>
      </c>
      <c r="L210" t="s">
        <v>282</v>
      </c>
      <c r="M210" t="s">
        <v>15</v>
      </c>
      <c r="N210">
        <v>8.9113716959667341E-2</v>
      </c>
      <c r="O210" t="s">
        <v>6</v>
      </c>
    </row>
    <row r="211" spans="2:15" x14ac:dyDescent="0.45">
      <c r="B211" t="s">
        <v>280</v>
      </c>
      <c r="C211" t="s">
        <v>16</v>
      </c>
      <c r="D211">
        <v>1.7573621641057493E-2</v>
      </c>
      <c r="E211" t="s">
        <v>6</v>
      </c>
      <c r="G211" t="s">
        <v>281</v>
      </c>
      <c r="H211" t="s">
        <v>16</v>
      </c>
      <c r="I211">
        <v>3.7243729412712E-2</v>
      </c>
      <c r="J211" t="s">
        <v>6</v>
      </c>
      <c r="L211" t="s">
        <v>282</v>
      </c>
      <c r="M211" t="s">
        <v>16</v>
      </c>
      <c r="N211">
        <v>5.305216231894469E-2</v>
      </c>
      <c r="O211" t="s">
        <v>6</v>
      </c>
    </row>
    <row r="212" spans="2:15" x14ac:dyDescent="0.45">
      <c r="B212" t="s">
        <v>280</v>
      </c>
      <c r="C212" t="s">
        <v>17</v>
      </c>
      <c r="D212">
        <v>6.9044946607117361E-4</v>
      </c>
      <c r="E212" t="s">
        <v>6</v>
      </c>
      <c r="G212" t="s">
        <v>281</v>
      </c>
      <c r="H212" t="s">
        <v>17</v>
      </c>
      <c r="I212">
        <v>8.4989231268011514E-2</v>
      </c>
      <c r="J212" t="s">
        <v>6</v>
      </c>
      <c r="L212" t="s">
        <v>282</v>
      </c>
      <c r="M212" t="s">
        <v>17</v>
      </c>
      <c r="N212">
        <v>8.1584962387028878E-2</v>
      </c>
      <c r="O212" t="s">
        <v>6</v>
      </c>
    </row>
    <row r="213" spans="2:15" x14ac:dyDescent="0.45">
      <c r="B213" t="s">
        <v>280</v>
      </c>
      <c r="C213" t="s">
        <v>18</v>
      </c>
      <c r="D213">
        <v>0.18076887868031652</v>
      </c>
      <c r="E213" t="s">
        <v>6</v>
      </c>
      <c r="G213" t="s">
        <v>281</v>
      </c>
      <c r="H213" t="s">
        <v>18</v>
      </c>
      <c r="I213">
        <v>0.11845200860061694</v>
      </c>
      <c r="J213" t="s">
        <v>6</v>
      </c>
      <c r="L213" t="s">
        <v>282</v>
      </c>
      <c r="M213" t="s">
        <v>18</v>
      </c>
      <c r="N213">
        <v>0.10227894059524863</v>
      </c>
      <c r="O213" t="s">
        <v>6</v>
      </c>
    </row>
    <row r="214" spans="2:15" x14ac:dyDescent="0.45">
      <c r="B214" t="s">
        <v>280</v>
      </c>
      <c r="C214" t="s">
        <v>19</v>
      </c>
      <c r="D214">
        <v>1.1085474077637916E-3</v>
      </c>
      <c r="E214" t="s">
        <v>6</v>
      </c>
      <c r="G214" t="s">
        <v>281</v>
      </c>
      <c r="H214" t="s">
        <v>19</v>
      </c>
      <c r="I214">
        <v>6.6427196720407061E-2</v>
      </c>
      <c r="J214" t="s">
        <v>6</v>
      </c>
      <c r="L214" t="s">
        <v>282</v>
      </c>
      <c r="M214" t="s">
        <v>19</v>
      </c>
      <c r="N214">
        <v>6.2016603514687706E-2</v>
      </c>
      <c r="O214" t="s">
        <v>6</v>
      </c>
    </row>
    <row r="215" spans="2:15" x14ac:dyDescent="0.45">
      <c r="B215" t="s">
        <v>283</v>
      </c>
      <c r="C215" t="s">
        <v>5</v>
      </c>
      <c r="D215">
        <v>0</v>
      </c>
      <c r="E215" t="s">
        <v>6</v>
      </c>
      <c r="G215" t="s">
        <v>284</v>
      </c>
      <c r="H215" t="s">
        <v>5</v>
      </c>
      <c r="I215">
        <v>0.10331558053723312</v>
      </c>
      <c r="J215" t="s">
        <v>6</v>
      </c>
      <c r="L215" t="s">
        <v>285</v>
      </c>
      <c r="M215" t="s">
        <v>5</v>
      </c>
      <c r="N215">
        <v>0.10215026227009492</v>
      </c>
      <c r="O215" t="s">
        <v>6</v>
      </c>
    </row>
    <row r="216" spans="2:15" x14ac:dyDescent="0.45">
      <c r="B216" t="s">
        <v>283</v>
      </c>
      <c r="C216" t="s">
        <v>9</v>
      </c>
      <c r="D216">
        <v>0.12154408984361624</v>
      </c>
      <c r="E216" t="s">
        <v>6</v>
      </c>
      <c r="G216" t="s">
        <v>284</v>
      </c>
      <c r="H216" t="s">
        <v>9</v>
      </c>
      <c r="I216">
        <v>0.12371076599775595</v>
      </c>
      <c r="J216" t="s">
        <v>6</v>
      </c>
      <c r="L216" t="s">
        <v>285</v>
      </c>
      <c r="M216" t="s">
        <v>9</v>
      </c>
      <c r="N216">
        <v>0.12392683831790778</v>
      </c>
      <c r="O216" t="s">
        <v>6</v>
      </c>
    </row>
    <row r="217" spans="2:15" x14ac:dyDescent="0.45">
      <c r="B217" t="s">
        <v>283</v>
      </c>
      <c r="C217" t="s">
        <v>10</v>
      </c>
      <c r="D217">
        <v>8.2274076322526443E-5</v>
      </c>
      <c r="E217" t="s">
        <v>6</v>
      </c>
      <c r="G217" t="s">
        <v>284</v>
      </c>
      <c r="H217" t="s">
        <v>10</v>
      </c>
      <c r="I217">
        <v>7.6542321908418212E-2</v>
      </c>
      <c r="J217" t="s">
        <v>6</v>
      </c>
      <c r="L217" t="s">
        <v>285</v>
      </c>
      <c r="M217" t="s">
        <v>10</v>
      </c>
      <c r="N217">
        <v>7.8946224423220093E-2</v>
      </c>
      <c r="O217" t="s">
        <v>6</v>
      </c>
    </row>
    <row r="218" spans="2:15" x14ac:dyDescent="0.45">
      <c r="B218" t="s">
        <v>283</v>
      </c>
      <c r="C218" t="s">
        <v>11</v>
      </c>
      <c r="D218">
        <v>6.1431948604572838E-3</v>
      </c>
      <c r="E218" t="s">
        <v>6</v>
      </c>
      <c r="G218" t="s">
        <v>284</v>
      </c>
      <c r="H218" t="s">
        <v>11</v>
      </c>
      <c r="I218">
        <v>7.3946776809980061E-2</v>
      </c>
      <c r="J218" t="s">
        <v>6</v>
      </c>
      <c r="L218" t="s">
        <v>285</v>
      </c>
      <c r="M218" t="s">
        <v>11</v>
      </c>
      <c r="N218">
        <v>7.7928280576401665E-2</v>
      </c>
      <c r="O218" t="s">
        <v>6</v>
      </c>
    </row>
    <row r="219" spans="2:15" x14ac:dyDescent="0.45">
      <c r="B219" t="s">
        <v>283</v>
      </c>
      <c r="C219" t="s">
        <v>12</v>
      </c>
      <c r="D219">
        <v>0.31615443109426983</v>
      </c>
      <c r="E219" t="s">
        <v>6</v>
      </c>
      <c r="G219" t="s">
        <v>284</v>
      </c>
      <c r="H219" t="s">
        <v>12</v>
      </c>
      <c r="I219">
        <v>9.8221112096367663E-2</v>
      </c>
      <c r="J219" t="s">
        <v>6</v>
      </c>
      <c r="L219" t="s">
        <v>285</v>
      </c>
      <c r="M219" t="s">
        <v>12</v>
      </c>
      <c r="N219">
        <v>0.10009981512691959</v>
      </c>
      <c r="O219" t="s">
        <v>6</v>
      </c>
    </row>
    <row r="220" spans="2:15" x14ac:dyDescent="0.45">
      <c r="B220" t="s">
        <v>283</v>
      </c>
      <c r="C220" t="s">
        <v>13</v>
      </c>
      <c r="D220">
        <v>1.0170247624800767E-2</v>
      </c>
      <c r="E220" t="s">
        <v>6</v>
      </c>
      <c r="G220" t="s">
        <v>284</v>
      </c>
      <c r="H220" t="s">
        <v>13</v>
      </c>
      <c r="I220">
        <v>6.2155732833401527E-2</v>
      </c>
      <c r="J220" t="s">
        <v>6</v>
      </c>
      <c r="L220" t="s">
        <v>285</v>
      </c>
      <c r="M220" t="s">
        <v>13</v>
      </c>
      <c r="N220">
        <v>6.0156993038289454E-2</v>
      </c>
      <c r="O220" t="s">
        <v>6</v>
      </c>
    </row>
    <row r="221" spans="2:15" x14ac:dyDescent="0.45">
      <c r="B221" t="s">
        <v>283</v>
      </c>
      <c r="C221" t="s">
        <v>14</v>
      </c>
      <c r="D221">
        <v>1.0554406974233918E-2</v>
      </c>
      <c r="E221" t="s">
        <v>6</v>
      </c>
      <c r="G221" t="s">
        <v>284</v>
      </c>
      <c r="H221" t="s">
        <v>14</v>
      </c>
      <c r="I221">
        <v>5.9018639202905183E-2</v>
      </c>
      <c r="J221" t="s">
        <v>6</v>
      </c>
      <c r="L221" t="s">
        <v>285</v>
      </c>
      <c r="M221" t="s">
        <v>14</v>
      </c>
      <c r="N221">
        <v>6.8438078193977514E-2</v>
      </c>
      <c r="O221" t="s">
        <v>6</v>
      </c>
    </row>
    <row r="222" spans="2:15" x14ac:dyDescent="0.45">
      <c r="B222" t="s">
        <v>283</v>
      </c>
      <c r="C222" t="s">
        <v>15</v>
      </c>
      <c r="D222">
        <v>0.33930840513634392</v>
      </c>
      <c r="E222" t="s">
        <v>6</v>
      </c>
      <c r="G222" t="s">
        <v>284</v>
      </c>
      <c r="H222" t="s">
        <v>15</v>
      </c>
      <c r="I222">
        <v>7.9645689029564759E-2</v>
      </c>
      <c r="J222" t="s">
        <v>6</v>
      </c>
      <c r="L222" t="s">
        <v>285</v>
      </c>
      <c r="M222" t="s">
        <v>15</v>
      </c>
      <c r="N222">
        <v>8.425810867114171E-2</v>
      </c>
      <c r="O222" t="s">
        <v>6</v>
      </c>
    </row>
    <row r="223" spans="2:15" x14ac:dyDescent="0.45">
      <c r="B223" t="s">
        <v>283</v>
      </c>
      <c r="C223" t="s">
        <v>16</v>
      </c>
      <c r="D223">
        <v>1.7181647570003365E-2</v>
      </c>
      <c r="E223" t="s">
        <v>6</v>
      </c>
      <c r="G223" t="s">
        <v>284</v>
      </c>
      <c r="H223" t="s">
        <v>16</v>
      </c>
      <c r="I223">
        <v>4.3411822794773541E-2</v>
      </c>
      <c r="J223" t="s">
        <v>6</v>
      </c>
      <c r="L223" t="s">
        <v>285</v>
      </c>
      <c r="M223" t="s">
        <v>16</v>
      </c>
      <c r="N223">
        <v>5.0698996390259515E-2</v>
      </c>
      <c r="O223" t="s">
        <v>6</v>
      </c>
    </row>
    <row r="224" spans="2:15" x14ac:dyDescent="0.45">
      <c r="B224" t="s">
        <v>283</v>
      </c>
      <c r="C224" t="s">
        <v>17</v>
      </c>
      <c r="D224">
        <v>5.8550484780125979E-4</v>
      </c>
      <c r="E224" t="s">
        <v>6</v>
      </c>
      <c r="G224" t="s">
        <v>284</v>
      </c>
      <c r="H224" t="s">
        <v>17</v>
      </c>
      <c r="I224">
        <v>9.2242967253833338E-2</v>
      </c>
      <c r="J224" t="s">
        <v>6</v>
      </c>
      <c r="L224" t="s">
        <v>285</v>
      </c>
      <c r="M224" t="s">
        <v>17</v>
      </c>
      <c r="N224">
        <v>8.3571156046856249E-2</v>
      </c>
      <c r="O224" t="s">
        <v>6</v>
      </c>
    </row>
    <row r="225" spans="2:15" x14ac:dyDescent="0.45">
      <c r="B225" t="s">
        <v>283</v>
      </c>
      <c r="C225" t="s">
        <v>18</v>
      </c>
      <c r="D225">
        <v>0.17714548600561533</v>
      </c>
      <c r="E225" t="s">
        <v>6</v>
      </c>
      <c r="G225" t="s">
        <v>284</v>
      </c>
      <c r="H225" t="s">
        <v>18</v>
      </c>
      <c r="I225">
        <v>0.11608402528645906</v>
      </c>
      <c r="J225" t="s">
        <v>6</v>
      </c>
      <c r="L225" t="s">
        <v>285</v>
      </c>
      <c r="M225" t="s">
        <v>18</v>
      </c>
      <c r="N225">
        <v>0.10604160743048803</v>
      </c>
      <c r="O225" t="s">
        <v>6</v>
      </c>
    </row>
    <row r="226" spans="2:15" x14ac:dyDescent="0.45">
      <c r="B226" t="s">
        <v>283</v>
      </c>
      <c r="C226" t="s">
        <v>19</v>
      </c>
      <c r="D226">
        <v>1.1303119665319395E-3</v>
      </c>
      <c r="E226" t="s">
        <v>6</v>
      </c>
      <c r="G226" t="s">
        <v>284</v>
      </c>
      <c r="H226" t="s">
        <v>19</v>
      </c>
      <c r="I226">
        <v>7.1704566249307489E-2</v>
      </c>
      <c r="J226" t="s">
        <v>6</v>
      </c>
      <c r="L226" t="s">
        <v>285</v>
      </c>
      <c r="M226" t="s">
        <v>19</v>
      </c>
      <c r="N226">
        <v>6.3783639514444865E-2</v>
      </c>
      <c r="O226" t="s">
        <v>6</v>
      </c>
    </row>
    <row r="227" spans="2:15" x14ac:dyDescent="0.45">
      <c r="B227" t="s">
        <v>286</v>
      </c>
      <c r="C227" t="s">
        <v>5</v>
      </c>
      <c r="D227">
        <v>0</v>
      </c>
      <c r="E227" t="s">
        <v>6</v>
      </c>
      <c r="G227" t="s">
        <v>287</v>
      </c>
      <c r="H227" t="s">
        <v>5</v>
      </c>
      <c r="I227">
        <v>9.5713944443758844E-2</v>
      </c>
      <c r="J227" t="s">
        <v>6</v>
      </c>
      <c r="L227" t="s">
        <v>288</v>
      </c>
      <c r="M227" t="s">
        <v>5</v>
      </c>
      <c r="N227">
        <v>9.8574188060103152E-2</v>
      </c>
      <c r="O227" t="s">
        <v>6</v>
      </c>
    </row>
    <row r="228" spans="2:15" x14ac:dyDescent="0.45">
      <c r="B228" t="s">
        <v>286</v>
      </c>
      <c r="C228" t="s">
        <v>9</v>
      </c>
      <c r="D228">
        <v>0.11903549941800774</v>
      </c>
      <c r="E228" t="s">
        <v>6</v>
      </c>
      <c r="G228" t="s">
        <v>287</v>
      </c>
      <c r="H228" t="s">
        <v>9</v>
      </c>
      <c r="I228">
        <v>0.12001946716601521</v>
      </c>
      <c r="J228" t="s">
        <v>6</v>
      </c>
      <c r="L228" t="s">
        <v>288</v>
      </c>
      <c r="M228" t="s">
        <v>9</v>
      </c>
      <c r="N228">
        <v>0.12017562799697019</v>
      </c>
      <c r="O228" t="s">
        <v>6</v>
      </c>
    </row>
    <row r="229" spans="2:15" x14ac:dyDescent="0.45">
      <c r="B229" t="s">
        <v>286</v>
      </c>
      <c r="C229" t="s">
        <v>10</v>
      </c>
      <c r="D229">
        <v>4.6977273773511429E-4</v>
      </c>
      <c r="E229" t="s">
        <v>6</v>
      </c>
      <c r="G229" t="s">
        <v>287</v>
      </c>
      <c r="H229" t="s">
        <v>10</v>
      </c>
      <c r="I229">
        <v>7.3404000633866068E-2</v>
      </c>
      <c r="J229" t="s">
        <v>6</v>
      </c>
      <c r="L229" t="s">
        <v>288</v>
      </c>
      <c r="M229" t="s">
        <v>10</v>
      </c>
      <c r="N229">
        <v>7.5143088405101879E-2</v>
      </c>
      <c r="O229" t="s">
        <v>6</v>
      </c>
    </row>
    <row r="230" spans="2:15" x14ac:dyDescent="0.45">
      <c r="B230" t="s">
        <v>286</v>
      </c>
      <c r="C230" t="s">
        <v>11</v>
      </c>
      <c r="D230">
        <v>3.5162329052463664E-3</v>
      </c>
      <c r="E230" t="s">
        <v>6</v>
      </c>
      <c r="G230" t="s">
        <v>287</v>
      </c>
      <c r="H230" t="s">
        <v>11</v>
      </c>
      <c r="I230">
        <v>7.9010720004431115E-2</v>
      </c>
      <c r="J230" t="s">
        <v>6</v>
      </c>
      <c r="L230" t="s">
        <v>288</v>
      </c>
      <c r="M230" t="s">
        <v>11</v>
      </c>
      <c r="N230">
        <v>7.6400492142843487E-2</v>
      </c>
      <c r="O230" t="s">
        <v>6</v>
      </c>
    </row>
    <row r="231" spans="2:15" x14ac:dyDescent="0.45">
      <c r="B231" t="s">
        <v>286</v>
      </c>
      <c r="C231" t="s">
        <v>12</v>
      </c>
      <c r="D231">
        <v>0.31480709047204869</v>
      </c>
      <c r="E231" t="s">
        <v>6</v>
      </c>
      <c r="G231" t="s">
        <v>287</v>
      </c>
      <c r="H231" t="s">
        <v>12</v>
      </c>
      <c r="I231">
        <v>9.4414443264084116E-2</v>
      </c>
      <c r="J231" t="s">
        <v>6</v>
      </c>
      <c r="L231" t="s">
        <v>288</v>
      </c>
      <c r="M231" t="s">
        <v>12</v>
      </c>
      <c r="N231">
        <v>9.5508353630419485E-2</v>
      </c>
      <c r="O231" t="s">
        <v>6</v>
      </c>
    </row>
    <row r="232" spans="2:15" x14ac:dyDescent="0.45">
      <c r="B232" t="s">
        <v>286</v>
      </c>
      <c r="C232" t="s">
        <v>13</v>
      </c>
      <c r="D232">
        <v>1.4406277204714773E-2</v>
      </c>
      <c r="E232" t="s">
        <v>6</v>
      </c>
      <c r="G232" t="s">
        <v>287</v>
      </c>
      <c r="H232" t="s">
        <v>13</v>
      </c>
      <c r="I232">
        <v>6.2361805287664891E-2</v>
      </c>
      <c r="J232" t="s">
        <v>6</v>
      </c>
      <c r="L232" t="s">
        <v>288</v>
      </c>
      <c r="M232" t="s">
        <v>13</v>
      </c>
      <c r="N232">
        <v>6.2560002477372201E-2</v>
      </c>
      <c r="O232" t="s">
        <v>6</v>
      </c>
    </row>
    <row r="233" spans="2:15" x14ac:dyDescent="0.45">
      <c r="B233" t="s">
        <v>286</v>
      </c>
      <c r="C233" t="s">
        <v>14</v>
      </c>
      <c r="D233">
        <v>7.2443465131542114E-3</v>
      </c>
      <c r="E233" t="s">
        <v>6</v>
      </c>
      <c r="G233" t="s">
        <v>287</v>
      </c>
      <c r="H233" t="s">
        <v>14</v>
      </c>
      <c r="I233">
        <v>6.6641266218058381E-2</v>
      </c>
      <c r="J233" t="s">
        <v>6</v>
      </c>
      <c r="L233" t="s">
        <v>288</v>
      </c>
      <c r="M233" t="s">
        <v>14</v>
      </c>
      <c r="N233">
        <v>7.0121284338463083E-2</v>
      </c>
      <c r="O233" t="s">
        <v>6</v>
      </c>
    </row>
    <row r="234" spans="2:15" x14ac:dyDescent="0.45">
      <c r="B234" t="s">
        <v>286</v>
      </c>
      <c r="C234" t="s">
        <v>15</v>
      </c>
      <c r="D234">
        <v>0.33084831980927965</v>
      </c>
      <c r="E234" t="s">
        <v>6</v>
      </c>
      <c r="G234" t="s">
        <v>287</v>
      </c>
      <c r="H234" t="s">
        <v>15</v>
      </c>
      <c r="I234">
        <v>8.4041396837949839E-2</v>
      </c>
      <c r="J234" t="s">
        <v>6</v>
      </c>
      <c r="L234" t="s">
        <v>288</v>
      </c>
      <c r="M234" t="s">
        <v>15</v>
      </c>
      <c r="N234">
        <v>8.5894759269176377E-2</v>
      </c>
      <c r="O234" t="s">
        <v>6</v>
      </c>
    </row>
    <row r="235" spans="2:15" x14ac:dyDescent="0.45">
      <c r="B235" t="s">
        <v>286</v>
      </c>
      <c r="C235" t="s">
        <v>16</v>
      </c>
      <c r="D235">
        <v>2.2032830065429224E-2</v>
      </c>
      <c r="E235" t="s">
        <v>6</v>
      </c>
      <c r="G235" t="s">
        <v>287</v>
      </c>
      <c r="H235" t="s">
        <v>16</v>
      </c>
      <c r="I235">
        <v>4.8901436521957477E-2</v>
      </c>
      <c r="J235" t="s">
        <v>6</v>
      </c>
      <c r="L235" t="s">
        <v>288</v>
      </c>
      <c r="M235" t="s">
        <v>16</v>
      </c>
      <c r="N235">
        <v>5.2110810046015123E-2</v>
      </c>
      <c r="O235" t="s">
        <v>6</v>
      </c>
    </row>
    <row r="236" spans="2:15" x14ac:dyDescent="0.45">
      <c r="B236" t="s">
        <v>286</v>
      </c>
      <c r="C236" t="s">
        <v>17</v>
      </c>
      <c r="D236">
        <v>2.2711355685644475E-4</v>
      </c>
      <c r="E236" t="s">
        <v>6</v>
      </c>
      <c r="G236" t="s">
        <v>287</v>
      </c>
      <c r="H236" t="s">
        <v>17</v>
      </c>
      <c r="I236">
        <v>9.3463880345333206E-2</v>
      </c>
      <c r="J236" t="s">
        <v>6</v>
      </c>
      <c r="L236" t="s">
        <v>288</v>
      </c>
      <c r="M236" t="s">
        <v>17</v>
      </c>
      <c r="N236">
        <v>8.867253077829032E-2</v>
      </c>
      <c r="O236" t="s">
        <v>6</v>
      </c>
    </row>
    <row r="237" spans="2:15" x14ac:dyDescent="0.45">
      <c r="B237" t="s">
        <v>286</v>
      </c>
      <c r="C237" t="s">
        <v>18</v>
      </c>
      <c r="D237">
        <v>0.18545517699868938</v>
      </c>
      <c r="E237" t="s">
        <v>6</v>
      </c>
      <c r="G237" t="s">
        <v>287</v>
      </c>
      <c r="H237" t="s">
        <v>18</v>
      </c>
      <c r="I237">
        <v>0.11213670707024913</v>
      </c>
      <c r="J237" t="s">
        <v>6</v>
      </c>
      <c r="L237" t="s">
        <v>288</v>
      </c>
      <c r="M237" t="s">
        <v>18</v>
      </c>
      <c r="N237">
        <v>0.10847895509406029</v>
      </c>
      <c r="O237" t="s">
        <v>6</v>
      </c>
    </row>
    <row r="238" spans="2:15" x14ac:dyDescent="0.45">
      <c r="B238" t="s">
        <v>286</v>
      </c>
      <c r="C238" t="s">
        <v>19</v>
      </c>
      <c r="D238">
        <v>1.9573403188408965E-3</v>
      </c>
      <c r="E238" t="s">
        <v>6</v>
      </c>
      <c r="G238" t="s">
        <v>287</v>
      </c>
      <c r="H238" t="s">
        <v>19</v>
      </c>
      <c r="I238">
        <v>6.9890932206635586E-2</v>
      </c>
      <c r="J238" t="s">
        <v>6</v>
      </c>
      <c r="L238" t="s">
        <v>288</v>
      </c>
      <c r="M238" t="s">
        <v>19</v>
      </c>
      <c r="N238">
        <v>6.6359907761187192E-2</v>
      </c>
      <c r="O238" t="s">
        <v>6</v>
      </c>
    </row>
    <row r="239" spans="2:15" x14ac:dyDescent="0.45">
      <c r="B239" t="s">
        <v>289</v>
      </c>
      <c r="C239" t="s">
        <v>5</v>
      </c>
      <c r="D239">
        <v>0</v>
      </c>
      <c r="E239" t="s">
        <v>6</v>
      </c>
      <c r="G239" t="s">
        <v>290</v>
      </c>
      <c r="H239" t="s">
        <v>5</v>
      </c>
      <c r="I239">
        <v>0.10335767350530455</v>
      </c>
      <c r="J239" t="s">
        <v>6</v>
      </c>
      <c r="L239" t="s">
        <v>291</v>
      </c>
      <c r="M239" t="s">
        <v>5</v>
      </c>
      <c r="N239">
        <v>9.790213191135419E-2</v>
      </c>
      <c r="O239" t="s">
        <v>6</v>
      </c>
    </row>
    <row r="240" spans="2:15" x14ac:dyDescent="0.45">
      <c r="B240" t="s">
        <v>289</v>
      </c>
      <c r="C240" t="s">
        <v>9</v>
      </c>
      <c r="D240">
        <v>0.11243855037958517</v>
      </c>
      <c r="E240" t="s">
        <v>6</v>
      </c>
      <c r="G240" t="s">
        <v>290</v>
      </c>
      <c r="H240" t="s">
        <v>9</v>
      </c>
      <c r="I240">
        <v>0.12447268092004909</v>
      </c>
      <c r="J240" t="s">
        <v>6</v>
      </c>
      <c r="L240" t="s">
        <v>291</v>
      </c>
      <c r="M240" t="s">
        <v>9</v>
      </c>
      <c r="N240">
        <v>0.12349931056521361</v>
      </c>
      <c r="O240" t="s">
        <v>6</v>
      </c>
    </row>
    <row r="241" spans="2:15" x14ac:dyDescent="0.45">
      <c r="B241" t="s">
        <v>289</v>
      </c>
      <c r="C241" t="s">
        <v>10</v>
      </c>
      <c r="D241">
        <v>1.7734537420103358E-4</v>
      </c>
      <c r="E241" t="s">
        <v>6</v>
      </c>
      <c r="G241" t="s">
        <v>290</v>
      </c>
      <c r="H241" t="s">
        <v>10</v>
      </c>
      <c r="I241">
        <v>7.9360458194175088E-2</v>
      </c>
      <c r="J241" t="s">
        <v>6</v>
      </c>
      <c r="L241" t="s">
        <v>291</v>
      </c>
      <c r="M241" t="s">
        <v>10</v>
      </c>
      <c r="N241">
        <v>7.4265779118008399E-2</v>
      </c>
      <c r="O241" t="s">
        <v>6</v>
      </c>
    </row>
    <row r="242" spans="2:15" x14ac:dyDescent="0.45">
      <c r="B242" t="s">
        <v>289</v>
      </c>
      <c r="C242" t="s">
        <v>11</v>
      </c>
      <c r="D242">
        <v>5.4042105426307654E-3</v>
      </c>
      <c r="E242" t="s">
        <v>6</v>
      </c>
      <c r="G242" t="s">
        <v>290</v>
      </c>
      <c r="H242" t="s">
        <v>11</v>
      </c>
      <c r="I242">
        <v>7.6055864023431646E-2</v>
      </c>
      <c r="J242" t="s">
        <v>6</v>
      </c>
      <c r="L242" t="s">
        <v>291</v>
      </c>
      <c r="M242" t="s">
        <v>11</v>
      </c>
      <c r="N242">
        <v>7.7015981023851487E-2</v>
      </c>
      <c r="O242" t="s">
        <v>6</v>
      </c>
    </row>
    <row r="243" spans="2:15" x14ac:dyDescent="0.45">
      <c r="B243" t="s">
        <v>289</v>
      </c>
      <c r="C243" t="s">
        <v>12</v>
      </c>
      <c r="D243">
        <v>0.32901976414529815</v>
      </c>
      <c r="E243" t="s">
        <v>6</v>
      </c>
      <c r="G243" t="s">
        <v>290</v>
      </c>
      <c r="H243" t="s">
        <v>12</v>
      </c>
      <c r="I243">
        <v>9.9238588764516494E-2</v>
      </c>
      <c r="J243" t="s">
        <v>6</v>
      </c>
      <c r="L243" t="s">
        <v>291</v>
      </c>
      <c r="M243" t="s">
        <v>12</v>
      </c>
      <c r="N243">
        <v>9.5931218156123418E-2</v>
      </c>
      <c r="O243" t="s">
        <v>6</v>
      </c>
    </row>
    <row r="244" spans="2:15" x14ac:dyDescent="0.45">
      <c r="B244" t="s">
        <v>289</v>
      </c>
      <c r="C244" t="s">
        <v>13</v>
      </c>
      <c r="D244">
        <v>1.2587238058416432E-2</v>
      </c>
      <c r="E244" t="s">
        <v>6</v>
      </c>
      <c r="G244" t="s">
        <v>290</v>
      </c>
      <c r="H244" t="s">
        <v>13</v>
      </c>
      <c r="I244">
        <v>6.1549719874788605E-2</v>
      </c>
      <c r="J244" t="s">
        <v>6</v>
      </c>
      <c r="L244" t="s">
        <v>291</v>
      </c>
      <c r="M244" t="s">
        <v>13</v>
      </c>
      <c r="N244">
        <v>6.2128827064375593E-2</v>
      </c>
      <c r="O244" t="s">
        <v>6</v>
      </c>
    </row>
    <row r="245" spans="2:15" x14ac:dyDescent="0.45">
      <c r="B245" t="s">
        <v>289</v>
      </c>
      <c r="C245" t="s">
        <v>14</v>
      </c>
      <c r="D245">
        <v>9.3512297627097174E-3</v>
      </c>
      <c r="E245" t="s">
        <v>6</v>
      </c>
      <c r="G245" t="s">
        <v>290</v>
      </c>
      <c r="H245" t="s">
        <v>14</v>
      </c>
      <c r="I245">
        <v>6.3853064456674727E-2</v>
      </c>
      <c r="J245" t="s">
        <v>6</v>
      </c>
      <c r="L245" t="s">
        <v>291</v>
      </c>
      <c r="M245" t="s">
        <v>14</v>
      </c>
      <c r="N245">
        <v>6.9900404068939215E-2</v>
      </c>
      <c r="O245" t="s">
        <v>6</v>
      </c>
    </row>
    <row r="246" spans="2:15" x14ac:dyDescent="0.45">
      <c r="B246" t="s">
        <v>289</v>
      </c>
      <c r="C246" t="s">
        <v>15</v>
      </c>
      <c r="D246">
        <v>0.33347872677285956</v>
      </c>
      <c r="E246" t="s">
        <v>6</v>
      </c>
      <c r="G246" t="s">
        <v>290</v>
      </c>
      <c r="H246" t="s">
        <v>15</v>
      </c>
      <c r="I246">
        <v>8.3529477993661116E-2</v>
      </c>
      <c r="J246" t="s">
        <v>6</v>
      </c>
      <c r="L246" t="s">
        <v>291</v>
      </c>
      <c r="M246" t="s">
        <v>15</v>
      </c>
      <c r="N246">
        <v>8.680389644535505E-2</v>
      </c>
      <c r="O246" t="s">
        <v>6</v>
      </c>
    </row>
    <row r="247" spans="2:15" x14ac:dyDescent="0.45">
      <c r="B247" t="s">
        <v>289</v>
      </c>
      <c r="C247" t="s">
        <v>16</v>
      </c>
      <c r="D247">
        <v>2.1723653414286875E-2</v>
      </c>
      <c r="E247" t="s">
        <v>6</v>
      </c>
      <c r="G247" t="s">
        <v>290</v>
      </c>
      <c r="H247" t="s">
        <v>16</v>
      </c>
      <c r="I247">
        <v>4.77871180625032E-2</v>
      </c>
      <c r="J247" t="s">
        <v>6</v>
      </c>
      <c r="L247" t="s">
        <v>291</v>
      </c>
      <c r="M247" t="s">
        <v>16</v>
      </c>
      <c r="N247">
        <v>5.2619242733690418E-2</v>
      </c>
      <c r="O247" t="s">
        <v>6</v>
      </c>
    </row>
    <row r="248" spans="2:15" x14ac:dyDescent="0.45">
      <c r="B248" t="s">
        <v>289</v>
      </c>
      <c r="C248" t="s">
        <v>17</v>
      </c>
      <c r="D248">
        <v>3.6681701981929271E-4</v>
      </c>
      <c r="E248" t="s">
        <v>6</v>
      </c>
      <c r="G248" t="s">
        <v>290</v>
      </c>
      <c r="H248" t="s">
        <v>17</v>
      </c>
      <c r="I248">
        <v>8.467788248603926E-2</v>
      </c>
      <c r="J248" t="s">
        <v>6</v>
      </c>
      <c r="L248" t="s">
        <v>291</v>
      </c>
      <c r="M248" t="s">
        <v>17</v>
      </c>
      <c r="N248">
        <v>8.8218605847601869E-2</v>
      </c>
      <c r="O248" t="s">
        <v>6</v>
      </c>
    </row>
    <row r="249" spans="2:15" x14ac:dyDescent="0.45">
      <c r="B249" t="s">
        <v>289</v>
      </c>
      <c r="C249" t="s">
        <v>18</v>
      </c>
      <c r="D249">
        <v>0.17396826255151465</v>
      </c>
      <c r="E249" t="s">
        <v>6</v>
      </c>
      <c r="G249" t="s">
        <v>290</v>
      </c>
      <c r="H249" t="s">
        <v>18</v>
      </c>
      <c r="I249">
        <v>0.11060598272748728</v>
      </c>
      <c r="J249" t="s">
        <v>6</v>
      </c>
      <c r="L249" t="s">
        <v>291</v>
      </c>
      <c r="M249" t="s">
        <v>18</v>
      </c>
      <c r="N249">
        <v>0.10572367186708326</v>
      </c>
      <c r="O249" t="s">
        <v>6</v>
      </c>
    </row>
    <row r="250" spans="2:15" x14ac:dyDescent="0.45">
      <c r="B250" t="s">
        <v>289</v>
      </c>
      <c r="C250" t="s">
        <v>19</v>
      </c>
      <c r="D250">
        <v>1.4842019786745697E-3</v>
      </c>
      <c r="E250" t="s">
        <v>6</v>
      </c>
      <c r="G250" t="s">
        <v>290</v>
      </c>
      <c r="H250" t="s">
        <v>19</v>
      </c>
      <c r="I250">
        <v>6.5511488991368827E-2</v>
      </c>
      <c r="J250" t="s">
        <v>6</v>
      </c>
      <c r="L250" t="s">
        <v>291</v>
      </c>
      <c r="M250" t="s">
        <v>19</v>
      </c>
      <c r="N250">
        <v>6.5990931198405156E-2</v>
      </c>
      <c r="O250" t="s">
        <v>6</v>
      </c>
    </row>
    <row r="251" spans="2:15" x14ac:dyDescent="0.45">
      <c r="B251" t="s">
        <v>292</v>
      </c>
      <c r="C251" t="s">
        <v>5</v>
      </c>
      <c r="D251">
        <v>0</v>
      </c>
      <c r="E251" t="s">
        <v>6</v>
      </c>
      <c r="G251" t="s">
        <v>293</v>
      </c>
      <c r="H251" t="s">
        <v>5</v>
      </c>
      <c r="I251">
        <v>0.10394981644510551</v>
      </c>
      <c r="J251" t="s">
        <v>6</v>
      </c>
      <c r="L251" t="s">
        <v>294</v>
      </c>
      <c r="M251" t="s">
        <v>5</v>
      </c>
      <c r="N251">
        <v>9.7042578728270892E-2</v>
      </c>
      <c r="O251" t="s">
        <v>6</v>
      </c>
    </row>
    <row r="252" spans="2:15" x14ac:dyDescent="0.45">
      <c r="B252" t="s">
        <v>292</v>
      </c>
      <c r="C252" t="s">
        <v>9</v>
      </c>
      <c r="D252">
        <v>0.10460857314588155</v>
      </c>
      <c r="E252" t="s">
        <v>6</v>
      </c>
      <c r="G252" t="s">
        <v>293</v>
      </c>
      <c r="H252" t="s">
        <v>9</v>
      </c>
      <c r="I252">
        <v>0.12542627431861714</v>
      </c>
      <c r="J252" t="s">
        <v>6</v>
      </c>
      <c r="L252" t="s">
        <v>294</v>
      </c>
      <c r="M252" t="s">
        <v>9</v>
      </c>
      <c r="N252">
        <v>0.12386642144046353</v>
      </c>
      <c r="O252" t="s">
        <v>6</v>
      </c>
    </row>
    <row r="253" spans="2:15" x14ac:dyDescent="0.45">
      <c r="B253" t="s">
        <v>292</v>
      </c>
      <c r="C253" t="s">
        <v>10</v>
      </c>
      <c r="D253">
        <v>2.8595170155006804E-4</v>
      </c>
      <c r="E253" t="s">
        <v>6</v>
      </c>
      <c r="G253" t="s">
        <v>293</v>
      </c>
      <c r="H253" t="s">
        <v>10</v>
      </c>
      <c r="I253">
        <v>7.8979046386091073E-2</v>
      </c>
      <c r="J253" t="s">
        <v>6</v>
      </c>
      <c r="L253" t="s">
        <v>294</v>
      </c>
      <c r="M253" t="s">
        <v>10</v>
      </c>
      <c r="N253">
        <v>7.4241690440702043E-2</v>
      </c>
      <c r="O253" t="s">
        <v>6</v>
      </c>
    </row>
    <row r="254" spans="2:15" x14ac:dyDescent="0.45">
      <c r="B254" t="s">
        <v>292</v>
      </c>
      <c r="C254" t="s">
        <v>11</v>
      </c>
      <c r="D254">
        <v>3.9465901474005438E-3</v>
      </c>
      <c r="E254" t="s">
        <v>6</v>
      </c>
      <c r="G254" t="s">
        <v>293</v>
      </c>
      <c r="H254" t="s">
        <v>11</v>
      </c>
      <c r="I254">
        <v>7.8457917072064884E-2</v>
      </c>
      <c r="J254" t="s">
        <v>6</v>
      </c>
      <c r="L254" t="s">
        <v>294</v>
      </c>
      <c r="M254" t="s">
        <v>11</v>
      </c>
      <c r="N254">
        <v>8.1951159605867047E-2</v>
      </c>
      <c r="O254" t="s">
        <v>6</v>
      </c>
    </row>
    <row r="255" spans="2:15" x14ac:dyDescent="0.45">
      <c r="B255" t="s">
        <v>292</v>
      </c>
      <c r="C255" t="s">
        <v>12</v>
      </c>
      <c r="D255">
        <v>0.32624537665117831</v>
      </c>
      <c r="E255" t="s">
        <v>6</v>
      </c>
      <c r="G255" t="s">
        <v>293</v>
      </c>
      <c r="H255" t="s">
        <v>12</v>
      </c>
      <c r="I255">
        <v>0.10149216046232648</v>
      </c>
      <c r="J255" t="s">
        <v>6</v>
      </c>
      <c r="L255" t="s">
        <v>294</v>
      </c>
      <c r="M255" t="s">
        <v>12</v>
      </c>
      <c r="N255">
        <v>9.8121566500871518E-2</v>
      </c>
      <c r="O255" t="s">
        <v>6</v>
      </c>
    </row>
    <row r="256" spans="2:15" x14ac:dyDescent="0.45">
      <c r="B256" t="s">
        <v>292</v>
      </c>
      <c r="C256" t="s">
        <v>13</v>
      </c>
      <c r="D256">
        <v>1.3538703234584452E-2</v>
      </c>
      <c r="E256" t="s">
        <v>6</v>
      </c>
      <c r="G256" t="s">
        <v>293</v>
      </c>
      <c r="H256" t="s">
        <v>13</v>
      </c>
      <c r="I256">
        <v>6.214124352508979E-2</v>
      </c>
      <c r="J256" t="s">
        <v>6</v>
      </c>
      <c r="L256" t="s">
        <v>294</v>
      </c>
      <c r="M256" t="s">
        <v>13</v>
      </c>
      <c r="N256">
        <v>6.2432276060011491E-2</v>
      </c>
      <c r="O256" t="s">
        <v>6</v>
      </c>
    </row>
    <row r="257" spans="2:15" x14ac:dyDescent="0.45">
      <c r="B257" t="s">
        <v>292</v>
      </c>
      <c r="C257" t="s">
        <v>14</v>
      </c>
      <c r="D257">
        <v>7.6117339770094541E-3</v>
      </c>
      <c r="E257" t="s">
        <v>6</v>
      </c>
      <c r="G257" t="s">
        <v>293</v>
      </c>
      <c r="H257" t="s">
        <v>14</v>
      </c>
      <c r="I257">
        <v>6.2329905877164284E-2</v>
      </c>
      <c r="J257" t="s">
        <v>6</v>
      </c>
      <c r="L257" t="s">
        <v>294</v>
      </c>
      <c r="M257" t="s">
        <v>14</v>
      </c>
      <c r="N257">
        <v>6.6633199462826573E-2</v>
      </c>
      <c r="O257" t="s">
        <v>6</v>
      </c>
    </row>
    <row r="258" spans="2:15" x14ac:dyDescent="0.45">
      <c r="B258" t="s">
        <v>292</v>
      </c>
      <c r="C258" t="s">
        <v>15</v>
      </c>
      <c r="D258">
        <v>0.339178143317868</v>
      </c>
      <c r="E258" t="s">
        <v>6</v>
      </c>
      <c r="G258" t="s">
        <v>293</v>
      </c>
      <c r="H258" t="s">
        <v>15</v>
      </c>
      <c r="I258">
        <v>7.8561234145121062E-2</v>
      </c>
      <c r="J258" t="s">
        <v>6</v>
      </c>
      <c r="L258" t="s">
        <v>294</v>
      </c>
      <c r="M258" t="s">
        <v>15</v>
      </c>
      <c r="N258">
        <v>8.8300443059854947E-2</v>
      </c>
      <c r="O258" t="s">
        <v>6</v>
      </c>
    </row>
    <row r="259" spans="2:15" x14ac:dyDescent="0.45">
      <c r="B259" t="s">
        <v>292</v>
      </c>
      <c r="C259" t="s">
        <v>16</v>
      </c>
      <c r="D259">
        <v>2.2026194071271054E-2</v>
      </c>
      <c r="E259" t="s">
        <v>6</v>
      </c>
      <c r="G259" t="s">
        <v>293</v>
      </c>
      <c r="H259" t="s">
        <v>16</v>
      </c>
      <c r="I259">
        <v>4.5429853113402932E-2</v>
      </c>
      <c r="J259" t="s">
        <v>6</v>
      </c>
      <c r="L259" t="s">
        <v>294</v>
      </c>
      <c r="M259" t="s">
        <v>16</v>
      </c>
      <c r="N259">
        <v>5.2326543906777864E-2</v>
      </c>
      <c r="O259" t="s">
        <v>6</v>
      </c>
    </row>
    <row r="260" spans="2:15" x14ac:dyDescent="0.45">
      <c r="B260" t="s">
        <v>292</v>
      </c>
      <c r="C260" t="s">
        <v>17</v>
      </c>
      <c r="D260">
        <v>2.6500965546035485E-4</v>
      </c>
      <c r="E260" t="s">
        <v>6</v>
      </c>
      <c r="G260" t="s">
        <v>293</v>
      </c>
      <c r="H260" t="s">
        <v>17</v>
      </c>
      <c r="I260">
        <v>8.536988398194971E-2</v>
      </c>
      <c r="J260" t="s">
        <v>6</v>
      </c>
      <c r="L260" t="s">
        <v>294</v>
      </c>
      <c r="M260" t="s">
        <v>17</v>
      </c>
      <c r="N260">
        <v>8.4113788218999272E-2</v>
      </c>
      <c r="O260" t="s">
        <v>6</v>
      </c>
    </row>
    <row r="261" spans="2:15" x14ac:dyDescent="0.45">
      <c r="B261" t="s">
        <v>292</v>
      </c>
      <c r="C261" t="s">
        <v>18</v>
      </c>
      <c r="D261">
        <v>0.18054948114442454</v>
      </c>
      <c r="E261" t="s">
        <v>6</v>
      </c>
      <c r="G261" t="s">
        <v>293</v>
      </c>
      <c r="H261" t="s">
        <v>18</v>
      </c>
      <c r="I261">
        <v>0.1126698762795707</v>
      </c>
      <c r="J261" t="s">
        <v>6</v>
      </c>
      <c r="L261" t="s">
        <v>294</v>
      </c>
      <c r="M261" t="s">
        <v>18</v>
      </c>
      <c r="N261">
        <v>0.10771288272310744</v>
      </c>
      <c r="O261" t="s">
        <v>6</v>
      </c>
    </row>
    <row r="262" spans="2:15" x14ac:dyDescent="0.45">
      <c r="B262" t="s">
        <v>292</v>
      </c>
      <c r="C262" t="s">
        <v>19</v>
      </c>
      <c r="D262">
        <v>1.7442429533734171E-3</v>
      </c>
      <c r="E262" t="s">
        <v>6</v>
      </c>
      <c r="G262" t="s">
        <v>293</v>
      </c>
      <c r="H262" t="s">
        <v>19</v>
      </c>
      <c r="I262">
        <v>6.5192788393494377E-2</v>
      </c>
      <c r="J262" t="s">
        <v>6</v>
      </c>
      <c r="L262" t="s">
        <v>294</v>
      </c>
      <c r="M262" t="s">
        <v>19</v>
      </c>
      <c r="N262">
        <v>6.3257449852244588E-2</v>
      </c>
      <c r="O262" t="s">
        <v>6</v>
      </c>
    </row>
    <row r="263" spans="2:15" x14ac:dyDescent="0.45">
      <c r="L263" t="s">
        <v>295</v>
      </c>
      <c r="M263" t="s">
        <v>5</v>
      </c>
      <c r="N263">
        <v>9.7395312328192221E-2</v>
      </c>
      <c r="O263" t="s">
        <v>6</v>
      </c>
    </row>
    <row r="264" spans="2:15" x14ac:dyDescent="0.45">
      <c r="L264" t="s">
        <v>295</v>
      </c>
      <c r="M264" t="s">
        <v>9</v>
      </c>
      <c r="N264">
        <v>0.12208954752576696</v>
      </c>
      <c r="O264" t="s">
        <v>6</v>
      </c>
    </row>
    <row r="265" spans="2:15" x14ac:dyDescent="0.45">
      <c r="L265" t="s">
        <v>295</v>
      </c>
      <c r="M265" t="s">
        <v>10</v>
      </c>
      <c r="N265">
        <v>7.413163296028695E-2</v>
      </c>
      <c r="O265" t="s">
        <v>6</v>
      </c>
    </row>
    <row r="266" spans="2:15" x14ac:dyDescent="0.45">
      <c r="L266" t="s">
        <v>295</v>
      </c>
      <c r="M266" t="s">
        <v>11</v>
      </c>
      <c r="N266">
        <v>7.9610018050446332E-2</v>
      </c>
      <c r="O266" t="s">
        <v>6</v>
      </c>
    </row>
    <row r="267" spans="2:15" x14ac:dyDescent="0.45">
      <c r="L267" t="s">
        <v>295</v>
      </c>
      <c r="M267" t="s">
        <v>12</v>
      </c>
      <c r="N267">
        <v>9.7465277283776602E-2</v>
      </c>
      <c r="O267" t="s">
        <v>6</v>
      </c>
    </row>
    <row r="268" spans="2:15" x14ac:dyDescent="0.45">
      <c r="L268" t="s">
        <v>295</v>
      </c>
      <c r="M268" t="s">
        <v>13</v>
      </c>
      <c r="N268">
        <v>6.2121541183688789E-2</v>
      </c>
      <c r="O268" t="s">
        <v>6</v>
      </c>
    </row>
    <row r="269" spans="2:15" x14ac:dyDescent="0.45">
      <c r="L269" t="s">
        <v>295</v>
      </c>
      <c r="M269" t="s">
        <v>14</v>
      </c>
      <c r="N269">
        <v>6.7313937434905796E-2</v>
      </c>
      <c r="O269" t="s">
        <v>6</v>
      </c>
    </row>
    <row r="270" spans="2:15" x14ac:dyDescent="0.45">
      <c r="L270" t="s">
        <v>295</v>
      </c>
      <c r="M270" t="s">
        <v>15</v>
      </c>
      <c r="N270">
        <v>8.5727165309417125E-2</v>
      </c>
      <c r="O270" t="s">
        <v>6</v>
      </c>
    </row>
    <row r="271" spans="2:15" x14ac:dyDescent="0.45">
      <c r="L271" t="s">
        <v>295</v>
      </c>
      <c r="M271" t="s">
        <v>16</v>
      </c>
      <c r="N271">
        <v>5.1552232193526074E-2</v>
      </c>
      <c r="O271" t="s">
        <v>6</v>
      </c>
    </row>
    <row r="272" spans="2:15" x14ac:dyDescent="0.45">
      <c r="L272" t="s">
        <v>295</v>
      </c>
      <c r="M272" t="s">
        <v>17</v>
      </c>
      <c r="N272">
        <v>8.7093837607063004E-2</v>
      </c>
      <c r="O272" t="s">
        <v>6</v>
      </c>
    </row>
    <row r="273" spans="12:15" x14ac:dyDescent="0.45">
      <c r="L273" t="s">
        <v>295</v>
      </c>
      <c r="M273" t="s">
        <v>18</v>
      </c>
      <c r="N273">
        <v>0.10942488919507161</v>
      </c>
      <c r="O273" t="s">
        <v>6</v>
      </c>
    </row>
    <row r="274" spans="12:15" x14ac:dyDescent="0.45">
      <c r="L274" t="s">
        <v>295</v>
      </c>
      <c r="M274" t="s">
        <v>19</v>
      </c>
      <c r="N274">
        <v>6.6074608927856576E-2</v>
      </c>
      <c r="O274" t="s">
        <v>6</v>
      </c>
    </row>
    <row r="275" spans="12:15" x14ac:dyDescent="0.45">
      <c r="L275" t="s">
        <v>296</v>
      </c>
      <c r="M275" t="s">
        <v>5</v>
      </c>
      <c r="N275">
        <v>9.7005636966358624E-2</v>
      </c>
      <c r="O275" t="s">
        <v>6</v>
      </c>
    </row>
    <row r="276" spans="12:15" x14ac:dyDescent="0.45">
      <c r="L276" t="s">
        <v>296</v>
      </c>
      <c r="M276" t="s">
        <v>9</v>
      </c>
      <c r="N276">
        <v>0.11931504431256529</v>
      </c>
      <c r="O276" t="s">
        <v>6</v>
      </c>
    </row>
    <row r="277" spans="12:15" x14ac:dyDescent="0.45">
      <c r="L277" t="s">
        <v>296</v>
      </c>
      <c r="M277" t="s">
        <v>10</v>
      </c>
      <c r="N277">
        <v>7.0407919758663742E-2</v>
      </c>
      <c r="O277" t="s">
        <v>6</v>
      </c>
    </row>
    <row r="278" spans="12:15" x14ac:dyDescent="0.45">
      <c r="L278" t="s">
        <v>296</v>
      </c>
      <c r="M278" t="s">
        <v>11</v>
      </c>
      <c r="N278">
        <v>8.007712377739909E-2</v>
      </c>
      <c r="O278" t="s">
        <v>6</v>
      </c>
    </row>
    <row r="279" spans="12:15" x14ac:dyDescent="0.45">
      <c r="L279" t="s">
        <v>296</v>
      </c>
      <c r="M279" t="s">
        <v>12</v>
      </c>
      <c r="N279">
        <v>9.1123498190919625E-2</v>
      </c>
      <c r="O279" t="s">
        <v>6</v>
      </c>
    </row>
    <row r="280" spans="12:15" x14ac:dyDescent="0.45">
      <c r="L280" t="s">
        <v>296</v>
      </c>
      <c r="M280" t="s">
        <v>13</v>
      </c>
      <c r="N280">
        <v>6.0259239750630404E-2</v>
      </c>
      <c r="O280" t="s">
        <v>6</v>
      </c>
    </row>
    <row r="281" spans="12:15" x14ac:dyDescent="0.45">
      <c r="L281" t="s">
        <v>296</v>
      </c>
      <c r="M281" t="s">
        <v>14</v>
      </c>
      <c r="N281">
        <v>6.7693192548394718E-2</v>
      </c>
      <c r="O281" t="s">
        <v>6</v>
      </c>
    </row>
    <row r="282" spans="12:15" x14ac:dyDescent="0.45">
      <c r="L282" t="s">
        <v>296</v>
      </c>
      <c r="M282" t="s">
        <v>15</v>
      </c>
      <c r="N282">
        <v>9.1653776899351266E-2</v>
      </c>
      <c r="O282" t="s">
        <v>6</v>
      </c>
    </row>
    <row r="283" spans="12:15" x14ac:dyDescent="0.45">
      <c r="L283" t="s">
        <v>296</v>
      </c>
      <c r="M283" t="s">
        <v>16</v>
      </c>
      <c r="N283">
        <v>5.3473410647411887E-2</v>
      </c>
      <c r="O283" t="s">
        <v>6</v>
      </c>
    </row>
    <row r="284" spans="12:15" x14ac:dyDescent="0.45">
      <c r="L284" t="s">
        <v>296</v>
      </c>
      <c r="M284" t="s">
        <v>17</v>
      </c>
      <c r="N284">
        <v>8.9600337871095392E-2</v>
      </c>
      <c r="O284" t="s">
        <v>6</v>
      </c>
    </row>
    <row r="285" spans="12:15" x14ac:dyDescent="0.45">
      <c r="L285" t="s">
        <v>296</v>
      </c>
      <c r="M285" t="s">
        <v>18</v>
      </c>
      <c r="N285">
        <v>0.11228102796787183</v>
      </c>
      <c r="O285" t="s">
        <v>6</v>
      </c>
    </row>
    <row r="286" spans="12:15" x14ac:dyDescent="0.45">
      <c r="L286" t="s">
        <v>296</v>
      </c>
      <c r="M286" t="s">
        <v>19</v>
      </c>
      <c r="N286">
        <v>6.7109791309342609E-2</v>
      </c>
      <c r="O286" t="s">
        <v>6</v>
      </c>
    </row>
    <row r="287" spans="12:15" x14ac:dyDescent="0.45">
      <c r="L287" t="s">
        <v>297</v>
      </c>
      <c r="M287" t="s">
        <v>5</v>
      </c>
      <c r="N287">
        <v>9.6572090195766347E-2</v>
      </c>
      <c r="O287" t="s">
        <v>6</v>
      </c>
    </row>
    <row r="288" spans="12:15" x14ac:dyDescent="0.45">
      <c r="L288" t="s">
        <v>297</v>
      </c>
      <c r="M288" t="s">
        <v>9</v>
      </c>
      <c r="N288">
        <v>0.11500892260792964</v>
      </c>
      <c r="O288" t="s">
        <v>6</v>
      </c>
    </row>
    <row r="289" spans="12:15" x14ac:dyDescent="0.45">
      <c r="L289" t="s">
        <v>297</v>
      </c>
      <c r="M289" t="s">
        <v>10</v>
      </c>
      <c r="N289">
        <v>6.9540833071796121E-2</v>
      </c>
      <c r="O289" t="s">
        <v>6</v>
      </c>
    </row>
    <row r="290" spans="12:15" x14ac:dyDescent="0.45">
      <c r="L290" t="s">
        <v>297</v>
      </c>
      <c r="M290" t="s">
        <v>11</v>
      </c>
      <c r="N290">
        <v>7.9082282537509069E-2</v>
      </c>
      <c r="O290" t="s">
        <v>6</v>
      </c>
    </row>
    <row r="291" spans="12:15" x14ac:dyDescent="0.45">
      <c r="L291" t="s">
        <v>297</v>
      </c>
      <c r="M291" t="s">
        <v>12</v>
      </c>
      <c r="N291">
        <v>9.0478110336838349E-2</v>
      </c>
      <c r="O291" t="s">
        <v>6</v>
      </c>
    </row>
    <row r="292" spans="12:15" x14ac:dyDescent="0.45">
      <c r="L292" t="s">
        <v>297</v>
      </c>
      <c r="M292" t="s">
        <v>13</v>
      </c>
      <c r="N292">
        <v>5.8865016797642979E-2</v>
      </c>
      <c r="O292" t="s">
        <v>6</v>
      </c>
    </row>
    <row r="293" spans="12:15" x14ac:dyDescent="0.45">
      <c r="L293" t="s">
        <v>297</v>
      </c>
      <c r="M293" t="s">
        <v>14</v>
      </c>
      <c r="N293">
        <v>6.6474370961097498E-2</v>
      </c>
      <c r="O293" t="s">
        <v>6</v>
      </c>
    </row>
    <row r="294" spans="12:15" x14ac:dyDescent="0.45">
      <c r="L294" t="s">
        <v>297</v>
      </c>
      <c r="M294" t="s">
        <v>15</v>
      </c>
      <c r="N294">
        <v>9.1210146180002741E-2</v>
      </c>
      <c r="O294" t="s">
        <v>6</v>
      </c>
    </row>
    <row r="295" spans="12:15" x14ac:dyDescent="0.45">
      <c r="L295" t="s">
        <v>297</v>
      </c>
      <c r="M295" t="s">
        <v>16</v>
      </c>
      <c r="N295">
        <v>5.0563446670768813E-2</v>
      </c>
      <c r="O295" t="s">
        <v>6</v>
      </c>
    </row>
    <row r="296" spans="12:15" x14ac:dyDescent="0.45">
      <c r="L296" t="s">
        <v>297</v>
      </c>
      <c r="M296" t="s">
        <v>17</v>
      </c>
      <c r="N296">
        <v>9.4747695533079157E-2</v>
      </c>
      <c r="O296" t="s">
        <v>6</v>
      </c>
    </row>
    <row r="297" spans="12:15" x14ac:dyDescent="0.45">
      <c r="L297" t="s">
        <v>297</v>
      </c>
      <c r="M297" t="s">
        <v>18</v>
      </c>
      <c r="N297">
        <v>0.11625912265717395</v>
      </c>
      <c r="O297" t="s">
        <v>6</v>
      </c>
    </row>
    <row r="298" spans="12:15" x14ac:dyDescent="0.45">
      <c r="L298" t="s">
        <v>297</v>
      </c>
      <c r="M298" t="s">
        <v>19</v>
      </c>
      <c r="N298">
        <v>7.1197962450394378E-2</v>
      </c>
      <c r="O298" t="s">
        <v>6</v>
      </c>
    </row>
    <row r="299" spans="12:15" x14ac:dyDescent="0.45">
      <c r="L299" t="s">
        <v>298</v>
      </c>
      <c r="M299" t="s">
        <v>5</v>
      </c>
      <c r="N299">
        <v>9.8125132642319132E-2</v>
      </c>
      <c r="O299" t="s">
        <v>6</v>
      </c>
    </row>
    <row r="300" spans="12:15" x14ac:dyDescent="0.45">
      <c r="L300" t="s">
        <v>298</v>
      </c>
      <c r="M300" t="s">
        <v>9</v>
      </c>
      <c r="N300">
        <v>0.11756478376248757</v>
      </c>
      <c r="O300" t="s">
        <v>6</v>
      </c>
    </row>
    <row r="301" spans="12:15" x14ac:dyDescent="0.45">
      <c r="L301" t="s">
        <v>298</v>
      </c>
      <c r="M301" t="s">
        <v>10</v>
      </c>
      <c r="N301">
        <v>7.1732615297586538E-2</v>
      </c>
      <c r="O301" t="s">
        <v>6</v>
      </c>
    </row>
    <row r="302" spans="12:15" x14ac:dyDescent="0.45">
      <c r="L302" t="s">
        <v>298</v>
      </c>
      <c r="M302" t="s">
        <v>11</v>
      </c>
      <c r="N302">
        <v>8.0356435864513076E-2</v>
      </c>
      <c r="O302" t="s">
        <v>6</v>
      </c>
    </row>
    <row r="303" spans="12:15" x14ac:dyDescent="0.45">
      <c r="L303" t="s">
        <v>298</v>
      </c>
      <c r="M303" t="s">
        <v>12</v>
      </c>
      <c r="N303">
        <v>9.6313155225143832E-2</v>
      </c>
      <c r="O303" t="s">
        <v>6</v>
      </c>
    </row>
    <row r="304" spans="12:15" x14ac:dyDescent="0.45">
      <c r="L304" t="s">
        <v>298</v>
      </c>
      <c r="M304" t="s">
        <v>13</v>
      </c>
      <c r="N304">
        <v>6.0959523805565914E-2</v>
      </c>
      <c r="O304" t="s">
        <v>6</v>
      </c>
    </row>
    <row r="305" spans="12:15" x14ac:dyDescent="0.45">
      <c r="L305" t="s">
        <v>298</v>
      </c>
      <c r="M305" t="s">
        <v>14</v>
      </c>
      <c r="N305">
        <v>6.5812903611887075E-2</v>
      </c>
      <c r="O305" t="s">
        <v>6</v>
      </c>
    </row>
    <row r="306" spans="12:15" x14ac:dyDescent="0.45">
      <c r="L306" t="s">
        <v>298</v>
      </c>
      <c r="M306" t="s">
        <v>15</v>
      </c>
      <c r="N306">
        <v>8.8101057996984061E-2</v>
      </c>
      <c r="O306" t="s">
        <v>6</v>
      </c>
    </row>
    <row r="307" spans="12:15" x14ac:dyDescent="0.45">
      <c r="L307" t="s">
        <v>298</v>
      </c>
      <c r="M307" t="s">
        <v>16</v>
      </c>
      <c r="N307">
        <v>4.7922829325387502E-2</v>
      </c>
      <c r="O307" t="s">
        <v>6</v>
      </c>
    </row>
    <row r="308" spans="12:15" x14ac:dyDescent="0.45">
      <c r="L308" t="s">
        <v>298</v>
      </c>
      <c r="M308" t="s">
        <v>17</v>
      </c>
      <c r="N308">
        <v>9.1838687676070896E-2</v>
      </c>
      <c r="O308" t="s">
        <v>6</v>
      </c>
    </row>
    <row r="309" spans="12:15" x14ac:dyDescent="0.45">
      <c r="L309" t="s">
        <v>298</v>
      </c>
      <c r="M309" t="s">
        <v>18</v>
      </c>
      <c r="N309">
        <v>0.11239110692940833</v>
      </c>
      <c r="O309" t="s">
        <v>6</v>
      </c>
    </row>
    <row r="310" spans="12:15" x14ac:dyDescent="0.45">
      <c r="L310" t="s">
        <v>298</v>
      </c>
      <c r="M310" t="s">
        <v>19</v>
      </c>
      <c r="N310">
        <v>6.8881767862643134E-2</v>
      </c>
      <c r="O310" t="s">
        <v>6</v>
      </c>
    </row>
    <row r="311" spans="12:15" x14ac:dyDescent="0.45">
      <c r="L311" t="s">
        <v>299</v>
      </c>
      <c r="M311" t="s">
        <v>5</v>
      </c>
      <c r="N311">
        <v>9.7192583446063865E-2</v>
      </c>
      <c r="O311" t="s">
        <v>6</v>
      </c>
    </row>
    <row r="312" spans="12:15" x14ac:dyDescent="0.45">
      <c r="L312" t="s">
        <v>299</v>
      </c>
      <c r="M312" t="s">
        <v>9</v>
      </c>
      <c r="N312">
        <v>0.11894287359159329</v>
      </c>
      <c r="O312" t="s">
        <v>6</v>
      </c>
    </row>
    <row r="313" spans="12:15" x14ac:dyDescent="0.45">
      <c r="L313" t="s">
        <v>299</v>
      </c>
      <c r="M313" t="s">
        <v>10</v>
      </c>
      <c r="N313">
        <v>7.5020405530051848E-2</v>
      </c>
      <c r="O313" t="s">
        <v>6</v>
      </c>
    </row>
    <row r="314" spans="12:15" x14ac:dyDescent="0.45">
      <c r="L314" t="s">
        <v>299</v>
      </c>
      <c r="M314" t="s">
        <v>11</v>
      </c>
      <c r="N314">
        <v>8.801530415350628E-2</v>
      </c>
      <c r="O314" t="s">
        <v>6</v>
      </c>
    </row>
    <row r="315" spans="12:15" x14ac:dyDescent="0.45">
      <c r="L315" t="s">
        <v>299</v>
      </c>
      <c r="M315" t="s">
        <v>12</v>
      </c>
      <c r="N315">
        <v>0.10979121269383345</v>
      </c>
      <c r="O315" t="s">
        <v>6</v>
      </c>
    </row>
    <row r="316" spans="12:15" x14ac:dyDescent="0.45">
      <c r="L316" t="s">
        <v>299</v>
      </c>
      <c r="M316" t="s">
        <v>13</v>
      </c>
      <c r="N316">
        <v>6.7204378800777786E-2</v>
      </c>
      <c r="O316" t="s">
        <v>6</v>
      </c>
    </row>
    <row r="317" spans="12:15" x14ac:dyDescent="0.45">
      <c r="L317" t="s">
        <v>299</v>
      </c>
      <c r="M317" t="s">
        <v>14</v>
      </c>
      <c r="N317">
        <v>5.9217351611791681E-2</v>
      </c>
      <c r="O317" t="s">
        <v>6</v>
      </c>
    </row>
    <row r="318" spans="12:15" x14ac:dyDescent="0.45">
      <c r="L318" t="s">
        <v>299</v>
      </c>
      <c r="M318" t="s">
        <v>15</v>
      </c>
      <c r="N318">
        <v>6.3259758569564492E-2</v>
      </c>
      <c r="O318" t="s">
        <v>6</v>
      </c>
    </row>
    <row r="319" spans="12:15" x14ac:dyDescent="0.45">
      <c r="L319" t="s">
        <v>299</v>
      </c>
      <c r="M319" t="s">
        <v>16</v>
      </c>
      <c r="N319">
        <v>4.0878124853898162E-2</v>
      </c>
      <c r="O319" t="s">
        <v>6</v>
      </c>
    </row>
    <row r="320" spans="12:15" x14ac:dyDescent="0.45">
      <c r="L320" t="s">
        <v>299</v>
      </c>
      <c r="M320" t="s">
        <v>17</v>
      </c>
      <c r="N320">
        <v>9.3921682068636395E-2</v>
      </c>
      <c r="O320" t="s">
        <v>6</v>
      </c>
    </row>
    <row r="321" spans="12:15" x14ac:dyDescent="0.45">
      <c r="L321" t="s">
        <v>299</v>
      </c>
      <c r="M321" t="s">
        <v>18</v>
      </c>
      <c r="N321">
        <v>0.11650078456899793</v>
      </c>
      <c r="O321" t="s">
        <v>6</v>
      </c>
    </row>
    <row r="322" spans="12:15" x14ac:dyDescent="0.45">
      <c r="L322" t="s">
        <v>299</v>
      </c>
      <c r="M322" t="s">
        <v>19</v>
      </c>
      <c r="N322">
        <v>7.005554011128455E-2</v>
      </c>
      <c r="O322" t="s">
        <v>6</v>
      </c>
    </row>
    <row r="323" spans="12:15" x14ac:dyDescent="0.45">
      <c r="L323" t="s">
        <v>300</v>
      </c>
      <c r="M323" t="s">
        <v>5</v>
      </c>
      <c r="N323">
        <v>0.10206306839666845</v>
      </c>
      <c r="O323" t="s">
        <v>6</v>
      </c>
    </row>
    <row r="324" spans="12:15" x14ac:dyDescent="0.45">
      <c r="L324" t="s">
        <v>300</v>
      </c>
      <c r="M324" t="s">
        <v>9</v>
      </c>
      <c r="N324">
        <v>0.12576992815227192</v>
      </c>
      <c r="O324" t="s">
        <v>6</v>
      </c>
    </row>
    <row r="325" spans="12:15" x14ac:dyDescent="0.45">
      <c r="L325" t="s">
        <v>300</v>
      </c>
      <c r="M325" t="s">
        <v>10</v>
      </c>
      <c r="N325">
        <v>7.9057001008203787E-2</v>
      </c>
      <c r="O325" t="s">
        <v>6</v>
      </c>
    </row>
    <row r="326" spans="12:15" x14ac:dyDescent="0.45">
      <c r="L326" t="s">
        <v>300</v>
      </c>
      <c r="M326" t="s">
        <v>11</v>
      </c>
      <c r="N326">
        <v>8.9549778294433446E-2</v>
      </c>
      <c r="O326" t="s">
        <v>6</v>
      </c>
    </row>
    <row r="327" spans="12:15" x14ac:dyDescent="0.45">
      <c r="L327" t="s">
        <v>300</v>
      </c>
      <c r="M327" t="s">
        <v>12</v>
      </c>
      <c r="N327">
        <v>0.11038159741360973</v>
      </c>
      <c r="O327" t="s">
        <v>6</v>
      </c>
    </row>
    <row r="328" spans="12:15" x14ac:dyDescent="0.45">
      <c r="L328" t="s">
        <v>300</v>
      </c>
      <c r="M328" t="s">
        <v>13</v>
      </c>
      <c r="N328">
        <v>6.5247943055865343E-2</v>
      </c>
      <c r="O328" t="s">
        <v>6</v>
      </c>
    </row>
    <row r="329" spans="12:15" x14ac:dyDescent="0.45">
      <c r="L329" t="s">
        <v>300</v>
      </c>
      <c r="M329" t="s">
        <v>14</v>
      </c>
      <c r="N329">
        <v>4.7722475459738629E-2</v>
      </c>
      <c r="O329" t="s">
        <v>6</v>
      </c>
    </row>
    <row r="330" spans="12:15" x14ac:dyDescent="0.45">
      <c r="L330" t="s">
        <v>300</v>
      </c>
      <c r="M330" t="s">
        <v>15</v>
      </c>
      <c r="N330">
        <v>5.3776634827759059E-2</v>
      </c>
      <c r="O330" t="s">
        <v>6</v>
      </c>
    </row>
    <row r="331" spans="12:15" x14ac:dyDescent="0.45">
      <c r="L331" t="s">
        <v>300</v>
      </c>
      <c r="M331" t="s">
        <v>16</v>
      </c>
      <c r="N331">
        <v>3.737125060858415E-2</v>
      </c>
      <c r="O331" t="s">
        <v>6</v>
      </c>
    </row>
    <row r="332" spans="12:15" x14ac:dyDescent="0.45">
      <c r="L332" t="s">
        <v>300</v>
      </c>
      <c r="M332" t="s">
        <v>17</v>
      </c>
      <c r="N332">
        <v>9.6504857280784687E-2</v>
      </c>
      <c r="O332" t="s">
        <v>6</v>
      </c>
    </row>
    <row r="333" spans="12:15" x14ac:dyDescent="0.45">
      <c r="L333" t="s">
        <v>300</v>
      </c>
      <c r="M333" t="s">
        <v>18</v>
      </c>
      <c r="N333">
        <v>0.11767859188768506</v>
      </c>
      <c r="O333" t="s">
        <v>6</v>
      </c>
    </row>
    <row r="334" spans="12:15" x14ac:dyDescent="0.45">
      <c r="L334" t="s">
        <v>300</v>
      </c>
      <c r="M334" t="s">
        <v>19</v>
      </c>
      <c r="N334">
        <v>7.4876873614393186E-2</v>
      </c>
      <c r="O334" t="s">
        <v>6</v>
      </c>
    </row>
    <row r="335" spans="12:15" x14ac:dyDescent="0.45">
      <c r="L335" t="s">
        <v>301</v>
      </c>
      <c r="M335" t="s">
        <v>5</v>
      </c>
      <c r="N335">
        <v>9.8386874679632599E-2</v>
      </c>
      <c r="O335" t="s">
        <v>6</v>
      </c>
    </row>
    <row r="336" spans="12:15" x14ac:dyDescent="0.45">
      <c r="L336" t="s">
        <v>301</v>
      </c>
      <c r="M336" t="s">
        <v>9</v>
      </c>
      <c r="N336">
        <v>0.12022465455475756</v>
      </c>
      <c r="O336" t="s">
        <v>6</v>
      </c>
    </row>
    <row r="337" spans="12:15" x14ac:dyDescent="0.45">
      <c r="L337" t="s">
        <v>301</v>
      </c>
      <c r="M337" t="s">
        <v>10</v>
      </c>
      <c r="N337">
        <v>7.5107034625042493E-2</v>
      </c>
      <c r="O337" t="s">
        <v>6</v>
      </c>
    </row>
    <row r="338" spans="12:15" x14ac:dyDescent="0.45">
      <c r="L338" t="s">
        <v>301</v>
      </c>
      <c r="M338" t="s">
        <v>11</v>
      </c>
      <c r="N338">
        <v>8.8777209959926606E-2</v>
      </c>
      <c r="O338" t="s">
        <v>6</v>
      </c>
    </row>
    <row r="339" spans="12:15" x14ac:dyDescent="0.45">
      <c r="L339" t="s">
        <v>301</v>
      </c>
      <c r="M339" t="s">
        <v>12</v>
      </c>
      <c r="N339">
        <v>0.11098648905748644</v>
      </c>
      <c r="O339" t="s">
        <v>6</v>
      </c>
    </row>
    <row r="340" spans="12:15" x14ac:dyDescent="0.45">
      <c r="L340" t="s">
        <v>301</v>
      </c>
      <c r="M340" t="s">
        <v>13</v>
      </c>
      <c r="N340">
        <v>6.6090940498317985E-2</v>
      </c>
      <c r="O340" t="s">
        <v>6</v>
      </c>
    </row>
    <row r="341" spans="12:15" x14ac:dyDescent="0.45">
      <c r="L341" t="s">
        <v>301</v>
      </c>
      <c r="M341" t="s">
        <v>14</v>
      </c>
      <c r="N341">
        <v>5.3435566739202939E-2</v>
      </c>
      <c r="O341" t="s">
        <v>6</v>
      </c>
    </row>
    <row r="342" spans="12:15" x14ac:dyDescent="0.45">
      <c r="L342" t="s">
        <v>301</v>
      </c>
      <c r="M342" t="s">
        <v>15</v>
      </c>
      <c r="N342">
        <v>5.884538854919031E-2</v>
      </c>
      <c r="O342" t="s">
        <v>6</v>
      </c>
    </row>
    <row r="343" spans="12:15" x14ac:dyDescent="0.45">
      <c r="L343" t="s">
        <v>301</v>
      </c>
      <c r="M343" t="s">
        <v>16</v>
      </c>
      <c r="N343">
        <v>3.956979366755236E-2</v>
      </c>
      <c r="O343" t="s">
        <v>6</v>
      </c>
    </row>
    <row r="344" spans="12:15" x14ac:dyDescent="0.45">
      <c r="L344" t="s">
        <v>301</v>
      </c>
      <c r="M344" t="s">
        <v>17</v>
      </c>
      <c r="N344">
        <v>9.667156475876458E-2</v>
      </c>
      <c r="O344" t="s">
        <v>6</v>
      </c>
    </row>
    <row r="345" spans="12:15" x14ac:dyDescent="0.45">
      <c r="L345" t="s">
        <v>301</v>
      </c>
      <c r="M345" t="s">
        <v>18</v>
      </c>
      <c r="N345">
        <v>0.11812493417736096</v>
      </c>
      <c r="O345" t="s">
        <v>6</v>
      </c>
    </row>
    <row r="346" spans="12:15" x14ac:dyDescent="0.45">
      <c r="L346" t="s">
        <v>301</v>
      </c>
      <c r="M346" t="s">
        <v>19</v>
      </c>
      <c r="N346">
        <v>7.3779548732767888E-2</v>
      </c>
      <c r="O346" t="s">
        <v>6</v>
      </c>
    </row>
    <row r="347" spans="12:15" x14ac:dyDescent="0.45">
      <c r="L347" t="s">
        <v>302</v>
      </c>
      <c r="M347" t="s">
        <v>5</v>
      </c>
      <c r="N347">
        <v>9.7899123903564311E-2</v>
      </c>
      <c r="O347" t="s">
        <v>6</v>
      </c>
    </row>
    <row r="348" spans="12:15" x14ac:dyDescent="0.45">
      <c r="L348" t="s">
        <v>302</v>
      </c>
      <c r="M348" t="s">
        <v>9</v>
      </c>
      <c r="N348">
        <v>0.1237402933402318</v>
      </c>
      <c r="O348" t="s">
        <v>6</v>
      </c>
    </row>
    <row r="349" spans="12:15" x14ac:dyDescent="0.45">
      <c r="L349" t="s">
        <v>302</v>
      </c>
      <c r="M349" t="s">
        <v>10</v>
      </c>
      <c r="N349">
        <v>7.1003126983331638E-2</v>
      </c>
      <c r="O349" t="s">
        <v>6</v>
      </c>
    </row>
    <row r="350" spans="12:15" x14ac:dyDescent="0.45">
      <c r="L350" t="s">
        <v>302</v>
      </c>
      <c r="M350" t="s">
        <v>11</v>
      </c>
      <c r="N350">
        <v>8.887146578961734E-2</v>
      </c>
      <c r="O350" t="s">
        <v>6</v>
      </c>
    </row>
    <row r="351" spans="12:15" x14ac:dyDescent="0.45">
      <c r="L351" t="s">
        <v>302</v>
      </c>
      <c r="M351" t="s">
        <v>12</v>
      </c>
      <c r="N351">
        <v>0.10741125027691824</v>
      </c>
      <c r="O351" t="s">
        <v>6</v>
      </c>
    </row>
    <row r="352" spans="12:15" x14ac:dyDescent="0.45">
      <c r="L352" t="s">
        <v>302</v>
      </c>
      <c r="M352" t="s">
        <v>13</v>
      </c>
      <c r="N352">
        <v>6.4578295482246847E-2</v>
      </c>
      <c r="O352" t="s">
        <v>6</v>
      </c>
    </row>
    <row r="353" spans="12:15" x14ac:dyDescent="0.45">
      <c r="L353" t="s">
        <v>302</v>
      </c>
      <c r="M353" t="s">
        <v>14</v>
      </c>
      <c r="N353">
        <v>5.3799044179087568E-2</v>
      </c>
      <c r="O353" t="s">
        <v>6</v>
      </c>
    </row>
    <row r="354" spans="12:15" x14ac:dyDescent="0.45">
      <c r="L354" t="s">
        <v>302</v>
      </c>
      <c r="M354" t="s">
        <v>15</v>
      </c>
      <c r="N354">
        <v>6.4839257810378345E-2</v>
      </c>
      <c r="O354" t="s">
        <v>6</v>
      </c>
    </row>
    <row r="355" spans="12:15" x14ac:dyDescent="0.45">
      <c r="L355" t="s">
        <v>302</v>
      </c>
      <c r="M355" t="s">
        <v>16</v>
      </c>
      <c r="N355">
        <v>4.119429493493143E-2</v>
      </c>
      <c r="O355" t="s">
        <v>6</v>
      </c>
    </row>
    <row r="356" spans="12:15" x14ac:dyDescent="0.45">
      <c r="L356" t="s">
        <v>302</v>
      </c>
      <c r="M356" t="s">
        <v>17</v>
      </c>
      <c r="N356">
        <v>9.6120275963192461E-2</v>
      </c>
      <c r="O356" t="s">
        <v>6</v>
      </c>
    </row>
    <row r="357" spans="12:15" x14ac:dyDescent="0.45">
      <c r="L357" t="s">
        <v>302</v>
      </c>
      <c r="M357" t="s">
        <v>18</v>
      </c>
      <c r="N357">
        <v>0.11600016779478145</v>
      </c>
      <c r="O357" t="s">
        <v>6</v>
      </c>
    </row>
    <row r="358" spans="12:15" x14ac:dyDescent="0.45">
      <c r="L358" t="s">
        <v>302</v>
      </c>
      <c r="M358" t="s">
        <v>19</v>
      </c>
      <c r="N358">
        <v>7.4543403541718775E-2</v>
      </c>
      <c r="O358" t="s">
        <v>6</v>
      </c>
    </row>
    <row r="359" spans="12:15" x14ac:dyDescent="0.45">
      <c r="L359" t="s">
        <v>303</v>
      </c>
      <c r="M359" t="s">
        <v>5</v>
      </c>
      <c r="N359">
        <v>9.8799905355286821E-2</v>
      </c>
      <c r="O359" t="s">
        <v>6</v>
      </c>
    </row>
    <row r="360" spans="12:15" x14ac:dyDescent="0.45">
      <c r="L360" t="s">
        <v>303</v>
      </c>
      <c r="M360" t="s">
        <v>9</v>
      </c>
      <c r="N360">
        <v>0.11978292830146374</v>
      </c>
      <c r="O360" t="s">
        <v>6</v>
      </c>
    </row>
    <row r="361" spans="12:15" x14ac:dyDescent="0.45">
      <c r="L361" t="s">
        <v>303</v>
      </c>
      <c r="M361" t="s">
        <v>10</v>
      </c>
      <c r="N361">
        <v>7.0372318513311216E-2</v>
      </c>
      <c r="O361" t="s">
        <v>6</v>
      </c>
    </row>
    <row r="362" spans="12:15" x14ac:dyDescent="0.45">
      <c r="L362" t="s">
        <v>303</v>
      </c>
      <c r="M362" t="s">
        <v>11</v>
      </c>
      <c r="N362">
        <v>8.5817825761457647E-2</v>
      </c>
      <c r="O362" t="s">
        <v>6</v>
      </c>
    </row>
    <row r="363" spans="12:15" x14ac:dyDescent="0.45">
      <c r="L363" t="s">
        <v>303</v>
      </c>
      <c r="M363" t="s">
        <v>12</v>
      </c>
      <c r="N363">
        <v>0.10045298430632379</v>
      </c>
      <c r="O363" t="s">
        <v>6</v>
      </c>
    </row>
    <row r="364" spans="12:15" x14ac:dyDescent="0.45">
      <c r="L364" t="s">
        <v>303</v>
      </c>
      <c r="M364" t="s">
        <v>13</v>
      </c>
      <c r="N364">
        <v>6.299358179911356E-2</v>
      </c>
      <c r="O364" t="s">
        <v>6</v>
      </c>
    </row>
    <row r="365" spans="12:15" x14ac:dyDescent="0.45">
      <c r="L365" t="s">
        <v>303</v>
      </c>
      <c r="M365" t="s">
        <v>14</v>
      </c>
      <c r="N365">
        <v>5.9045146826871724E-2</v>
      </c>
      <c r="O365" t="s">
        <v>6</v>
      </c>
    </row>
    <row r="366" spans="12:15" x14ac:dyDescent="0.45">
      <c r="L366" t="s">
        <v>303</v>
      </c>
      <c r="M366" t="s">
        <v>15</v>
      </c>
      <c r="N366">
        <v>7.7734534960622659E-2</v>
      </c>
      <c r="O366" t="s">
        <v>6</v>
      </c>
    </row>
    <row r="367" spans="12:15" x14ac:dyDescent="0.45">
      <c r="L367" t="s">
        <v>303</v>
      </c>
      <c r="M367" t="s">
        <v>16</v>
      </c>
      <c r="N367">
        <v>4.166744506777903E-2</v>
      </c>
      <c r="O367" t="s">
        <v>6</v>
      </c>
    </row>
    <row r="368" spans="12:15" x14ac:dyDescent="0.45">
      <c r="L368" t="s">
        <v>303</v>
      </c>
      <c r="M368" t="s">
        <v>17</v>
      </c>
      <c r="N368">
        <v>9.506548291698548E-2</v>
      </c>
      <c r="O368" t="s">
        <v>6</v>
      </c>
    </row>
    <row r="369" spans="12:15" x14ac:dyDescent="0.45">
      <c r="L369" t="s">
        <v>303</v>
      </c>
      <c r="M369" t="s">
        <v>18</v>
      </c>
      <c r="N369">
        <v>0.11565074990915064</v>
      </c>
      <c r="O369" t="s">
        <v>6</v>
      </c>
    </row>
    <row r="370" spans="12:15" x14ac:dyDescent="0.45">
      <c r="L370" t="s">
        <v>303</v>
      </c>
      <c r="M370" t="s">
        <v>19</v>
      </c>
      <c r="N370">
        <v>7.261709628163196E-2</v>
      </c>
      <c r="O370" t="s">
        <v>6</v>
      </c>
    </row>
    <row r="371" spans="12:15" x14ac:dyDescent="0.45">
      <c r="L371" t="s">
        <v>304</v>
      </c>
      <c r="M371" t="s">
        <v>5</v>
      </c>
      <c r="N371">
        <v>0.10085897360322824</v>
      </c>
      <c r="O371" t="s">
        <v>6</v>
      </c>
    </row>
    <row r="372" spans="12:15" x14ac:dyDescent="0.45">
      <c r="L372" t="s">
        <v>304</v>
      </c>
      <c r="M372" t="s">
        <v>9</v>
      </c>
      <c r="N372">
        <v>0.12597530873325369</v>
      </c>
      <c r="O372" t="s">
        <v>6</v>
      </c>
    </row>
    <row r="373" spans="12:15" x14ac:dyDescent="0.45">
      <c r="L373" t="s">
        <v>304</v>
      </c>
      <c r="M373" t="s">
        <v>10</v>
      </c>
      <c r="N373">
        <v>7.5966581642084863E-2</v>
      </c>
      <c r="O373" t="s">
        <v>6</v>
      </c>
    </row>
    <row r="374" spans="12:15" x14ac:dyDescent="0.45">
      <c r="L374" t="s">
        <v>304</v>
      </c>
      <c r="M374" t="s">
        <v>11</v>
      </c>
      <c r="N374">
        <v>8.5748539629366849E-2</v>
      </c>
      <c r="O374" t="s">
        <v>6</v>
      </c>
    </row>
    <row r="375" spans="12:15" x14ac:dyDescent="0.45">
      <c r="L375" t="s">
        <v>304</v>
      </c>
      <c r="M375" t="s">
        <v>12</v>
      </c>
      <c r="N375">
        <v>0.10569464441918713</v>
      </c>
      <c r="O375" t="s">
        <v>6</v>
      </c>
    </row>
    <row r="376" spans="12:15" x14ac:dyDescent="0.45">
      <c r="L376" t="s">
        <v>304</v>
      </c>
      <c r="M376" t="s">
        <v>13</v>
      </c>
      <c r="N376">
        <v>6.447528195189603E-2</v>
      </c>
      <c r="O376" t="s">
        <v>6</v>
      </c>
    </row>
    <row r="377" spans="12:15" x14ac:dyDescent="0.45">
      <c r="L377" t="s">
        <v>304</v>
      </c>
      <c r="M377" t="s">
        <v>14</v>
      </c>
      <c r="N377">
        <v>5.0435091959808317E-2</v>
      </c>
      <c r="O377" t="s">
        <v>6</v>
      </c>
    </row>
    <row r="378" spans="12:15" x14ac:dyDescent="0.45">
      <c r="L378" t="s">
        <v>304</v>
      </c>
      <c r="M378" t="s">
        <v>15</v>
      </c>
      <c r="N378">
        <v>5.8467106100976052E-2</v>
      </c>
      <c r="O378" t="s">
        <v>6</v>
      </c>
    </row>
    <row r="379" spans="12:15" x14ac:dyDescent="0.45">
      <c r="L379" t="s">
        <v>304</v>
      </c>
      <c r="M379" t="s">
        <v>16</v>
      </c>
      <c r="N379">
        <v>4.3904386068975232E-2</v>
      </c>
      <c r="O379" t="s">
        <v>6</v>
      </c>
    </row>
    <row r="380" spans="12:15" x14ac:dyDescent="0.45">
      <c r="L380" t="s">
        <v>304</v>
      </c>
      <c r="M380" t="s">
        <v>17</v>
      </c>
      <c r="N380">
        <v>9.6452522098721696E-2</v>
      </c>
      <c r="O380" t="s">
        <v>6</v>
      </c>
    </row>
    <row r="381" spans="12:15" x14ac:dyDescent="0.45">
      <c r="L381" t="s">
        <v>304</v>
      </c>
      <c r="M381" t="s">
        <v>18</v>
      </c>
      <c r="N381">
        <v>0.1171374051738181</v>
      </c>
      <c r="O381" t="s">
        <v>6</v>
      </c>
    </row>
    <row r="382" spans="12:15" x14ac:dyDescent="0.45">
      <c r="L382" t="s">
        <v>304</v>
      </c>
      <c r="M382" t="s">
        <v>19</v>
      </c>
      <c r="N382">
        <v>7.4884158618686122E-2</v>
      </c>
      <c r="O382" t="s">
        <v>6</v>
      </c>
    </row>
    <row r="383" spans="12:15" x14ac:dyDescent="0.45">
      <c r="L383" t="s">
        <v>305</v>
      </c>
      <c r="M383" t="s">
        <v>5</v>
      </c>
      <c r="N383">
        <v>0.10266712193137281</v>
      </c>
      <c r="O383" t="s">
        <v>6</v>
      </c>
    </row>
    <row r="384" spans="12:15" x14ac:dyDescent="0.45">
      <c r="L384" t="s">
        <v>305</v>
      </c>
      <c r="M384" t="s">
        <v>9</v>
      </c>
      <c r="N384">
        <v>0.12441841339599002</v>
      </c>
      <c r="O384" t="s">
        <v>6</v>
      </c>
    </row>
    <row r="385" spans="12:15" x14ac:dyDescent="0.45">
      <c r="L385" t="s">
        <v>305</v>
      </c>
      <c r="M385" t="s">
        <v>10</v>
      </c>
      <c r="N385">
        <v>7.6197639127934702E-2</v>
      </c>
      <c r="O385" t="s">
        <v>6</v>
      </c>
    </row>
    <row r="386" spans="12:15" x14ac:dyDescent="0.45">
      <c r="L386" t="s">
        <v>305</v>
      </c>
      <c r="M386" t="s">
        <v>11</v>
      </c>
      <c r="N386">
        <v>7.8717943105638816E-2</v>
      </c>
      <c r="O386" t="s">
        <v>6</v>
      </c>
    </row>
    <row r="387" spans="12:15" x14ac:dyDescent="0.45">
      <c r="L387" t="s">
        <v>305</v>
      </c>
      <c r="M387" t="s">
        <v>12</v>
      </c>
      <c r="N387">
        <v>9.535990169756961E-2</v>
      </c>
      <c r="O387" t="s">
        <v>6</v>
      </c>
    </row>
    <row r="388" spans="12:15" x14ac:dyDescent="0.45">
      <c r="L388" t="s">
        <v>305</v>
      </c>
      <c r="M388" t="s">
        <v>13</v>
      </c>
      <c r="N388">
        <v>6.3042734489616725E-2</v>
      </c>
      <c r="O388" t="s">
        <v>6</v>
      </c>
    </row>
    <row r="389" spans="12:15" x14ac:dyDescent="0.45">
      <c r="L389" t="s">
        <v>305</v>
      </c>
      <c r="M389" t="s">
        <v>14</v>
      </c>
      <c r="N389">
        <v>5.8442133245536806E-2</v>
      </c>
      <c r="O389" t="s">
        <v>6</v>
      </c>
    </row>
    <row r="390" spans="12:15" x14ac:dyDescent="0.45">
      <c r="L390" t="s">
        <v>305</v>
      </c>
      <c r="M390" t="s">
        <v>15</v>
      </c>
      <c r="N390">
        <v>7.3863310404364835E-2</v>
      </c>
      <c r="O390" t="s">
        <v>6</v>
      </c>
    </row>
    <row r="391" spans="12:15" x14ac:dyDescent="0.45">
      <c r="L391" t="s">
        <v>305</v>
      </c>
      <c r="M391" t="s">
        <v>16</v>
      </c>
      <c r="N391">
        <v>4.438902280718434E-2</v>
      </c>
      <c r="O391" t="s">
        <v>6</v>
      </c>
    </row>
    <row r="392" spans="12:15" x14ac:dyDescent="0.45">
      <c r="L392" t="s">
        <v>305</v>
      </c>
      <c r="M392" t="s">
        <v>17</v>
      </c>
      <c r="N392">
        <v>9.4580019947587038E-2</v>
      </c>
      <c r="O392" t="s">
        <v>6</v>
      </c>
    </row>
    <row r="393" spans="12:15" x14ac:dyDescent="0.45">
      <c r="L393" t="s">
        <v>305</v>
      </c>
      <c r="M393" t="s">
        <v>18</v>
      </c>
      <c r="N393">
        <v>0.11544884717423305</v>
      </c>
      <c r="O393" t="s">
        <v>6</v>
      </c>
    </row>
    <row r="394" spans="12:15" x14ac:dyDescent="0.45">
      <c r="L394" t="s">
        <v>305</v>
      </c>
      <c r="M394" t="s">
        <v>19</v>
      </c>
      <c r="N394">
        <v>7.2872912672969803E-2</v>
      </c>
      <c r="O394" t="s">
        <v>6</v>
      </c>
    </row>
    <row r="395" spans="12:15" x14ac:dyDescent="0.45">
      <c r="L395" t="s">
        <v>306</v>
      </c>
      <c r="M395" t="s">
        <v>5</v>
      </c>
      <c r="N395">
        <v>9.6978416216779648E-2</v>
      </c>
      <c r="O395" t="s">
        <v>6</v>
      </c>
    </row>
    <row r="396" spans="12:15" x14ac:dyDescent="0.45">
      <c r="L396" t="s">
        <v>306</v>
      </c>
      <c r="M396" t="s">
        <v>9</v>
      </c>
      <c r="N396">
        <v>0.12099162711907076</v>
      </c>
      <c r="O396" t="s">
        <v>6</v>
      </c>
    </row>
    <row r="397" spans="12:15" x14ac:dyDescent="0.45">
      <c r="L397" t="s">
        <v>306</v>
      </c>
      <c r="M397" t="s">
        <v>10</v>
      </c>
      <c r="N397">
        <v>7.4343281606465292E-2</v>
      </c>
      <c r="O397" t="s">
        <v>6</v>
      </c>
    </row>
    <row r="398" spans="12:15" x14ac:dyDescent="0.45">
      <c r="L398" t="s">
        <v>306</v>
      </c>
      <c r="M398" t="s">
        <v>11</v>
      </c>
      <c r="N398">
        <v>8.1525340619076778E-2</v>
      </c>
      <c r="O398" t="s">
        <v>6</v>
      </c>
    </row>
    <row r="399" spans="12:15" x14ac:dyDescent="0.45">
      <c r="L399" t="s">
        <v>306</v>
      </c>
      <c r="M399" t="s">
        <v>12</v>
      </c>
      <c r="N399">
        <v>9.5629200640228201E-2</v>
      </c>
      <c r="O399" t="s">
        <v>6</v>
      </c>
    </row>
    <row r="400" spans="12:15" x14ac:dyDescent="0.45">
      <c r="L400" t="s">
        <v>306</v>
      </c>
      <c r="M400" t="s">
        <v>13</v>
      </c>
      <c r="N400">
        <v>6.2769764165735764E-2</v>
      </c>
      <c r="O400" t="s">
        <v>6</v>
      </c>
    </row>
    <row r="401" spans="12:15" x14ac:dyDescent="0.45">
      <c r="L401" t="s">
        <v>306</v>
      </c>
      <c r="M401" t="s">
        <v>14</v>
      </c>
      <c r="N401">
        <v>6.3142710715920383E-2</v>
      </c>
      <c r="O401" t="s">
        <v>6</v>
      </c>
    </row>
    <row r="402" spans="12:15" x14ac:dyDescent="0.45">
      <c r="L402" t="s">
        <v>306</v>
      </c>
      <c r="M402" t="s">
        <v>15</v>
      </c>
      <c r="N402">
        <v>7.9592360295278608E-2</v>
      </c>
      <c r="O402" t="s">
        <v>6</v>
      </c>
    </row>
    <row r="403" spans="12:15" x14ac:dyDescent="0.45">
      <c r="L403" t="s">
        <v>306</v>
      </c>
      <c r="M403" t="s">
        <v>16</v>
      </c>
      <c r="N403">
        <v>4.5933677445618736E-2</v>
      </c>
      <c r="O403" t="s">
        <v>6</v>
      </c>
    </row>
    <row r="404" spans="12:15" x14ac:dyDescent="0.45">
      <c r="L404" t="s">
        <v>306</v>
      </c>
      <c r="M404" t="s">
        <v>17</v>
      </c>
      <c r="N404">
        <v>9.4987005466162178E-2</v>
      </c>
      <c r="O404" t="s">
        <v>6</v>
      </c>
    </row>
    <row r="405" spans="12:15" x14ac:dyDescent="0.45">
      <c r="L405" t="s">
        <v>306</v>
      </c>
      <c r="M405" t="s">
        <v>18</v>
      </c>
      <c r="N405">
        <v>0.11351743832723421</v>
      </c>
      <c r="O405" t="s">
        <v>6</v>
      </c>
    </row>
    <row r="406" spans="12:15" x14ac:dyDescent="0.45">
      <c r="L406" t="s">
        <v>306</v>
      </c>
      <c r="M406" t="s">
        <v>19</v>
      </c>
      <c r="N406">
        <v>7.0589177382428994E-2</v>
      </c>
      <c r="O406" t="s">
        <v>6</v>
      </c>
    </row>
    <row r="407" spans="12:15" x14ac:dyDescent="0.45">
      <c r="L407" t="s">
        <v>307</v>
      </c>
      <c r="M407" t="s">
        <v>5</v>
      </c>
      <c r="N407">
        <v>0.10199292153373306</v>
      </c>
      <c r="O407" t="s">
        <v>6</v>
      </c>
    </row>
    <row r="408" spans="12:15" x14ac:dyDescent="0.45">
      <c r="L408" t="s">
        <v>307</v>
      </c>
      <c r="M408" t="s">
        <v>9</v>
      </c>
      <c r="N408">
        <v>0.125485230668995</v>
      </c>
      <c r="O408" t="s">
        <v>6</v>
      </c>
    </row>
    <row r="409" spans="12:15" x14ac:dyDescent="0.45">
      <c r="L409" t="s">
        <v>307</v>
      </c>
      <c r="M409" t="s">
        <v>10</v>
      </c>
      <c r="N409">
        <v>7.4820953254667782E-2</v>
      </c>
      <c r="O409" t="s">
        <v>6</v>
      </c>
    </row>
    <row r="410" spans="12:15" x14ac:dyDescent="0.45">
      <c r="L410" t="s">
        <v>307</v>
      </c>
      <c r="M410" t="s">
        <v>11</v>
      </c>
      <c r="N410">
        <v>8.4301402050265817E-2</v>
      </c>
      <c r="O410" t="s">
        <v>6</v>
      </c>
    </row>
    <row r="411" spans="12:15" x14ac:dyDescent="0.45">
      <c r="L411" t="s">
        <v>307</v>
      </c>
      <c r="M411" t="s">
        <v>12</v>
      </c>
      <c r="N411">
        <v>9.9507180295265604E-2</v>
      </c>
      <c r="O411" t="s">
        <v>6</v>
      </c>
    </row>
    <row r="412" spans="12:15" x14ac:dyDescent="0.45">
      <c r="L412" t="s">
        <v>307</v>
      </c>
      <c r="M412" t="s">
        <v>13</v>
      </c>
      <c r="N412">
        <v>6.3624365448163411E-2</v>
      </c>
      <c r="O412" t="s">
        <v>6</v>
      </c>
    </row>
    <row r="413" spans="12:15" x14ac:dyDescent="0.45">
      <c r="L413" t="s">
        <v>307</v>
      </c>
      <c r="M413" t="s">
        <v>14</v>
      </c>
      <c r="N413">
        <v>5.4587145768743975E-2</v>
      </c>
      <c r="O413" t="s">
        <v>6</v>
      </c>
    </row>
    <row r="414" spans="12:15" x14ac:dyDescent="0.45">
      <c r="L414" t="s">
        <v>307</v>
      </c>
      <c r="M414" t="s">
        <v>15</v>
      </c>
      <c r="N414">
        <v>6.6815890391365748E-2</v>
      </c>
      <c r="O414" t="s">
        <v>6</v>
      </c>
    </row>
    <row r="415" spans="12:15" x14ac:dyDescent="0.45">
      <c r="L415" t="s">
        <v>307</v>
      </c>
      <c r="M415" t="s">
        <v>16</v>
      </c>
      <c r="N415">
        <v>4.2165386627070194E-2</v>
      </c>
      <c r="O415" t="s">
        <v>6</v>
      </c>
    </row>
    <row r="416" spans="12:15" x14ac:dyDescent="0.45">
      <c r="L416" t="s">
        <v>307</v>
      </c>
      <c r="M416" t="s">
        <v>17</v>
      </c>
      <c r="N416">
        <v>9.5612220994576905E-2</v>
      </c>
      <c r="O416" t="s">
        <v>6</v>
      </c>
    </row>
    <row r="417" spans="12:15" x14ac:dyDescent="0.45">
      <c r="L417" t="s">
        <v>307</v>
      </c>
      <c r="M417" t="s">
        <v>18</v>
      </c>
      <c r="N417">
        <v>0.11729568039627535</v>
      </c>
      <c r="O417" t="s">
        <v>6</v>
      </c>
    </row>
    <row r="418" spans="12:15" x14ac:dyDescent="0.45">
      <c r="L418" t="s">
        <v>307</v>
      </c>
      <c r="M418" t="s">
        <v>19</v>
      </c>
      <c r="N418">
        <v>7.379162257087625E-2</v>
      </c>
      <c r="O418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21199-C4AD-4A26-9868-E015915C538E}">
  <dimension ref="B9:BL86"/>
  <sheetViews>
    <sheetView workbookViewId="0"/>
  </sheetViews>
  <sheetFormatPr defaultRowHeight="14.25" x14ac:dyDescent="0.45"/>
  <sheetData>
    <row r="9" spans="2:64" x14ac:dyDescent="0.45">
      <c r="B9" t="str">
        <f>IF(A11="x","DeActivated","~TFM_DINS-TSL: attribute=FLO_EMIS; other_indexes=ACT; region=GBR")</f>
        <v>~TFM_DINS-TSL: attribute=FLO_EMIS; other_indexes=ACT; region=GBR</v>
      </c>
      <c r="Q9" t="str">
        <f>IF(A11="x","DeActivated","~TFM_INS-TSL: attribute=FLO_SHAR; limtype=FX; region=GBR")</f>
        <v>~TFM_INS-TSL: attribute=FLO_SHAR; limtype=FX; region=GBR</v>
      </c>
      <c r="AF9" t="str">
        <f>IF(A11="x","DeActivated","~TFM_INS-TSL: attribute=FLO_SHAR; limtype=FX; region=GBR")</f>
        <v>~TFM_INS-TSL: attribute=FLO_SHAR; limtype=FX; region=GBR</v>
      </c>
      <c r="AU9" t="str">
        <f>IF(A11="x","DeActivated","~TFM_DINS-TSL: attribute=NCAP_PKCNT; region=GBR")</f>
        <v>~TFM_DINS-TSL: attribute=NCAP_PKCNT; region=GBR</v>
      </c>
      <c r="BI9" t="str">
        <f>IF(A11="x","DeActivated","~TFM_DINS-AT: region=GBR")</f>
        <v>~TFM_DINS-AT: region=GBR</v>
      </c>
    </row>
    <row r="10" spans="2:64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Q10" t="s">
        <v>3</v>
      </c>
      <c r="R10" t="s">
        <v>0</v>
      </c>
      <c r="S10" t="s">
        <v>5</v>
      </c>
      <c r="T10" t="s">
        <v>9</v>
      </c>
      <c r="U10" t="s">
        <v>10</v>
      </c>
      <c r="V10" t="s">
        <v>11</v>
      </c>
      <c r="W10" t="s">
        <v>12</v>
      </c>
      <c r="X10" t="s">
        <v>13</v>
      </c>
      <c r="Y10" t="s">
        <v>14</v>
      </c>
      <c r="Z10" t="s">
        <v>15</v>
      </c>
      <c r="AA10" t="s">
        <v>16</v>
      </c>
      <c r="AB10" t="s">
        <v>17</v>
      </c>
      <c r="AC10" t="s">
        <v>18</v>
      </c>
      <c r="AD10" t="s">
        <v>19</v>
      </c>
      <c r="AF10" t="s">
        <v>3</v>
      </c>
      <c r="AG10" t="s">
        <v>0</v>
      </c>
      <c r="AH10" t="s">
        <v>5</v>
      </c>
      <c r="AI10" t="s">
        <v>9</v>
      </c>
      <c r="AJ10" t="s">
        <v>10</v>
      </c>
      <c r="AK10" t="s">
        <v>11</v>
      </c>
      <c r="AL10" t="s">
        <v>12</v>
      </c>
      <c r="AM10" t="s">
        <v>13</v>
      </c>
      <c r="AN10" t="s">
        <v>14</v>
      </c>
      <c r="AO10" t="s">
        <v>15</v>
      </c>
      <c r="AP10" t="s">
        <v>16</v>
      </c>
      <c r="AQ10" t="s">
        <v>17</v>
      </c>
      <c r="AR10" t="s">
        <v>18</v>
      </c>
      <c r="AS10" t="s">
        <v>19</v>
      </c>
      <c r="AU10" t="s">
        <v>3</v>
      </c>
      <c r="AV10" t="s">
        <v>5</v>
      </c>
      <c r="AW10" t="s">
        <v>9</v>
      </c>
      <c r="AX10" t="s">
        <v>10</v>
      </c>
      <c r="AY10" t="s">
        <v>11</v>
      </c>
      <c r="AZ10" t="s">
        <v>12</v>
      </c>
      <c r="BA10" t="s">
        <v>13</v>
      </c>
      <c r="BB10" t="s">
        <v>14</v>
      </c>
      <c r="BC10" t="s">
        <v>15</v>
      </c>
      <c r="BD10" t="s">
        <v>16</v>
      </c>
      <c r="BE10" t="s">
        <v>17</v>
      </c>
      <c r="BF10" t="s">
        <v>18</v>
      </c>
      <c r="BG10" t="s">
        <v>19</v>
      </c>
      <c r="BI10" t="s">
        <v>3</v>
      </c>
      <c r="BJ10" t="s">
        <v>0</v>
      </c>
      <c r="BK10" t="s">
        <v>92</v>
      </c>
      <c r="BL10" t="s">
        <v>93</v>
      </c>
    </row>
    <row r="11" spans="2:64" x14ac:dyDescent="0.45">
      <c r="B11" t="s">
        <v>308</v>
      </c>
      <c r="C11" t="s">
        <v>95</v>
      </c>
      <c r="D11">
        <v>0</v>
      </c>
      <c r="E11">
        <v>0.46240339195969027</v>
      </c>
      <c r="F11">
        <v>0.98518218018714465</v>
      </c>
      <c r="G11">
        <v>0.84477890336784123</v>
      </c>
      <c r="H11">
        <v>0.23407061079145167</v>
      </c>
      <c r="I11">
        <v>0.73529873946308111</v>
      </c>
      <c r="J11">
        <v>0.75923043791547884</v>
      </c>
      <c r="K11">
        <v>0.1922745378594127</v>
      </c>
      <c r="L11">
        <v>0.63793591149280715</v>
      </c>
      <c r="M11">
        <v>0.95846019690478135</v>
      </c>
      <c r="N11">
        <v>0.33708116779851865</v>
      </c>
      <c r="O11">
        <v>0.9237747043450143</v>
      </c>
      <c r="Q11" t="s">
        <v>96</v>
      </c>
      <c r="R11" t="s">
        <v>97</v>
      </c>
      <c r="S11">
        <v>0</v>
      </c>
      <c r="T11">
        <v>0.2235004286567033</v>
      </c>
      <c r="U11">
        <v>0.56891775999979677</v>
      </c>
      <c r="V11">
        <v>0.72271039406173232</v>
      </c>
      <c r="W11">
        <v>8.7496741441813769E-2</v>
      </c>
      <c r="X11">
        <v>0.56783669107537693</v>
      </c>
      <c r="Y11">
        <v>0.59563907836109131</v>
      </c>
      <c r="Z11">
        <v>7.4165984495484921E-2</v>
      </c>
      <c r="AA11">
        <v>0.43684285994366351</v>
      </c>
      <c r="AB11">
        <v>0.90083816898223057</v>
      </c>
      <c r="AC11">
        <v>0.14141926877851727</v>
      </c>
      <c r="AD11">
        <v>0.60692346282977649</v>
      </c>
      <c r="AF11" t="s">
        <v>96</v>
      </c>
      <c r="AG11" t="s">
        <v>98</v>
      </c>
      <c r="AH11">
        <v>0</v>
      </c>
      <c r="AI11">
        <v>4.8145980173892045E-2</v>
      </c>
      <c r="AJ11">
        <v>0.3866297221465374</v>
      </c>
      <c r="AK11">
        <v>0</v>
      </c>
      <c r="AL11">
        <v>2.3223276572974891E-2</v>
      </c>
      <c r="AM11">
        <v>0</v>
      </c>
      <c r="AN11">
        <v>0</v>
      </c>
      <c r="AO11">
        <v>2.1282190358527728E-2</v>
      </c>
      <c r="AP11">
        <v>1.7761483514416615E-2</v>
      </c>
      <c r="AQ11">
        <v>0</v>
      </c>
      <c r="AR11">
        <v>3.1225203752897768E-2</v>
      </c>
      <c r="AS11">
        <v>0.23899971580013368</v>
      </c>
      <c r="AU11" t="s">
        <v>308</v>
      </c>
      <c r="AV11">
        <v>0</v>
      </c>
      <c r="AW11">
        <v>0.13798179854142223</v>
      </c>
      <c r="AX11">
        <v>3.7903280821447528E-4</v>
      </c>
      <c r="AY11">
        <v>6.7690986865909112E-3</v>
      </c>
      <c r="AZ11">
        <v>0.35833780031851498</v>
      </c>
      <c r="BA11">
        <v>2.0597592332988187E-2</v>
      </c>
      <c r="BB11">
        <v>1.1795844642964454E-2</v>
      </c>
      <c r="BC11">
        <v>0.39537627409707665</v>
      </c>
      <c r="BD11">
        <v>3.4150674696879636E-2</v>
      </c>
      <c r="BE11">
        <v>6.1085458080083806E-4</v>
      </c>
      <c r="BF11">
        <v>0.20008123714907849</v>
      </c>
      <c r="BG11">
        <v>2.5270652519183015E-3</v>
      </c>
      <c r="BI11" t="s">
        <v>308</v>
      </c>
      <c r="BJ11" t="s">
        <v>99</v>
      </c>
      <c r="BK11" t="s">
        <v>100</v>
      </c>
      <c r="BL11">
        <v>0.38668421578111267</v>
      </c>
    </row>
    <row r="12" spans="2:64" x14ac:dyDescent="0.45">
      <c r="B12" t="s">
        <v>309</v>
      </c>
      <c r="C12" t="s">
        <v>95</v>
      </c>
      <c r="D12">
        <v>0</v>
      </c>
      <c r="E12">
        <v>0.4212219776849831</v>
      </c>
      <c r="F12">
        <v>0.97878478134254188</v>
      </c>
      <c r="G12">
        <v>0.85204183708377979</v>
      </c>
      <c r="H12">
        <v>0.22372858024199263</v>
      </c>
      <c r="I12">
        <v>0.73858891284806483</v>
      </c>
      <c r="J12">
        <v>0.77273383461038425</v>
      </c>
      <c r="K12">
        <v>0.1852365854577582</v>
      </c>
      <c r="L12">
        <v>0.64577073324051593</v>
      </c>
      <c r="M12">
        <v>0.95708109442722988</v>
      </c>
      <c r="N12">
        <v>0.32803497570705542</v>
      </c>
      <c r="O12">
        <v>0.92150013158057142</v>
      </c>
      <c r="Q12" t="s">
        <v>102</v>
      </c>
      <c r="R12" t="s">
        <v>97</v>
      </c>
      <c r="S12">
        <v>9.0609901528893456E-4</v>
      </c>
      <c r="T12">
        <v>1.9087326393723853E-3</v>
      </c>
      <c r="U12">
        <v>3.7680596926542111E-3</v>
      </c>
      <c r="V12">
        <v>2.0424903478440033E-3</v>
      </c>
      <c r="W12">
        <v>4.7145286236781637E-3</v>
      </c>
      <c r="X12">
        <v>5.4256936486691242E-4</v>
      </c>
      <c r="Y12">
        <v>3.4918799964733654E-3</v>
      </c>
      <c r="Z12">
        <v>1.4915081145550728E-3</v>
      </c>
      <c r="AA12">
        <v>3.849102106624573E-3</v>
      </c>
      <c r="AB12">
        <v>5.0984053395815567E-3</v>
      </c>
      <c r="AC12">
        <v>8.9219031623672604E-3</v>
      </c>
      <c r="AD12">
        <v>2.4760005692100813E-3</v>
      </c>
      <c r="AF12" t="s">
        <v>102</v>
      </c>
      <c r="AG12" t="s">
        <v>98</v>
      </c>
      <c r="AH12">
        <v>7.492192976629411E-3</v>
      </c>
      <c r="AI12">
        <v>7.7026803726056954E-3</v>
      </c>
      <c r="AJ12">
        <v>1.0122636271637911E-2</v>
      </c>
      <c r="AK12">
        <v>9.1459384725572201E-3</v>
      </c>
      <c r="AL12">
        <v>1.0765076315210592E-2</v>
      </c>
      <c r="AM12">
        <v>4.6958808011261189E-3</v>
      </c>
      <c r="AN12">
        <v>2.5219926470368231E-2</v>
      </c>
      <c r="AO12">
        <v>1.1061614776981555E-2</v>
      </c>
      <c r="AP12">
        <v>6.609589345439669E-3</v>
      </c>
      <c r="AQ12">
        <v>1.7690180242889667E-2</v>
      </c>
      <c r="AR12">
        <v>2.7535891129155686E-2</v>
      </c>
      <c r="AS12">
        <v>7.3045981512029901E-3</v>
      </c>
      <c r="AU12" t="s">
        <v>309</v>
      </c>
      <c r="AV12">
        <v>0</v>
      </c>
      <c r="AW12">
        <v>0.15958803624897797</v>
      </c>
      <c r="AX12">
        <v>2.4348452447595762E-4</v>
      </c>
      <c r="AY12">
        <v>6.8559024876004362E-3</v>
      </c>
      <c r="AZ12">
        <v>0.36096655251431231</v>
      </c>
      <c r="BA12">
        <v>1.9378420967733099E-2</v>
      </c>
      <c r="BB12">
        <v>1.1274331270360913E-2</v>
      </c>
      <c r="BC12">
        <v>0.42445342194925562</v>
      </c>
      <c r="BD12">
        <v>3.4028634285556768E-2</v>
      </c>
      <c r="BE12">
        <v>6.6093112800905812E-4</v>
      </c>
      <c r="BF12">
        <v>0.23042073502629393</v>
      </c>
      <c r="BG12">
        <v>3.0773007853381572E-3</v>
      </c>
      <c r="BI12" t="s">
        <v>309</v>
      </c>
      <c r="BJ12" t="s">
        <v>99</v>
      </c>
      <c r="BK12" t="s">
        <v>100</v>
      </c>
      <c r="BL12">
        <v>0.38010929053429426</v>
      </c>
    </row>
    <row r="13" spans="2:64" x14ac:dyDescent="0.45">
      <c r="B13" t="s">
        <v>310</v>
      </c>
      <c r="C13" t="s">
        <v>95</v>
      </c>
      <c r="D13">
        <v>0</v>
      </c>
      <c r="E13">
        <v>0.43619807800741395</v>
      </c>
      <c r="F13">
        <v>0.98069109388557973</v>
      </c>
      <c r="G13">
        <v>0.84848615720728382</v>
      </c>
      <c r="H13">
        <v>0.22856233823615663</v>
      </c>
      <c r="I13">
        <v>0.7343202472739665</v>
      </c>
      <c r="J13">
        <v>0.76378180840781329</v>
      </c>
      <c r="K13">
        <v>0.18410771884468013</v>
      </c>
      <c r="L13">
        <v>0.64135636795692863</v>
      </c>
      <c r="M13">
        <v>0.95713914474469264</v>
      </c>
      <c r="N13">
        <v>0.32806216014196893</v>
      </c>
      <c r="O13">
        <v>0.91971052407755283</v>
      </c>
      <c r="Q13" t="s">
        <v>104</v>
      </c>
      <c r="R13" t="s">
        <v>97</v>
      </c>
      <c r="S13">
        <v>2.3474375153756258E-3</v>
      </c>
      <c r="T13">
        <v>1.6806467741875769E-3</v>
      </c>
      <c r="U13">
        <v>1.118499190522413E-3</v>
      </c>
      <c r="V13">
        <v>6.7019865583109104E-4</v>
      </c>
      <c r="W13">
        <v>1.273282292230715E-3</v>
      </c>
      <c r="X13">
        <v>1.6141825417281712E-3</v>
      </c>
      <c r="Y13">
        <v>1.8047653354936279E-3</v>
      </c>
      <c r="Z13">
        <v>1.1627178767223802E-4</v>
      </c>
      <c r="AA13">
        <v>1.9822494555266093E-4</v>
      </c>
      <c r="AB13">
        <v>2.7984603384940761E-3</v>
      </c>
      <c r="AC13">
        <v>1.7253351740710119E-3</v>
      </c>
      <c r="AD13">
        <v>7.4106938912608976E-4</v>
      </c>
      <c r="AF13" t="s">
        <v>104</v>
      </c>
      <c r="AG13" t="s">
        <v>98</v>
      </c>
      <c r="AH13">
        <v>3.7729675337556411E-3</v>
      </c>
      <c r="AI13">
        <v>7.1926053606345313E-3</v>
      </c>
      <c r="AJ13">
        <v>3.1794056315630212E-3</v>
      </c>
      <c r="AK13">
        <v>7.7017492922958793E-3</v>
      </c>
      <c r="AL13">
        <v>3.2551876018443913E-3</v>
      </c>
      <c r="AM13">
        <v>7.5285740042094025E-3</v>
      </c>
      <c r="AN13">
        <v>1.1357147480211814E-2</v>
      </c>
      <c r="AO13">
        <v>5.5292361039035263E-3</v>
      </c>
      <c r="AP13">
        <v>5.1849609211690386E-4</v>
      </c>
      <c r="AQ13">
        <v>6.8498411946348123E-3</v>
      </c>
      <c r="AR13">
        <v>4.5055587590051571E-3</v>
      </c>
      <c r="AS13">
        <v>6.9300557742381112E-3</v>
      </c>
      <c r="AU13" t="s">
        <v>310</v>
      </c>
      <c r="AV13">
        <v>0</v>
      </c>
      <c r="AW13">
        <v>0.15101740045070999</v>
      </c>
      <c r="AX13">
        <v>3.147094969710549E-4</v>
      </c>
      <c r="AY13">
        <v>7.1059546365109588E-3</v>
      </c>
      <c r="AZ13">
        <v>0.36765052337759108</v>
      </c>
      <c r="BA13">
        <v>2.0240241091928231E-2</v>
      </c>
      <c r="BB13">
        <v>1.2083714875023096E-2</v>
      </c>
      <c r="BC13">
        <v>0.40751593564821792</v>
      </c>
      <c r="BD13">
        <v>3.4226330485575177E-2</v>
      </c>
      <c r="BE13">
        <v>6.5295863852706394E-4</v>
      </c>
      <c r="BF13">
        <v>0.21774476916314756</v>
      </c>
      <c r="BG13">
        <v>2.8094189841648774E-3</v>
      </c>
      <c r="BI13" t="s">
        <v>310</v>
      </c>
      <c r="BJ13" t="s">
        <v>99</v>
      </c>
      <c r="BK13" t="s">
        <v>100</v>
      </c>
      <c r="BL13">
        <v>0.3821038941590062</v>
      </c>
    </row>
    <row r="14" spans="2:64" x14ac:dyDescent="0.45">
      <c r="B14" t="s">
        <v>311</v>
      </c>
      <c r="C14" t="s">
        <v>95</v>
      </c>
      <c r="D14">
        <v>0</v>
      </c>
      <c r="E14">
        <v>0.44322428011885595</v>
      </c>
      <c r="F14">
        <v>0.99629629629629624</v>
      </c>
      <c r="G14">
        <v>0.8292514472210889</v>
      </c>
      <c r="H14">
        <v>0.23650075995559933</v>
      </c>
      <c r="I14">
        <v>0.74616604647659823</v>
      </c>
      <c r="J14">
        <v>0.73069919691954399</v>
      </c>
      <c r="K14">
        <v>0.18193802965612033</v>
      </c>
      <c r="L14">
        <v>0.64172373467903221</v>
      </c>
      <c r="M14">
        <v>0.94705012145225487</v>
      </c>
      <c r="N14">
        <v>0.34637383962334695</v>
      </c>
      <c r="O14">
        <v>0.93530262090178995</v>
      </c>
      <c r="AU14" t="s">
        <v>311</v>
      </c>
      <c r="AV14">
        <v>0</v>
      </c>
      <c r="AW14">
        <v>0.14252516497650469</v>
      </c>
      <c r="AX14">
        <v>2.9963340007840574E-6</v>
      </c>
      <c r="AY14">
        <v>9.0706813981147154E-3</v>
      </c>
      <c r="AZ14">
        <v>0.3262171005455714</v>
      </c>
      <c r="BA14">
        <v>1.4750189843466247E-2</v>
      </c>
      <c r="BB14">
        <v>1.527722052856076E-2</v>
      </c>
      <c r="BC14">
        <v>0.3687250490499554</v>
      </c>
      <c r="BD14">
        <v>2.7526059733008864E-2</v>
      </c>
      <c r="BE14">
        <v>1.3311362463428486E-3</v>
      </c>
      <c r="BF14">
        <v>0.20448084460344007</v>
      </c>
      <c r="BG14">
        <v>1.706379672422102E-3</v>
      </c>
      <c r="BI14" t="s">
        <v>311</v>
      </c>
      <c r="BJ14" t="s">
        <v>99</v>
      </c>
      <c r="BK14" t="s">
        <v>100</v>
      </c>
      <c r="BL14">
        <v>0.34131885452987065</v>
      </c>
    </row>
    <row r="15" spans="2:64" x14ac:dyDescent="0.45">
      <c r="B15" t="s">
        <v>312</v>
      </c>
      <c r="C15" t="s">
        <v>95</v>
      </c>
      <c r="D15">
        <v>0</v>
      </c>
      <c r="E15">
        <v>0.41757585801072711</v>
      </c>
      <c r="F15">
        <v>0</v>
      </c>
      <c r="G15">
        <v>0.81811635486643375</v>
      </c>
      <c r="H15">
        <v>0.22485844757138379</v>
      </c>
      <c r="I15">
        <v>0.76154016804198987</v>
      </c>
      <c r="J15">
        <v>0.72468034700791117</v>
      </c>
      <c r="K15">
        <v>0.1753532112644724</v>
      </c>
      <c r="L15">
        <v>0.6533968780236129</v>
      </c>
      <c r="M15">
        <v>0.93665948584430636</v>
      </c>
      <c r="N15">
        <v>0.32650385570947082</v>
      </c>
      <c r="O15">
        <v>0.94402033119271922</v>
      </c>
      <c r="AU15" t="s">
        <v>312</v>
      </c>
      <c r="AV15">
        <v>0</v>
      </c>
      <c r="AW15">
        <v>0.1546099076652048</v>
      </c>
      <c r="AX15">
        <v>0</v>
      </c>
      <c r="AY15">
        <v>1.118534022234904E-2</v>
      </c>
      <c r="AZ15">
        <v>0.36951641891876918</v>
      </c>
      <c r="BA15">
        <v>1.2764690974763047E-2</v>
      </c>
      <c r="BB15">
        <v>1.7586947073200132E-2</v>
      </c>
      <c r="BC15">
        <v>0.40490845365736133</v>
      </c>
      <c r="BD15">
        <v>2.4615356298488586E-2</v>
      </c>
      <c r="BE15">
        <v>2.0833164649828643E-3</v>
      </c>
      <c r="BF15">
        <v>0.23068002905122675</v>
      </c>
      <c r="BG15">
        <v>1.2496942649530868E-3</v>
      </c>
      <c r="BI15" t="s">
        <v>312</v>
      </c>
      <c r="BJ15" t="s">
        <v>99</v>
      </c>
      <c r="BK15" t="s">
        <v>100</v>
      </c>
      <c r="BL15">
        <v>0.37812773605030592</v>
      </c>
    </row>
    <row r="16" spans="2:64" x14ac:dyDescent="0.45">
      <c r="B16" t="s">
        <v>313</v>
      </c>
      <c r="C16" t="s">
        <v>95</v>
      </c>
      <c r="D16">
        <v>0</v>
      </c>
      <c r="E16">
        <v>0.43123992200820122</v>
      </c>
      <c r="F16">
        <v>0.99814814814814812</v>
      </c>
      <c r="G16">
        <v>0.8303808879419855</v>
      </c>
      <c r="H16">
        <v>0.23210807671655961</v>
      </c>
      <c r="I16">
        <v>0.76482393859900977</v>
      </c>
      <c r="J16">
        <v>0.74311993845012803</v>
      </c>
      <c r="K16">
        <v>0.1908509158833494</v>
      </c>
      <c r="L16">
        <v>0.66631498019421487</v>
      </c>
      <c r="M16">
        <v>0.9382662473942841</v>
      </c>
      <c r="N16">
        <v>0.35237923143341915</v>
      </c>
      <c r="O16">
        <v>0.94396492388186903</v>
      </c>
      <c r="AU16" t="s">
        <v>313</v>
      </c>
      <c r="AV16">
        <v>0</v>
      </c>
      <c r="AW16">
        <v>0.14793554091871339</v>
      </c>
      <c r="AX16">
        <v>4.3974576565447517E-8</v>
      </c>
      <c r="AY16">
        <v>9.9757923713493964E-3</v>
      </c>
      <c r="AZ16">
        <v>0.3406773835505234</v>
      </c>
      <c r="BA16">
        <v>1.3000448198642425E-2</v>
      </c>
      <c r="BB16">
        <v>1.6371137100968582E-2</v>
      </c>
      <c r="BC16">
        <v>0.40680114661290856</v>
      </c>
      <c r="BD16">
        <v>2.5752373416395389E-2</v>
      </c>
      <c r="BE16">
        <v>1.979604536690791E-3</v>
      </c>
      <c r="BF16">
        <v>0.22221889203158124</v>
      </c>
      <c r="BG16">
        <v>1.5219574569432458E-3</v>
      </c>
      <c r="BI16" t="s">
        <v>313</v>
      </c>
      <c r="BJ16" t="s">
        <v>99</v>
      </c>
      <c r="BK16" t="s">
        <v>100</v>
      </c>
      <c r="BL16">
        <v>0.37673291830934619</v>
      </c>
    </row>
    <row r="17" spans="2:64" x14ac:dyDescent="0.45">
      <c r="B17" t="s">
        <v>314</v>
      </c>
      <c r="C17" t="s">
        <v>95</v>
      </c>
      <c r="D17">
        <v>0</v>
      </c>
      <c r="E17">
        <v>0.42586601979253974</v>
      </c>
      <c r="F17">
        <v>0.98888888888888904</v>
      </c>
      <c r="G17">
        <v>0.84213680154451553</v>
      </c>
      <c r="H17">
        <v>0.2240989484490214</v>
      </c>
      <c r="I17">
        <v>0.75073480247486735</v>
      </c>
      <c r="J17">
        <v>0.75786760494349703</v>
      </c>
      <c r="K17">
        <v>0.18246721160929735</v>
      </c>
      <c r="L17">
        <v>0.65309071628526094</v>
      </c>
      <c r="M17">
        <v>0.94446053525169216</v>
      </c>
      <c r="N17">
        <v>0.33164941658974928</v>
      </c>
      <c r="O17">
        <v>0.92774761735805311</v>
      </c>
      <c r="AU17" t="s">
        <v>314</v>
      </c>
      <c r="AV17">
        <v>0</v>
      </c>
      <c r="AW17">
        <v>0.15141674914856271</v>
      </c>
      <c r="AX17">
        <v>7.8236776528686338E-5</v>
      </c>
      <c r="AY17">
        <v>8.2751148581511162E-3</v>
      </c>
      <c r="AZ17">
        <v>0.32958009437460845</v>
      </c>
      <c r="BA17">
        <v>1.5382453977360728E-2</v>
      </c>
      <c r="BB17">
        <v>1.3410195529850701E-2</v>
      </c>
      <c r="BC17">
        <v>0.40279753008307456</v>
      </c>
      <c r="BD17">
        <v>2.9288237689793096E-2</v>
      </c>
      <c r="BE17">
        <v>1.0246903615091932E-3</v>
      </c>
      <c r="BF17">
        <v>0.21808336505957981</v>
      </c>
      <c r="BG17">
        <v>2.4206620799485973E-3</v>
      </c>
      <c r="BI17" t="s">
        <v>314</v>
      </c>
      <c r="BJ17" t="s">
        <v>99</v>
      </c>
      <c r="BK17" t="s">
        <v>100</v>
      </c>
      <c r="BL17">
        <v>0.37484670430090328</v>
      </c>
    </row>
    <row r="18" spans="2:64" x14ac:dyDescent="0.45">
      <c r="B18" t="s">
        <v>315</v>
      </c>
      <c r="C18" t="s">
        <v>95</v>
      </c>
      <c r="D18">
        <v>0</v>
      </c>
      <c r="E18">
        <v>0.44358832789080205</v>
      </c>
      <c r="F18">
        <v>0.99074074074074081</v>
      </c>
      <c r="G18">
        <v>0.83744687576808741</v>
      </c>
      <c r="H18">
        <v>0.22792265826053287</v>
      </c>
      <c r="I18">
        <v>0.74470123984296488</v>
      </c>
      <c r="J18">
        <v>0.74967817299784378</v>
      </c>
      <c r="K18">
        <v>0.19744803166158356</v>
      </c>
      <c r="L18">
        <v>0.64615163370354001</v>
      </c>
      <c r="M18">
        <v>0.95483389171592525</v>
      </c>
      <c r="N18">
        <v>0.34611643435633582</v>
      </c>
      <c r="O18">
        <v>0.93220834262335417</v>
      </c>
      <c r="AU18" t="s">
        <v>315</v>
      </c>
      <c r="AV18">
        <v>0</v>
      </c>
      <c r="AW18">
        <v>0.14225060416918692</v>
      </c>
      <c r="AX18">
        <v>2.0090311023471168E-4</v>
      </c>
      <c r="AY18">
        <v>8.3826357080591888E-3</v>
      </c>
      <c r="AZ18">
        <v>0.32554394728983688</v>
      </c>
      <c r="BA18">
        <v>1.6357081817310503E-2</v>
      </c>
      <c r="BB18">
        <v>1.370593639959807E-2</v>
      </c>
      <c r="BC18">
        <v>0.36541635879548817</v>
      </c>
      <c r="BD18">
        <v>2.9321396401717714E-2</v>
      </c>
      <c r="BE18">
        <v>9.1617991587778251E-4</v>
      </c>
      <c r="BF18">
        <v>0.20147510873024416</v>
      </c>
      <c r="BG18">
        <v>2.247093899834433E-3</v>
      </c>
      <c r="BI18" t="s">
        <v>315</v>
      </c>
      <c r="BJ18" t="s">
        <v>99</v>
      </c>
      <c r="BK18" t="s">
        <v>100</v>
      </c>
      <c r="BL18">
        <v>0.34325459833114447</v>
      </c>
    </row>
    <row r="19" spans="2:64" x14ac:dyDescent="0.45">
      <c r="B19" t="s">
        <v>316</v>
      </c>
      <c r="C19" t="s">
        <v>95</v>
      </c>
      <c r="D19">
        <v>0</v>
      </c>
      <c r="E19">
        <v>0.42512409673665363</v>
      </c>
      <c r="F19">
        <v>0.99629629629629601</v>
      </c>
      <c r="G19">
        <v>0.83115215918613883</v>
      </c>
      <c r="H19">
        <v>0.22512393227927946</v>
      </c>
      <c r="I19">
        <v>0.75068124935266023</v>
      </c>
      <c r="J19">
        <v>0.74332706892234357</v>
      </c>
      <c r="K19">
        <v>0.19055743108030287</v>
      </c>
      <c r="L19">
        <v>0.65020500331914455</v>
      </c>
      <c r="M19">
        <v>0.94494019681128061</v>
      </c>
      <c r="N19">
        <v>0.34040349701229017</v>
      </c>
      <c r="O19">
        <v>0.93668639470534765</v>
      </c>
      <c r="AU19" t="s">
        <v>316</v>
      </c>
      <c r="AV19">
        <v>0</v>
      </c>
      <c r="AW19">
        <v>0.1474475899406158</v>
      </c>
      <c r="AX19">
        <v>5.7530487212236158E-5</v>
      </c>
      <c r="AY19">
        <v>9.0568754255168776E-3</v>
      </c>
      <c r="AZ19">
        <v>0.32638518271236494</v>
      </c>
      <c r="BA19">
        <v>1.4006609274930889E-2</v>
      </c>
      <c r="BB19">
        <v>1.4821027542388242E-2</v>
      </c>
      <c r="BC19">
        <v>0.37037506514969559</v>
      </c>
      <c r="BD19">
        <v>2.6219575014534854E-2</v>
      </c>
      <c r="BE19">
        <v>1.382115328170316E-3</v>
      </c>
      <c r="BF19">
        <v>0.20502281370781011</v>
      </c>
      <c r="BG19">
        <v>1.672510294178711E-3</v>
      </c>
      <c r="BI19" t="s">
        <v>316</v>
      </c>
      <c r="BJ19" t="s">
        <v>99</v>
      </c>
      <c r="BK19" t="s">
        <v>100</v>
      </c>
      <c r="BL19">
        <v>0.35645620065811318</v>
      </c>
    </row>
    <row r="20" spans="2:64" x14ac:dyDescent="0.45">
      <c r="B20" t="s">
        <v>317</v>
      </c>
      <c r="C20" t="s">
        <v>95</v>
      </c>
      <c r="D20">
        <v>0</v>
      </c>
      <c r="E20">
        <v>0.53045282708789321</v>
      </c>
      <c r="F20">
        <v>0.98333333333333339</v>
      </c>
      <c r="G20">
        <v>0.84766305623614469</v>
      </c>
      <c r="H20">
        <v>0.24204551112063333</v>
      </c>
      <c r="I20">
        <v>0.70327444440141318</v>
      </c>
      <c r="J20">
        <v>0.74665260551254453</v>
      </c>
      <c r="K20">
        <v>0.21301918706000755</v>
      </c>
      <c r="L20">
        <v>0.59611660987047721</v>
      </c>
      <c r="M20">
        <v>0.9719920289244236</v>
      </c>
      <c r="N20">
        <v>0.37361747610040419</v>
      </c>
      <c r="O20">
        <v>0.91465543907105118</v>
      </c>
      <c r="AU20" t="s">
        <v>317</v>
      </c>
      <c r="AV20">
        <v>0</v>
      </c>
      <c r="AW20">
        <v>9.4453173213709302E-2</v>
      </c>
      <c r="AX20">
        <v>4.2325853061283403E-4</v>
      </c>
      <c r="AY20">
        <v>5.395989916984755E-3</v>
      </c>
      <c r="AZ20">
        <v>0.37207416845290575</v>
      </c>
      <c r="BA20">
        <v>2.6992012199851499E-2</v>
      </c>
      <c r="BB20">
        <v>9.8973498325873894E-3</v>
      </c>
      <c r="BC20">
        <v>0.35841134878072767</v>
      </c>
      <c r="BD20">
        <v>4.4175263384693957E-2</v>
      </c>
      <c r="BE20">
        <v>2.2254232503578876E-4</v>
      </c>
      <c r="BF20">
        <v>0.1786138424977155</v>
      </c>
      <c r="BG20">
        <v>3.3450070824891987E-3</v>
      </c>
      <c r="BI20" t="s">
        <v>317</v>
      </c>
      <c r="BJ20" t="s">
        <v>99</v>
      </c>
      <c r="BK20" t="s">
        <v>100</v>
      </c>
      <c r="BL20">
        <v>0.37207416845290575</v>
      </c>
    </row>
    <row r="21" spans="2:64" x14ac:dyDescent="0.45">
      <c r="B21" t="s">
        <v>318</v>
      </c>
      <c r="C21" t="s">
        <v>95</v>
      </c>
      <c r="D21">
        <v>0</v>
      </c>
      <c r="E21">
        <v>0.5325757745333547</v>
      </c>
      <c r="F21">
        <v>0.98703703703703716</v>
      </c>
      <c r="G21">
        <v>0.83742564028125843</v>
      </c>
      <c r="H21">
        <v>0.23235287544966737</v>
      </c>
      <c r="I21">
        <v>0.70100132054573194</v>
      </c>
      <c r="J21">
        <v>0.73310601425527455</v>
      </c>
      <c r="K21">
        <v>0.20967024991583694</v>
      </c>
      <c r="L21">
        <v>0.58932535665645103</v>
      </c>
      <c r="M21">
        <v>0.96916089570103492</v>
      </c>
      <c r="N21">
        <v>0.3820690753559719</v>
      </c>
      <c r="O21">
        <v>0.92022116209716909</v>
      </c>
      <c r="AU21" t="s">
        <v>318</v>
      </c>
      <c r="AV21">
        <v>0</v>
      </c>
      <c r="AW21">
        <v>0.1003832386326062</v>
      </c>
      <c r="AX21">
        <v>3.5971236756049396E-4</v>
      </c>
      <c r="AY21">
        <v>6.202809213468663E-3</v>
      </c>
      <c r="AZ21">
        <v>0.37722494833900111</v>
      </c>
      <c r="BA21">
        <v>2.6099140820956691E-2</v>
      </c>
      <c r="BB21">
        <v>1.0677034494146136E-2</v>
      </c>
      <c r="BC21">
        <v>0.33772670601333121</v>
      </c>
      <c r="BD21">
        <v>4.045345337386605E-2</v>
      </c>
      <c r="BE21">
        <v>2.8224869979383207E-4</v>
      </c>
      <c r="BF21">
        <v>0.16288249360177676</v>
      </c>
      <c r="BG21">
        <v>2.9031473375810118E-3</v>
      </c>
      <c r="BI21" t="s">
        <v>318</v>
      </c>
      <c r="BJ21" t="s">
        <v>99</v>
      </c>
      <c r="BK21" t="s">
        <v>100</v>
      </c>
      <c r="BL21">
        <v>0.37715855340325694</v>
      </c>
    </row>
    <row r="22" spans="2:64" x14ac:dyDescent="0.45">
      <c r="B22" t="s">
        <v>319</v>
      </c>
      <c r="C22" t="s">
        <v>95</v>
      </c>
      <c r="D22">
        <v>0</v>
      </c>
      <c r="E22">
        <v>0.49640973416033735</v>
      </c>
      <c r="F22">
        <v>0</v>
      </c>
      <c r="G22">
        <v>0.81734533565326861</v>
      </c>
      <c r="H22">
        <v>0.2189829841407851</v>
      </c>
      <c r="I22">
        <v>0.72081737509732369</v>
      </c>
      <c r="J22">
        <v>0.70467032791264383</v>
      </c>
      <c r="K22">
        <v>0.19003408774218156</v>
      </c>
      <c r="L22">
        <v>0.60023832136385824</v>
      </c>
      <c r="M22">
        <v>0.95870250289095205</v>
      </c>
      <c r="N22">
        <v>0.38949294098880527</v>
      </c>
      <c r="O22">
        <v>0.93099888749712778</v>
      </c>
      <c r="AU22" t="s">
        <v>319</v>
      </c>
      <c r="AV22">
        <v>0</v>
      </c>
      <c r="AW22">
        <v>0.10664814973895508</v>
      </c>
      <c r="AX22">
        <v>0</v>
      </c>
      <c r="AY22">
        <v>9.1738055760428698E-3</v>
      </c>
      <c r="AZ22">
        <v>0.3844953970651942</v>
      </c>
      <c r="BA22">
        <v>2.0285436376652706E-2</v>
      </c>
      <c r="BB22">
        <v>1.5320365644752601E-2</v>
      </c>
      <c r="BC22">
        <v>0.3536533192668298</v>
      </c>
      <c r="BD22">
        <v>3.5133252033870147E-2</v>
      </c>
      <c r="BE22">
        <v>6.0434466751418882E-4</v>
      </c>
      <c r="BF22">
        <v>0.16150817590805469</v>
      </c>
      <c r="BG22">
        <v>2.0419800794309268E-3</v>
      </c>
      <c r="BI22" t="s">
        <v>319</v>
      </c>
      <c r="BJ22" t="s">
        <v>99</v>
      </c>
      <c r="BK22" t="s">
        <v>100</v>
      </c>
      <c r="BL22">
        <v>0.37980461314163599</v>
      </c>
    </row>
    <row r="23" spans="2:64" x14ac:dyDescent="0.45">
      <c r="B23" t="s">
        <v>320</v>
      </c>
      <c r="C23" t="s">
        <v>95</v>
      </c>
      <c r="D23">
        <v>0</v>
      </c>
      <c r="E23">
        <v>0.53094800045055546</v>
      </c>
      <c r="F23">
        <v>0.99259259259259247</v>
      </c>
      <c r="G23">
        <v>0.8350739753857096</v>
      </c>
      <c r="H23">
        <v>0.24362705977734522</v>
      </c>
      <c r="I23">
        <v>0.71917967026716279</v>
      </c>
      <c r="J23">
        <v>0.73357181438888353</v>
      </c>
      <c r="K23">
        <v>0.21892000841366097</v>
      </c>
      <c r="L23">
        <v>0.59996145811629897</v>
      </c>
      <c r="M23">
        <v>0.96552665808861371</v>
      </c>
      <c r="N23">
        <v>0.38071282915321264</v>
      </c>
      <c r="O23">
        <v>0.9300629984383989</v>
      </c>
      <c r="AU23" t="s">
        <v>320</v>
      </c>
      <c r="AV23">
        <v>0</v>
      </c>
      <c r="AW23">
        <v>0.10195691080541246</v>
      </c>
      <c r="AX23">
        <v>1.5295948216696869E-4</v>
      </c>
      <c r="AY23">
        <v>6.743825924407594E-3</v>
      </c>
      <c r="AZ23">
        <v>0.31301161729617288</v>
      </c>
      <c r="BA23">
        <v>1.9660141780493114E-2</v>
      </c>
      <c r="BB23">
        <v>1.2016934699417461E-2</v>
      </c>
      <c r="BC23">
        <v>0.31627707114949616</v>
      </c>
      <c r="BD23">
        <v>3.3455911474298605E-2</v>
      </c>
      <c r="BE23">
        <v>4.2906604109166683E-4</v>
      </c>
      <c r="BF23">
        <v>0.15297776767075363</v>
      </c>
      <c r="BG23">
        <v>2.0254141655880382E-3</v>
      </c>
      <c r="BI23" t="s">
        <v>320</v>
      </c>
      <c r="BJ23" t="s">
        <v>99</v>
      </c>
      <c r="BK23" t="s">
        <v>100</v>
      </c>
      <c r="BL23">
        <v>0.31035751919032156</v>
      </c>
    </row>
    <row r="24" spans="2:64" x14ac:dyDescent="0.45">
      <c r="B24" t="s">
        <v>321</v>
      </c>
      <c r="C24" t="s">
        <v>95</v>
      </c>
      <c r="D24">
        <v>0</v>
      </c>
      <c r="E24">
        <v>0.49083145235865772</v>
      </c>
      <c r="F24">
        <v>0.99399245277584158</v>
      </c>
      <c r="G24">
        <v>0.82343379069868683</v>
      </c>
      <c r="H24">
        <v>0.22614948739134358</v>
      </c>
      <c r="I24">
        <v>0.71642306248653531</v>
      </c>
      <c r="J24">
        <v>0.7148072230093041</v>
      </c>
      <c r="K24">
        <v>0.19072506768871622</v>
      </c>
      <c r="L24">
        <v>0.59655184752304313</v>
      </c>
      <c r="M24">
        <v>0.96343986338654009</v>
      </c>
      <c r="N24">
        <v>0.3798250202109949</v>
      </c>
      <c r="O24">
        <v>0.92944494082324391</v>
      </c>
      <c r="AU24" t="s">
        <v>321</v>
      </c>
      <c r="AV24">
        <v>0</v>
      </c>
      <c r="AW24">
        <v>0.11246110861861695</v>
      </c>
      <c r="AX24">
        <v>2.9783144037401414E-5</v>
      </c>
      <c r="AY24">
        <v>8.0758990052697665E-3</v>
      </c>
      <c r="AZ24">
        <v>0.35382977609282928</v>
      </c>
      <c r="BA24">
        <v>2.1056830348559586E-2</v>
      </c>
      <c r="BB24">
        <v>1.384491721370871E-2</v>
      </c>
      <c r="BC24">
        <v>0.3443626095143455</v>
      </c>
      <c r="BD24">
        <v>3.5409568149780087E-2</v>
      </c>
      <c r="BE24">
        <v>5.371256886386427E-4</v>
      </c>
      <c r="BF24">
        <v>0.16977565614875084</v>
      </c>
      <c r="BG24">
        <v>2.2554839691629356E-3</v>
      </c>
      <c r="BI24" t="s">
        <v>321</v>
      </c>
      <c r="BJ24" t="s">
        <v>99</v>
      </c>
      <c r="BK24" t="s">
        <v>100</v>
      </c>
      <c r="BL24">
        <v>0.35028394068578717</v>
      </c>
    </row>
    <row r="25" spans="2:64" x14ac:dyDescent="0.45">
      <c r="B25" t="s">
        <v>322</v>
      </c>
      <c r="C25" t="s">
        <v>95</v>
      </c>
      <c r="D25">
        <v>0</v>
      </c>
      <c r="E25">
        <v>0.47430939632581681</v>
      </c>
      <c r="F25">
        <v>0.99444444444444424</v>
      </c>
      <c r="G25">
        <v>0.82323766809002974</v>
      </c>
      <c r="H25">
        <v>0.21782737826400531</v>
      </c>
      <c r="I25">
        <v>0.72189961357447441</v>
      </c>
      <c r="J25">
        <v>0.71905366839634022</v>
      </c>
      <c r="K25">
        <v>0.17707316136449849</v>
      </c>
      <c r="L25">
        <v>0.60692460523083158</v>
      </c>
      <c r="M25">
        <v>0.9570756799401956</v>
      </c>
      <c r="N25">
        <v>0.33747552493555699</v>
      </c>
      <c r="O25">
        <v>0.93033129350591948</v>
      </c>
      <c r="AU25" t="s">
        <v>322</v>
      </c>
      <c r="AV25">
        <v>0</v>
      </c>
      <c r="AW25">
        <v>0.12402752031651222</v>
      </c>
      <c r="AX25">
        <v>3.1448557695585379E-5</v>
      </c>
      <c r="AY25">
        <v>8.6439448700031309E-3</v>
      </c>
      <c r="AZ25">
        <v>0.33957244897177424</v>
      </c>
      <c r="BA25">
        <v>1.9041915892945637E-2</v>
      </c>
      <c r="BB25">
        <v>1.4943944453354506E-2</v>
      </c>
      <c r="BC25">
        <v>0.35485895553244529</v>
      </c>
      <c r="BD25">
        <v>3.4471242240589679E-2</v>
      </c>
      <c r="BE25">
        <v>7.659774133842584E-4</v>
      </c>
      <c r="BF25">
        <v>0.1866561718595868</v>
      </c>
      <c r="BG25">
        <v>2.2045112732766601E-3</v>
      </c>
      <c r="BI25" t="s">
        <v>322</v>
      </c>
      <c r="BJ25" t="s">
        <v>99</v>
      </c>
      <c r="BK25" t="s">
        <v>100</v>
      </c>
      <c r="BL25">
        <v>0.33707537045846059</v>
      </c>
    </row>
    <row r="26" spans="2:64" x14ac:dyDescent="0.45">
      <c r="B26" t="s">
        <v>323</v>
      </c>
      <c r="C26" t="s">
        <v>95</v>
      </c>
      <c r="D26">
        <v>0</v>
      </c>
      <c r="E26">
        <v>0.48799256810009317</v>
      </c>
      <c r="F26">
        <v>0.98881894759546995</v>
      </c>
      <c r="G26">
        <v>0.84011529847676092</v>
      </c>
      <c r="H26">
        <v>0.2363876199872233</v>
      </c>
      <c r="I26">
        <v>0.72491430123813139</v>
      </c>
      <c r="J26">
        <v>0.7424182753306412</v>
      </c>
      <c r="K26">
        <v>0.1947416551497857</v>
      </c>
      <c r="L26">
        <v>0.62396784325493704</v>
      </c>
      <c r="M26">
        <v>0.96010352155224654</v>
      </c>
      <c r="N26">
        <v>0.33534421352873561</v>
      </c>
      <c r="O26">
        <v>0.92756663582568621</v>
      </c>
      <c r="AU26" t="s">
        <v>323</v>
      </c>
      <c r="AV26">
        <v>0</v>
      </c>
      <c r="AW26">
        <v>0.12924735539364207</v>
      </c>
      <c r="AX26">
        <v>3.2641537082904801E-4</v>
      </c>
      <c r="AY26">
        <v>7.2934308830280362E-3</v>
      </c>
      <c r="AZ26">
        <v>0.33194372046704063</v>
      </c>
      <c r="BA26">
        <v>2.0640981381302586E-2</v>
      </c>
      <c r="BB26">
        <v>1.2615905333149553E-2</v>
      </c>
      <c r="BC26">
        <v>0.34956092813547385</v>
      </c>
      <c r="BD26">
        <v>3.4186936087525661E-2</v>
      </c>
      <c r="BE26">
        <v>5.2846459743940304E-4</v>
      </c>
      <c r="BF26">
        <v>0.188651854316809</v>
      </c>
      <c r="BG26">
        <v>2.4377404102775167E-3</v>
      </c>
      <c r="BI26" t="s">
        <v>323</v>
      </c>
      <c r="BJ26" t="s">
        <v>99</v>
      </c>
      <c r="BK26" t="s">
        <v>100</v>
      </c>
      <c r="BL26">
        <v>0.32930007762165087</v>
      </c>
    </row>
    <row r="27" spans="2:64" x14ac:dyDescent="0.45">
      <c r="B27" t="s">
        <v>324</v>
      </c>
      <c r="C27" t="s">
        <v>95</v>
      </c>
      <c r="D27">
        <v>0</v>
      </c>
      <c r="E27">
        <v>0.46636894028435311</v>
      </c>
      <c r="F27">
        <v>0.99629629629629624</v>
      </c>
      <c r="G27">
        <v>0.83096766087169893</v>
      </c>
      <c r="H27">
        <v>0.23393406434858424</v>
      </c>
      <c r="I27">
        <v>0.73032932603731182</v>
      </c>
      <c r="J27">
        <v>0.72937034870375239</v>
      </c>
      <c r="K27">
        <v>0.18882615994645574</v>
      </c>
      <c r="L27">
        <v>0.62575642885904537</v>
      </c>
      <c r="M27">
        <v>0.9551599718559417</v>
      </c>
      <c r="N27">
        <v>0.34682013530447331</v>
      </c>
      <c r="O27">
        <v>0.93571017156144987</v>
      </c>
      <c r="AU27" t="s">
        <v>324</v>
      </c>
      <c r="AV27">
        <v>0</v>
      </c>
      <c r="AW27">
        <v>0.13287835464154327</v>
      </c>
      <c r="AX27">
        <v>2.6412503455125029E-5</v>
      </c>
      <c r="AY27">
        <v>8.7702412207478781E-3</v>
      </c>
      <c r="AZ27">
        <v>0.33313064781744156</v>
      </c>
      <c r="BA27">
        <v>1.8499477485674744E-2</v>
      </c>
      <c r="BB27">
        <v>1.4949635705397795E-2</v>
      </c>
      <c r="BC27">
        <v>0.35632180361926308</v>
      </c>
      <c r="BD27">
        <v>3.1108368188507051E-2</v>
      </c>
      <c r="BE27">
        <v>9.2673497832171717E-4</v>
      </c>
      <c r="BF27">
        <v>0.19410526168503148</v>
      </c>
      <c r="BG27">
        <v>1.9838857795021177E-3</v>
      </c>
      <c r="BI27" t="s">
        <v>324</v>
      </c>
      <c r="BJ27" t="s">
        <v>99</v>
      </c>
      <c r="BK27" t="s">
        <v>100</v>
      </c>
      <c r="BL27">
        <v>0.34459842795478507</v>
      </c>
    </row>
    <row r="28" spans="2:64" x14ac:dyDescent="0.45">
      <c r="B28" t="s">
        <v>325</v>
      </c>
      <c r="C28" t="s">
        <v>95</v>
      </c>
      <c r="D28">
        <v>0</v>
      </c>
      <c r="E28">
        <v>0.45776308426837631</v>
      </c>
      <c r="F28">
        <v>0.99434915085361475</v>
      </c>
      <c r="G28">
        <v>0.83489384957021995</v>
      </c>
      <c r="H28">
        <v>0.23294414941784278</v>
      </c>
      <c r="I28">
        <v>0.73570246433040865</v>
      </c>
      <c r="J28">
        <v>0.73962770381571807</v>
      </c>
      <c r="K28">
        <v>0.18731835128835508</v>
      </c>
      <c r="L28">
        <v>0.63522555648699008</v>
      </c>
      <c r="M28">
        <v>0.95491397183113513</v>
      </c>
      <c r="N28">
        <v>0.33168626495672671</v>
      </c>
      <c r="O28">
        <v>0.93247182526470795</v>
      </c>
      <c r="AU28" t="s">
        <v>325</v>
      </c>
      <c r="AV28">
        <v>0</v>
      </c>
      <c r="AW28">
        <v>0.13012314314161624</v>
      </c>
      <c r="AX28">
        <v>1.4680216624731064E-4</v>
      </c>
      <c r="AY28">
        <v>8.0422891893454015E-3</v>
      </c>
      <c r="AZ28">
        <v>0.33111179718155015</v>
      </c>
      <c r="BA28">
        <v>1.7752342092089105E-2</v>
      </c>
      <c r="BB28">
        <v>1.3817174131200321E-2</v>
      </c>
      <c r="BC28">
        <v>0.3553611930556827</v>
      </c>
      <c r="BD28">
        <v>2.9990861247529001E-2</v>
      </c>
      <c r="BE28">
        <v>7.7492973334811167E-4</v>
      </c>
      <c r="BF28">
        <v>0.18756504544706901</v>
      </c>
      <c r="BG28">
        <v>1.9946600592954497E-3</v>
      </c>
      <c r="BI28" t="s">
        <v>325</v>
      </c>
      <c r="BJ28" t="s">
        <v>99</v>
      </c>
      <c r="BK28" t="s">
        <v>100</v>
      </c>
      <c r="BL28">
        <v>0.33569723127314194</v>
      </c>
    </row>
    <row r="29" spans="2:64" x14ac:dyDescent="0.45">
      <c r="B29" t="s">
        <v>326</v>
      </c>
      <c r="C29" t="s">
        <v>95</v>
      </c>
      <c r="D29">
        <v>0</v>
      </c>
      <c r="E29">
        <v>0.48544426893574366</v>
      </c>
      <c r="F29">
        <v>0.9769146781554251</v>
      </c>
      <c r="G29">
        <v>0.86058008321538848</v>
      </c>
      <c r="H29">
        <v>0.24601208038195518</v>
      </c>
      <c r="I29">
        <v>0.70380878417861037</v>
      </c>
      <c r="J29">
        <v>0.76305050022425913</v>
      </c>
      <c r="K29">
        <v>0.20588483906094385</v>
      </c>
      <c r="L29">
        <v>0.61408442197643998</v>
      </c>
      <c r="M29">
        <v>0.96757958271293931</v>
      </c>
      <c r="N29">
        <v>0.3409641997449161</v>
      </c>
      <c r="O29">
        <v>0.90850372841128069</v>
      </c>
      <c r="AU29" t="s">
        <v>326</v>
      </c>
      <c r="AV29">
        <v>0</v>
      </c>
      <c r="AW29">
        <v>0.12431916349749525</v>
      </c>
      <c r="AX29">
        <v>8.1770779969977296E-4</v>
      </c>
      <c r="AY29">
        <v>4.4905952200168684E-3</v>
      </c>
      <c r="AZ29">
        <v>0.32163312358335377</v>
      </c>
      <c r="BA29">
        <v>2.4531086268377664E-2</v>
      </c>
      <c r="BB29">
        <v>9.251784139662057E-3</v>
      </c>
      <c r="BC29">
        <v>0.33802217851256167</v>
      </c>
      <c r="BD29">
        <v>3.7517621477855666E-2</v>
      </c>
      <c r="BE29">
        <v>2.9323497583024871E-4</v>
      </c>
      <c r="BF29">
        <v>0.19155860212846473</v>
      </c>
      <c r="BG29">
        <v>3.3695956567939803E-3</v>
      </c>
      <c r="BI29" t="s">
        <v>326</v>
      </c>
      <c r="BJ29" t="s">
        <v>99</v>
      </c>
      <c r="BK29" t="s">
        <v>100</v>
      </c>
      <c r="BL29">
        <v>0.3208284759676055</v>
      </c>
    </row>
    <row r="30" spans="2:64" x14ac:dyDescent="0.45">
      <c r="B30" t="s">
        <v>327</v>
      </c>
      <c r="C30" t="s">
        <v>95</v>
      </c>
      <c r="D30">
        <v>0</v>
      </c>
      <c r="E30">
        <v>0.51407948329351705</v>
      </c>
      <c r="F30">
        <v>0.98963483122424734</v>
      </c>
      <c r="G30">
        <v>0.84220578681548663</v>
      </c>
      <c r="H30">
        <v>0.24127450404935449</v>
      </c>
      <c r="I30">
        <v>0.71774207029023651</v>
      </c>
      <c r="J30">
        <v>0.7420475621985686</v>
      </c>
      <c r="K30">
        <v>0.20349619349957163</v>
      </c>
      <c r="L30">
        <v>0.61195609385637117</v>
      </c>
      <c r="M30">
        <v>0.96504781603841672</v>
      </c>
      <c r="N30">
        <v>0.35473716261353672</v>
      </c>
      <c r="O30">
        <v>0.9273436923599282</v>
      </c>
      <c r="AU30" t="s">
        <v>327</v>
      </c>
      <c r="AV30">
        <v>0</v>
      </c>
      <c r="AW30">
        <v>0.11136086109769536</v>
      </c>
      <c r="AX30">
        <v>2.9274262128139701E-4</v>
      </c>
      <c r="AY30">
        <v>6.5450700360574019E-3</v>
      </c>
      <c r="AZ30">
        <v>0.31878216181115149</v>
      </c>
      <c r="BA30">
        <v>2.0325967194894694E-2</v>
      </c>
      <c r="BB30">
        <v>1.1325327397478718E-2</v>
      </c>
      <c r="BC30">
        <v>0.32310238175156042</v>
      </c>
      <c r="BD30">
        <v>3.5079519796387161E-2</v>
      </c>
      <c r="BE30">
        <v>4.4913608695174863E-4</v>
      </c>
      <c r="BF30">
        <v>0.17040741399550988</v>
      </c>
      <c r="BG30">
        <v>2.4230379469172727E-3</v>
      </c>
      <c r="BI30" t="s">
        <v>327</v>
      </c>
      <c r="BJ30" t="s">
        <v>99</v>
      </c>
      <c r="BK30" t="s">
        <v>100</v>
      </c>
      <c r="BL30">
        <v>0.31476569964181489</v>
      </c>
    </row>
    <row r="31" spans="2:64" x14ac:dyDescent="0.45">
      <c r="B31" t="s">
        <v>328</v>
      </c>
      <c r="C31" t="s">
        <v>95</v>
      </c>
      <c r="D31">
        <v>0</v>
      </c>
      <c r="E31">
        <v>0.49248664805211873</v>
      </c>
      <c r="F31">
        <v>0.98518518518518516</v>
      </c>
      <c r="G31">
        <v>0.8500491246900983</v>
      </c>
      <c r="H31">
        <v>0.23767404561705899</v>
      </c>
      <c r="I31">
        <v>0.7088533825120783</v>
      </c>
      <c r="J31">
        <v>0.74920467553203429</v>
      </c>
      <c r="K31">
        <v>0.19369292042710123</v>
      </c>
      <c r="L31">
        <v>0.61066559275311416</v>
      </c>
      <c r="M31">
        <v>0.96557662415910595</v>
      </c>
      <c r="N31">
        <v>0.33885718015962285</v>
      </c>
      <c r="O31">
        <v>0.91415378002242786</v>
      </c>
      <c r="AU31" t="s">
        <v>328</v>
      </c>
      <c r="AV31">
        <v>0</v>
      </c>
      <c r="AW31">
        <v>0.11639433263665486</v>
      </c>
      <c r="AX31">
        <v>5.30280907630473E-4</v>
      </c>
      <c r="AY31">
        <v>5.3697155277924371E-3</v>
      </c>
      <c r="AZ31">
        <v>0.35511057382600358</v>
      </c>
      <c r="BA31">
        <v>2.4560944095940868E-2</v>
      </c>
      <c r="BB31">
        <v>1.0356496267212903E-2</v>
      </c>
      <c r="BC31">
        <v>0.36918759229384351</v>
      </c>
      <c r="BD31">
        <v>3.9958341050632909E-2</v>
      </c>
      <c r="BE31">
        <v>3.645334482770896E-4</v>
      </c>
      <c r="BF31">
        <v>0.19868355311623731</v>
      </c>
      <c r="BG31">
        <v>3.1990527405335581E-3</v>
      </c>
      <c r="BI31" t="s">
        <v>328</v>
      </c>
      <c r="BJ31" t="s">
        <v>99</v>
      </c>
      <c r="BK31" t="s">
        <v>100</v>
      </c>
      <c r="BL31">
        <v>0.35345233831633555</v>
      </c>
    </row>
    <row r="32" spans="2:64" x14ac:dyDescent="0.45">
      <c r="B32" t="s">
        <v>329</v>
      </c>
      <c r="C32" t="s">
        <v>95</v>
      </c>
      <c r="D32">
        <v>0.23816877765748989</v>
      </c>
      <c r="E32">
        <v>0.22577577510282609</v>
      </c>
      <c r="F32">
        <v>0.25282200017724715</v>
      </c>
      <c r="G32">
        <v>0.24731166036943877</v>
      </c>
      <c r="H32">
        <v>0.27167859269050443</v>
      </c>
      <c r="I32">
        <v>0.23813166594647642</v>
      </c>
      <c r="J32">
        <v>0.32249132637508082</v>
      </c>
      <c r="K32">
        <v>0.33239256258136324</v>
      </c>
      <c r="L32">
        <v>0.27724186380252985</v>
      </c>
      <c r="M32">
        <v>0.2860017536813757</v>
      </c>
      <c r="N32">
        <v>0.27533371365901099</v>
      </c>
      <c r="O32">
        <v>0.26536285050475783</v>
      </c>
      <c r="AU32" t="s">
        <v>329</v>
      </c>
      <c r="AV32">
        <v>0.62058675025894949</v>
      </c>
      <c r="AW32">
        <v>0.61430825413869805</v>
      </c>
      <c r="AX32">
        <v>0.613870681123587</v>
      </c>
      <c r="AY32">
        <v>0.57876092379551769</v>
      </c>
      <c r="AZ32">
        <v>0.55550577327014272</v>
      </c>
      <c r="BA32">
        <v>0.5923944363525081</v>
      </c>
      <c r="BB32">
        <v>0.42902412858565847</v>
      </c>
      <c r="BC32">
        <v>0.4101353465136886</v>
      </c>
      <c r="BD32">
        <v>0.4490414823567444</v>
      </c>
      <c r="BE32">
        <v>0.54541512875973686</v>
      </c>
      <c r="BF32">
        <v>0.55463312982192237</v>
      </c>
      <c r="BG32">
        <v>0.57481249673852153</v>
      </c>
      <c r="BI32" t="s">
        <v>330</v>
      </c>
      <c r="BJ32" t="s">
        <v>99</v>
      </c>
      <c r="BK32" t="s">
        <v>100</v>
      </c>
      <c r="BL32">
        <v>0.66149962542266116</v>
      </c>
    </row>
    <row r="33" spans="2:64" x14ac:dyDescent="0.45">
      <c r="B33" t="s">
        <v>331</v>
      </c>
      <c r="C33" t="s">
        <v>95</v>
      </c>
      <c r="D33">
        <v>0.24726798436026948</v>
      </c>
      <c r="E33">
        <v>0.26078486423338004</v>
      </c>
      <c r="F33">
        <v>0.2469615906205031</v>
      </c>
      <c r="G33">
        <v>0.25894685778875637</v>
      </c>
      <c r="H33">
        <v>0.30196922073169408</v>
      </c>
      <c r="I33">
        <v>0.25947855474670706</v>
      </c>
      <c r="J33">
        <v>0.3330326282060409</v>
      </c>
      <c r="K33">
        <v>0.37235101392335712</v>
      </c>
      <c r="L33">
        <v>0.31330298088483616</v>
      </c>
      <c r="M33">
        <v>0.319218924891505</v>
      </c>
      <c r="N33">
        <v>0.30068357174224197</v>
      </c>
      <c r="O33">
        <v>0.27528615169104492</v>
      </c>
      <c r="AU33" t="s">
        <v>331</v>
      </c>
      <c r="AV33">
        <v>0.61165527610849724</v>
      </c>
      <c r="AW33">
        <v>0.60584862857097455</v>
      </c>
      <c r="AX33">
        <v>0.63251230398912128</v>
      </c>
      <c r="AY33">
        <v>0.56815393865083952</v>
      </c>
      <c r="AZ33">
        <v>0.5084938648464582</v>
      </c>
      <c r="BA33">
        <v>0.57073323873491777</v>
      </c>
      <c r="BB33">
        <v>0.45142192419677302</v>
      </c>
      <c r="BC33">
        <v>0.43513620710415607</v>
      </c>
      <c r="BD33">
        <v>0.52212106619555831</v>
      </c>
      <c r="BE33">
        <v>0.54255496037405959</v>
      </c>
      <c r="BF33">
        <v>0.56570507593344443</v>
      </c>
      <c r="BG33">
        <v>0.59186492957197367</v>
      </c>
      <c r="BI33" t="s">
        <v>332</v>
      </c>
      <c r="BJ33" t="s">
        <v>99</v>
      </c>
      <c r="BK33" t="s">
        <v>100</v>
      </c>
      <c r="BL33">
        <v>0.56024035109446169</v>
      </c>
    </row>
    <row r="34" spans="2:64" x14ac:dyDescent="0.45">
      <c r="B34" t="s">
        <v>333</v>
      </c>
      <c r="C34" t="s">
        <v>95</v>
      </c>
      <c r="D34">
        <v>0.24516302096384046</v>
      </c>
      <c r="E34">
        <v>0.25916770414457274</v>
      </c>
      <c r="F34">
        <v>0.24096477728027818</v>
      </c>
      <c r="G34">
        <v>0.26297619568918462</v>
      </c>
      <c r="H34">
        <v>0.27062420856193703</v>
      </c>
      <c r="I34">
        <v>0.24196897495885911</v>
      </c>
      <c r="J34">
        <v>0.31432392496728151</v>
      </c>
      <c r="K34">
        <v>0.33063458619727454</v>
      </c>
      <c r="L34">
        <v>0.31067061748822572</v>
      </c>
      <c r="M34">
        <v>0.28425471806673053</v>
      </c>
      <c r="N34">
        <v>0.29857306898299008</v>
      </c>
      <c r="O34">
        <v>0.27027763065937344</v>
      </c>
      <c r="AU34" t="s">
        <v>333</v>
      </c>
      <c r="AV34">
        <v>0.58805951576498772</v>
      </c>
      <c r="AW34">
        <v>0.56954514278156487</v>
      </c>
      <c r="AX34">
        <v>0.59851463178456243</v>
      </c>
      <c r="AY34">
        <v>0.51737806443784795</v>
      </c>
      <c r="AZ34">
        <v>0.51958539406591908</v>
      </c>
      <c r="BA34">
        <v>0.53628507651045498</v>
      </c>
      <c r="BB34">
        <v>0.37905745263120755</v>
      </c>
      <c r="BC34">
        <v>0.36347952823591734</v>
      </c>
      <c r="BD34">
        <v>0.40863918655184445</v>
      </c>
      <c r="BE34">
        <v>0.52765491414408461</v>
      </c>
      <c r="BF34">
        <v>0.52643081088465549</v>
      </c>
      <c r="BG34">
        <v>0.55808937151061944</v>
      </c>
      <c r="BI34" t="s">
        <v>334</v>
      </c>
      <c r="BJ34" t="s">
        <v>99</v>
      </c>
      <c r="BK34" t="s">
        <v>100</v>
      </c>
      <c r="BL34">
        <v>0.54541458574407109</v>
      </c>
    </row>
    <row r="35" spans="2:64" x14ac:dyDescent="0.45">
      <c r="B35" t="s">
        <v>335</v>
      </c>
      <c r="C35" t="s">
        <v>95</v>
      </c>
      <c r="D35">
        <v>0.21505516594710639</v>
      </c>
      <c r="E35">
        <v>0.20585520476772032</v>
      </c>
      <c r="F35">
        <v>0.22172049320286691</v>
      </c>
      <c r="G35">
        <v>0.20970191190727847</v>
      </c>
      <c r="H35">
        <v>0.2341099912594497</v>
      </c>
      <c r="I35">
        <v>0.20471897255560417</v>
      </c>
      <c r="J35">
        <v>0.31977601920802784</v>
      </c>
      <c r="K35">
        <v>0.3261351831463335</v>
      </c>
      <c r="L35">
        <v>0.2892285190762125</v>
      </c>
      <c r="M35">
        <v>0.29280257928689257</v>
      </c>
      <c r="N35">
        <v>0.30291578932513091</v>
      </c>
      <c r="O35">
        <v>0.26411410416914566</v>
      </c>
      <c r="AU35" t="s">
        <v>335</v>
      </c>
      <c r="AV35">
        <v>0.67039738424974016</v>
      </c>
      <c r="AW35">
        <v>0.67111808510335802</v>
      </c>
      <c r="AX35">
        <v>0.66799037226033975</v>
      </c>
      <c r="AY35">
        <v>0.64244398781842793</v>
      </c>
      <c r="AZ35">
        <v>0.6268418157327228</v>
      </c>
      <c r="BA35">
        <v>0.65199646595708649</v>
      </c>
      <c r="BB35">
        <v>0.45170396226208476</v>
      </c>
      <c r="BC35">
        <v>0.44289700995427</v>
      </c>
      <c r="BD35">
        <v>0.46958929275427286</v>
      </c>
      <c r="BE35">
        <v>0.54398248750708245</v>
      </c>
      <c r="BF35">
        <v>0.54300456392031804</v>
      </c>
      <c r="BG35">
        <v>0.56869849481977774</v>
      </c>
      <c r="BI35" t="s">
        <v>336</v>
      </c>
      <c r="BJ35" t="s">
        <v>99</v>
      </c>
      <c r="BK35" t="s">
        <v>100</v>
      </c>
      <c r="BL35">
        <v>0.52338284514373623</v>
      </c>
    </row>
    <row r="36" spans="2:64" x14ac:dyDescent="0.45">
      <c r="B36" t="s">
        <v>337</v>
      </c>
      <c r="C36" t="s">
        <v>95</v>
      </c>
      <c r="D36">
        <v>0.20228407671141169</v>
      </c>
      <c r="E36">
        <v>0.19449750111299982</v>
      </c>
      <c r="F36">
        <v>0.20194792395912856</v>
      </c>
      <c r="G36">
        <v>0.19591033785134407</v>
      </c>
      <c r="H36">
        <v>0.21479466815856588</v>
      </c>
      <c r="I36">
        <v>0.19034411945087515</v>
      </c>
      <c r="J36">
        <v>0.29844283200312216</v>
      </c>
      <c r="K36">
        <v>0.31317432426432179</v>
      </c>
      <c r="L36">
        <v>0.28780041896754466</v>
      </c>
      <c r="M36">
        <v>0.2804765898681853</v>
      </c>
      <c r="N36">
        <v>0.28123486582206753</v>
      </c>
      <c r="O36">
        <v>0.27925020488132168</v>
      </c>
      <c r="AU36" t="s">
        <v>337</v>
      </c>
      <c r="AV36">
        <v>0.68705737598720196</v>
      </c>
      <c r="AW36">
        <v>0.70236950306297696</v>
      </c>
      <c r="AX36">
        <v>0.7013009934427108</v>
      </c>
      <c r="AY36">
        <v>0.6780825520553172</v>
      </c>
      <c r="AZ36">
        <v>0.64736799374998</v>
      </c>
      <c r="BA36">
        <v>0.6648728865036454</v>
      </c>
      <c r="BB36">
        <v>0.44762593859445404</v>
      </c>
      <c r="BC36">
        <v>0.42332106136414904</v>
      </c>
      <c r="BD36">
        <v>0.45018843457440039</v>
      </c>
      <c r="BE36">
        <v>0.54204000786286255</v>
      </c>
      <c r="BF36">
        <v>0.55583338207327126</v>
      </c>
      <c r="BG36">
        <v>0.54707682636327448</v>
      </c>
      <c r="BI36" t="s">
        <v>338</v>
      </c>
      <c r="BJ36" t="s">
        <v>99</v>
      </c>
      <c r="BK36" t="s">
        <v>100</v>
      </c>
      <c r="BL36">
        <v>0.45486060108013476</v>
      </c>
    </row>
    <row r="37" spans="2:64" x14ac:dyDescent="0.45">
      <c r="B37" t="s">
        <v>339</v>
      </c>
      <c r="C37" t="s">
        <v>95</v>
      </c>
      <c r="D37">
        <v>0.21658605424875901</v>
      </c>
      <c r="E37">
        <v>0.24139617195486432</v>
      </c>
      <c r="F37">
        <v>0.23423774430352137</v>
      </c>
      <c r="G37">
        <v>0.26338824760580826</v>
      </c>
      <c r="H37">
        <v>0.25252385345269701</v>
      </c>
      <c r="I37">
        <v>0.25713614827883113</v>
      </c>
      <c r="J37">
        <v>0.33222590038620647</v>
      </c>
      <c r="K37">
        <v>0.33386587889545788</v>
      </c>
      <c r="L37">
        <v>0.31322682162994148</v>
      </c>
      <c r="M37">
        <v>0.28933199095704487</v>
      </c>
      <c r="N37">
        <v>0.29618953363597006</v>
      </c>
      <c r="O37">
        <v>0.28006487736259922</v>
      </c>
      <c r="AU37" t="s">
        <v>339</v>
      </c>
      <c r="AV37">
        <v>0.63527522113836843</v>
      </c>
      <c r="AW37">
        <v>0.62016477889768629</v>
      </c>
      <c r="AX37">
        <v>0.63366814810576066</v>
      </c>
      <c r="AY37">
        <v>0.5786912092698171</v>
      </c>
      <c r="AZ37">
        <v>0.58316584723653053</v>
      </c>
      <c r="BA37">
        <v>0.56764293528265919</v>
      </c>
      <c r="BB37">
        <v>0.3882103310610972</v>
      </c>
      <c r="BC37">
        <v>0.37283634585354558</v>
      </c>
      <c r="BD37">
        <v>0.41478031706738128</v>
      </c>
      <c r="BE37">
        <v>0.51266702181621115</v>
      </c>
      <c r="BF37">
        <v>0.53324249761602183</v>
      </c>
      <c r="BG37">
        <v>0.5363950382246323</v>
      </c>
      <c r="BI37" t="s">
        <v>340</v>
      </c>
      <c r="BJ37" t="s">
        <v>99</v>
      </c>
      <c r="BK37" t="s">
        <v>100</v>
      </c>
      <c r="BL37">
        <v>0.55468004713938024</v>
      </c>
    </row>
    <row r="38" spans="2:64" x14ac:dyDescent="0.45">
      <c r="B38" t="s">
        <v>341</v>
      </c>
      <c r="C38" t="s">
        <v>95</v>
      </c>
      <c r="D38">
        <v>0.22320590897658255</v>
      </c>
      <c r="E38">
        <v>0.22929832873915182</v>
      </c>
      <c r="F38">
        <v>0.21274515663308305</v>
      </c>
      <c r="G38">
        <v>0.26879184377908805</v>
      </c>
      <c r="H38">
        <v>0.27818597086170016</v>
      </c>
      <c r="I38">
        <v>0.26881993570456048</v>
      </c>
      <c r="J38">
        <v>0.34532006731727105</v>
      </c>
      <c r="K38">
        <v>0.35847415687298739</v>
      </c>
      <c r="L38">
        <v>0.3019953518790422</v>
      </c>
      <c r="M38">
        <v>0.25934848216998452</v>
      </c>
      <c r="N38">
        <v>0.27352429549579299</v>
      </c>
      <c r="O38">
        <v>0.25458320890090824</v>
      </c>
      <c r="AU38" t="s">
        <v>341</v>
      </c>
      <c r="AV38">
        <v>0.66278648415584285</v>
      </c>
      <c r="AW38">
        <v>0.64395796369981284</v>
      </c>
      <c r="AX38">
        <v>0.67620190130702673</v>
      </c>
      <c r="AY38">
        <v>0.58182488437974778</v>
      </c>
      <c r="AZ38">
        <v>0.56226700212444247</v>
      </c>
      <c r="BA38">
        <v>0.56184548022580083</v>
      </c>
      <c r="BB38">
        <v>0.35275705892401843</v>
      </c>
      <c r="BC38">
        <v>0.3649962687391804</v>
      </c>
      <c r="BD38">
        <v>0.42965269320213212</v>
      </c>
      <c r="BE38">
        <v>0.54760570234792993</v>
      </c>
      <c r="BF38">
        <v>0.55868005489604156</v>
      </c>
      <c r="BG38">
        <v>0.55694110235201344</v>
      </c>
      <c r="BI38" t="s">
        <v>342</v>
      </c>
      <c r="BJ38" t="s">
        <v>99</v>
      </c>
      <c r="BK38" t="s">
        <v>100</v>
      </c>
      <c r="BL38">
        <v>0.48795087699845263</v>
      </c>
    </row>
    <row r="39" spans="2:64" x14ac:dyDescent="0.45">
      <c r="B39" t="s">
        <v>343</v>
      </c>
      <c r="C39" t="s">
        <v>95</v>
      </c>
      <c r="D39">
        <v>0.21195096273261696</v>
      </c>
      <c r="E39">
        <v>0.21581333988109372</v>
      </c>
      <c r="F39">
        <v>0.21830509105130205</v>
      </c>
      <c r="G39">
        <v>0.22982724193539705</v>
      </c>
      <c r="H39">
        <v>0.2403556981897893</v>
      </c>
      <c r="I39">
        <v>0.23706116665109472</v>
      </c>
      <c r="J39">
        <v>0.30390655203197087</v>
      </c>
      <c r="K39">
        <v>0.32194500740461668</v>
      </c>
      <c r="L39">
        <v>0.28794334364710805</v>
      </c>
      <c r="M39">
        <v>0.2678899242547052</v>
      </c>
      <c r="N39">
        <v>0.27217365090335127</v>
      </c>
      <c r="O39">
        <v>0.26521645966212615</v>
      </c>
      <c r="AU39" t="s">
        <v>343</v>
      </c>
      <c r="AV39">
        <v>0.66693957452083075</v>
      </c>
      <c r="AW39">
        <v>0.66998015766388608</v>
      </c>
      <c r="AX39">
        <v>0.68088762376617529</v>
      </c>
      <c r="AY39">
        <v>0.6414032017871768</v>
      </c>
      <c r="AZ39">
        <v>0.61046225328043779</v>
      </c>
      <c r="BA39">
        <v>0.60245486991070574</v>
      </c>
      <c r="BB39">
        <v>0.41691775060373931</v>
      </c>
      <c r="BC39">
        <v>0.41270795681705175</v>
      </c>
      <c r="BD39">
        <v>0.47110177031356115</v>
      </c>
      <c r="BE39">
        <v>0.54278743097882531</v>
      </c>
      <c r="BF39">
        <v>0.56883058879632864</v>
      </c>
      <c r="BG39">
        <v>0.56218118840141851</v>
      </c>
      <c r="BI39" t="s">
        <v>344</v>
      </c>
      <c r="BJ39" t="s">
        <v>99</v>
      </c>
      <c r="BK39" t="s">
        <v>100</v>
      </c>
      <c r="BL39">
        <v>0.55846799962303029</v>
      </c>
    </row>
    <row r="40" spans="2:64" x14ac:dyDescent="0.45">
      <c r="B40" t="s">
        <v>345</v>
      </c>
      <c r="C40" t="s">
        <v>95</v>
      </c>
      <c r="D40">
        <v>0.23473100718949425</v>
      </c>
      <c r="E40">
        <v>0.2663871808618189</v>
      </c>
      <c r="F40">
        <v>0.23975863346898127</v>
      </c>
      <c r="G40">
        <v>0.35883884280781131</v>
      </c>
      <c r="H40">
        <v>0.34633418326702453</v>
      </c>
      <c r="I40">
        <v>0.33615825450697384</v>
      </c>
      <c r="J40">
        <v>0.39353697924856124</v>
      </c>
      <c r="K40">
        <v>0.40138262630533916</v>
      </c>
      <c r="L40">
        <v>0.38897462574701419</v>
      </c>
      <c r="M40">
        <v>0.33618272968054169</v>
      </c>
      <c r="N40">
        <v>0.31122410487246288</v>
      </c>
      <c r="O40">
        <v>0.32704427180707718</v>
      </c>
      <c r="AU40" t="s">
        <v>345</v>
      </c>
      <c r="AV40">
        <v>0.6008033736805094</v>
      </c>
      <c r="AW40">
        <v>0.57742988265257622</v>
      </c>
      <c r="AX40">
        <v>0.61099637913088478</v>
      </c>
      <c r="AY40">
        <v>0.4011489167296981</v>
      </c>
      <c r="AZ40">
        <v>0.43043823365028561</v>
      </c>
      <c r="BA40">
        <v>0.44181824335499598</v>
      </c>
      <c r="BB40">
        <v>0.3041868027142966</v>
      </c>
      <c r="BC40">
        <v>0.34098791750280716</v>
      </c>
      <c r="BD40">
        <v>0.30482734474397793</v>
      </c>
      <c r="BE40">
        <v>0.45573182801827988</v>
      </c>
      <c r="BF40">
        <v>0.49865488028828714</v>
      </c>
      <c r="BG40">
        <v>0.47011845716335071</v>
      </c>
      <c r="BI40" t="s">
        <v>346</v>
      </c>
      <c r="BJ40" t="s">
        <v>99</v>
      </c>
      <c r="BK40" t="s">
        <v>100</v>
      </c>
      <c r="BL40">
        <v>0.46659329938320543</v>
      </c>
    </row>
    <row r="41" spans="2:64" x14ac:dyDescent="0.45">
      <c r="B41" t="s">
        <v>347</v>
      </c>
      <c r="C41" t="s">
        <v>95</v>
      </c>
      <c r="D41">
        <v>0.29624008475823349</v>
      </c>
      <c r="E41">
        <v>0.30755217204870644</v>
      </c>
      <c r="F41">
        <v>0.3058910099727537</v>
      </c>
      <c r="G41">
        <v>0.37910554252190232</v>
      </c>
      <c r="H41">
        <v>0.37153948733671682</v>
      </c>
      <c r="I41">
        <v>0.34369134043227184</v>
      </c>
      <c r="J41">
        <v>0.38240241949573406</v>
      </c>
      <c r="K41">
        <v>0.40205211224290455</v>
      </c>
      <c r="L41">
        <v>0.38033484982722571</v>
      </c>
      <c r="M41">
        <v>0.32581957333826217</v>
      </c>
      <c r="N41">
        <v>0.31479443263580748</v>
      </c>
      <c r="O41">
        <v>0.30060882224779201</v>
      </c>
      <c r="AU41" t="s">
        <v>347</v>
      </c>
      <c r="AV41">
        <v>0.4925701321372114</v>
      </c>
      <c r="AW41">
        <v>0.45943077764020018</v>
      </c>
      <c r="AX41">
        <v>0.49181802636684113</v>
      </c>
      <c r="AY41">
        <v>0.31741479858329241</v>
      </c>
      <c r="AZ41">
        <v>0.36052117949958579</v>
      </c>
      <c r="BA41">
        <v>0.35265391692772319</v>
      </c>
      <c r="BB41">
        <v>0.21719737878310272</v>
      </c>
      <c r="BC41">
        <v>0.26631647540318915</v>
      </c>
      <c r="BD41">
        <v>0.22716212894927573</v>
      </c>
      <c r="BE41">
        <v>0.38817761606007917</v>
      </c>
      <c r="BF41">
        <v>0.4122516161464933</v>
      </c>
      <c r="BG41">
        <v>0.40110056166160329</v>
      </c>
      <c r="BI41" t="s">
        <v>348</v>
      </c>
      <c r="BJ41" t="s">
        <v>99</v>
      </c>
      <c r="BK41" t="s">
        <v>100</v>
      </c>
      <c r="BL41">
        <v>0.5517624738259822</v>
      </c>
    </row>
    <row r="42" spans="2:64" x14ac:dyDescent="0.45">
      <c r="B42" t="s">
        <v>349</v>
      </c>
      <c r="C42" t="s">
        <v>95</v>
      </c>
      <c r="D42">
        <v>0.18594511640839687</v>
      </c>
      <c r="E42">
        <v>0.20755782856668709</v>
      </c>
      <c r="F42">
        <v>0.19287234489205152</v>
      </c>
      <c r="G42">
        <v>0.25346992365539373</v>
      </c>
      <c r="H42">
        <v>0.25256828381820451</v>
      </c>
      <c r="I42">
        <v>0.24323164509067355</v>
      </c>
      <c r="J42">
        <v>0.35277141679757806</v>
      </c>
      <c r="K42">
        <v>0.37949289988804769</v>
      </c>
      <c r="L42">
        <v>0.32215853057842753</v>
      </c>
      <c r="M42">
        <v>0.23803929908903351</v>
      </c>
      <c r="N42">
        <v>0.24893075640340104</v>
      </c>
      <c r="O42">
        <v>0.22007273917663669</v>
      </c>
      <c r="AU42" t="s">
        <v>349</v>
      </c>
      <c r="AV42">
        <v>0.69291801929621144</v>
      </c>
      <c r="AW42">
        <v>0.66719143829736316</v>
      </c>
      <c r="AX42">
        <v>0.69697103232189539</v>
      </c>
      <c r="AY42">
        <v>0.59288575392729659</v>
      </c>
      <c r="AZ42">
        <v>0.57809318347243288</v>
      </c>
      <c r="BA42">
        <v>0.58566738196676249</v>
      </c>
      <c r="BB42">
        <v>0.3267733118624751</v>
      </c>
      <c r="BC42">
        <v>0.32262834636834492</v>
      </c>
      <c r="BD42">
        <v>0.35091418882806186</v>
      </c>
      <c r="BE42">
        <v>0.56843546196571026</v>
      </c>
      <c r="BF42">
        <v>0.56976615945280495</v>
      </c>
      <c r="BG42">
        <v>0.58551857057235557</v>
      </c>
      <c r="BI42" t="s">
        <v>350</v>
      </c>
      <c r="BJ42" t="s">
        <v>99</v>
      </c>
      <c r="BK42" t="s">
        <v>100</v>
      </c>
      <c r="BL42">
        <v>0.70123042435555305</v>
      </c>
    </row>
    <row r="43" spans="2:64" x14ac:dyDescent="0.45">
      <c r="B43" t="s">
        <v>351</v>
      </c>
      <c r="C43" t="s">
        <v>95</v>
      </c>
      <c r="D43">
        <v>0.1805019023521065</v>
      </c>
      <c r="E43">
        <v>0.20438479431625137</v>
      </c>
      <c r="F43">
        <v>0.18686592444555544</v>
      </c>
      <c r="G43">
        <v>0.26023750118933542</v>
      </c>
      <c r="H43">
        <v>0.26117135629670452</v>
      </c>
      <c r="I43">
        <v>0.24115010892056998</v>
      </c>
      <c r="J43">
        <v>0.3900201099958302</v>
      </c>
      <c r="K43">
        <v>0.3958569800326775</v>
      </c>
      <c r="L43">
        <v>0.3874147737667753</v>
      </c>
      <c r="M43">
        <v>0.25233437909801215</v>
      </c>
      <c r="N43">
        <v>0.25405331309834911</v>
      </c>
      <c r="O43">
        <v>0.23992293675103671</v>
      </c>
      <c r="AU43" t="s">
        <v>351</v>
      </c>
      <c r="AV43">
        <v>0.70794854920817041</v>
      </c>
      <c r="AW43">
        <v>0.68615291160102376</v>
      </c>
      <c r="AX43">
        <v>0.70745573376421145</v>
      </c>
      <c r="AY43">
        <v>0.56327545642979338</v>
      </c>
      <c r="AZ43">
        <v>0.56823979220447851</v>
      </c>
      <c r="BA43">
        <v>0.5846283230015703</v>
      </c>
      <c r="BB43">
        <v>0.32463472085082928</v>
      </c>
      <c r="BC43">
        <v>0.32537194163300942</v>
      </c>
      <c r="BD43">
        <v>0.32412828778063696</v>
      </c>
      <c r="BE43">
        <v>0.5726302722722918</v>
      </c>
      <c r="BF43">
        <v>0.58260713386870588</v>
      </c>
      <c r="BG43">
        <v>0.58280687834381684</v>
      </c>
      <c r="BI43" t="s">
        <v>352</v>
      </c>
      <c r="BJ43" t="s">
        <v>99</v>
      </c>
      <c r="BK43" t="s">
        <v>100</v>
      </c>
      <c r="BL43">
        <v>0.58091590004496341</v>
      </c>
    </row>
    <row r="44" spans="2:64" x14ac:dyDescent="0.45">
      <c r="B44" t="s">
        <v>353</v>
      </c>
      <c r="C44" t="s">
        <v>95</v>
      </c>
      <c r="D44">
        <v>0.15182061929263901</v>
      </c>
      <c r="E44">
        <v>0.17078126684497591</v>
      </c>
      <c r="F44">
        <v>0.1542412535449767</v>
      </c>
      <c r="G44">
        <v>0.25370295529677284</v>
      </c>
      <c r="H44">
        <v>0.24395228233370553</v>
      </c>
      <c r="I44">
        <v>0.24539496667573785</v>
      </c>
      <c r="J44">
        <v>0.3198027884968655</v>
      </c>
      <c r="K44">
        <v>0.33415488645056202</v>
      </c>
      <c r="L44">
        <v>0.33315123371184258</v>
      </c>
      <c r="M44">
        <v>0.25832612230713647</v>
      </c>
      <c r="N44">
        <v>0.24706429710389577</v>
      </c>
      <c r="O44">
        <v>0.24325743662472857</v>
      </c>
      <c r="AU44" t="s">
        <v>353</v>
      </c>
      <c r="AV44">
        <v>0.76646678638131693</v>
      </c>
      <c r="AW44">
        <v>0.75333752439483559</v>
      </c>
      <c r="AX44">
        <v>0.77633337377912459</v>
      </c>
      <c r="AY44">
        <v>0.60326889378548887</v>
      </c>
      <c r="AZ44">
        <v>0.62209667478525621</v>
      </c>
      <c r="BA44">
        <v>0.62499769143139683</v>
      </c>
      <c r="BB44">
        <v>0.44909765137252089</v>
      </c>
      <c r="BC44">
        <v>0.43399869606570479</v>
      </c>
      <c r="BD44">
        <v>0.43648813356053362</v>
      </c>
      <c r="BE44">
        <v>0.63108856937403046</v>
      </c>
      <c r="BF44">
        <v>0.64908586389584522</v>
      </c>
      <c r="BG44">
        <v>0.63424493779285485</v>
      </c>
      <c r="BI44" t="s">
        <v>354</v>
      </c>
      <c r="BJ44" t="s">
        <v>99</v>
      </c>
      <c r="BK44" t="s">
        <v>100</v>
      </c>
      <c r="BL44">
        <v>0.53187155434998967</v>
      </c>
    </row>
    <row r="45" spans="2:64" x14ac:dyDescent="0.45">
      <c r="B45" t="s">
        <v>355</v>
      </c>
      <c r="C45" t="s">
        <v>95</v>
      </c>
      <c r="D45">
        <v>0.17248218950118105</v>
      </c>
      <c r="E45">
        <v>0.14143658063120146</v>
      </c>
      <c r="F45">
        <v>0.14275911566638863</v>
      </c>
      <c r="G45">
        <v>0.22546433839033064</v>
      </c>
      <c r="H45">
        <v>0.21795084018920721</v>
      </c>
      <c r="I45">
        <v>0.2270441582195864</v>
      </c>
      <c r="J45">
        <v>0.26228358504719212</v>
      </c>
      <c r="K45">
        <v>0.25678620719814094</v>
      </c>
      <c r="L45">
        <v>0.25139071789871759</v>
      </c>
      <c r="M45">
        <v>0.24434537012429902</v>
      </c>
      <c r="N45">
        <v>0.25224804347429719</v>
      </c>
      <c r="O45">
        <v>0.25278293141861247</v>
      </c>
      <c r="AU45" t="s">
        <v>355</v>
      </c>
      <c r="AV45">
        <v>0.75289608143003617</v>
      </c>
      <c r="AW45">
        <v>0.78976936569888401</v>
      </c>
      <c r="AX45">
        <v>0.78236676336279332</v>
      </c>
      <c r="AY45">
        <v>0.6570288085415501</v>
      </c>
      <c r="AZ45">
        <v>0.67121576149509754</v>
      </c>
      <c r="BA45">
        <v>0.64980640261799316</v>
      </c>
      <c r="BB45">
        <v>0.56682017722337641</v>
      </c>
      <c r="BC45">
        <v>0.58108789838614761</v>
      </c>
      <c r="BD45">
        <v>0.58402468752323078</v>
      </c>
      <c r="BE45">
        <v>0.61553421383707596</v>
      </c>
      <c r="BF45">
        <v>0.62775417229182173</v>
      </c>
      <c r="BG45">
        <v>0.62683046935662845</v>
      </c>
      <c r="BI45" t="s">
        <v>356</v>
      </c>
      <c r="BJ45" t="s">
        <v>99</v>
      </c>
      <c r="BK45" t="s">
        <v>100</v>
      </c>
      <c r="BL45">
        <v>0.55297422256116946</v>
      </c>
    </row>
    <row r="46" spans="2:64" x14ac:dyDescent="0.45">
      <c r="B46" t="s">
        <v>357</v>
      </c>
      <c r="C46" t="s">
        <v>95</v>
      </c>
      <c r="D46">
        <v>0.15562074855805411</v>
      </c>
      <c r="E46">
        <v>0.15478010149718671</v>
      </c>
      <c r="F46">
        <v>0.14454079852025267</v>
      </c>
      <c r="G46">
        <v>0.25098664184764996</v>
      </c>
      <c r="H46">
        <v>0.25070390068305437</v>
      </c>
      <c r="I46">
        <v>0.25405433652260578</v>
      </c>
      <c r="J46">
        <v>0.28161484491542227</v>
      </c>
      <c r="K46">
        <v>0.28799766835761254</v>
      </c>
      <c r="L46">
        <v>0.28124067680437098</v>
      </c>
      <c r="M46">
        <v>0.24321606258522685</v>
      </c>
      <c r="N46">
        <v>0.24422508228368245</v>
      </c>
      <c r="O46">
        <v>0.23963953787279602</v>
      </c>
      <c r="AU46" t="s">
        <v>357</v>
      </c>
      <c r="AV46">
        <v>0.7654350885321447</v>
      </c>
      <c r="AW46">
        <v>0.77210666185902377</v>
      </c>
      <c r="AX46">
        <v>0.78743985695586105</v>
      </c>
      <c r="AY46">
        <v>0.6182346244703486</v>
      </c>
      <c r="AZ46">
        <v>0.63593945664200635</v>
      </c>
      <c r="BA46">
        <v>0.6218696185143584</v>
      </c>
      <c r="BB46">
        <v>0.51396895821334287</v>
      </c>
      <c r="BC46">
        <v>0.5025090459668663</v>
      </c>
      <c r="BD46">
        <v>0.50872597902331118</v>
      </c>
      <c r="BE46">
        <v>0.639235960930706</v>
      </c>
      <c r="BF46">
        <v>0.65028679842739934</v>
      </c>
      <c r="BG46">
        <v>0.63826232270834815</v>
      </c>
      <c r="BI46" t="s">
        <v>358</v>
      </c>
      <c r="BJ46" t="s">
        <v>99</v>
      </c>
      <c r="BK46" t="s">
        <v>100</v>
      </c>
      <c r="BL46">
        <v>0.5131349901095954</v>
      </c>
    </row>
    <row r="47" spans="2:64" x14ac:dyDescent="0.45">
      <c r="B47" t="s">
        <v>359</v>
      </c>
      <c r="C47" t="s">
        <v>95</v>
      </c>
      <c r="D47">
        <v>0.1705726321605035</v>
      </c>
      <c r="E47">
        <v>0.17659077276116278</v>
      </c>
      <c r="F47">
        <v>0.18906397374120662</v>
      </c>
      <c r="G47">
        <v>0.30788989580259191</v>
      </c>
      <c r="H47">
        <v>0.28536295304790088</v>
      </c>
      <c r="I47">
        <v>0.30313351483927514</v>
      </c>
      <c r="J47">
        <v>0.30513267974624086</v>
      </c>
      <c r="K47">
        <v>0.31147256292459979</v>
      </c>
      <c r="L47">
        <v>0.32320542508392458</v>
      </c>
      <c r="M47">
        <v>0.24550769342596884</v>
      </c>
      <c r="N47">
        <v>0.26142848355271614</v>
      </c>
      <c r="O47">
        <v>0.25742502435471865</v>
      </c>
      <c r="AU47" t="s">
        <v>359</v>
      </c>
      <c r="AV47">
        <v>0.75765423486362615</v>
      </c>
      <c r="AW47">
        <v>0.74787756435590724</v>
      </c>
      <c r="AX47">
        <v>0.74289968192359135</v>
      </c>
      <c r="AY47">
        <v>0.54655926684880352</v>
      </c>
      <c r="AZ47">
        <v>0.57386268163050957</v>
      </c>
      <c r="BA47">
        <v>0.58048943071435422</v>
      </c>
      <c r="BB47">
        <v>0.51550595516603681</v>
      </c>
      <c r="BC47">
        <v>0.51632859813328036</v>
      </c>
      <c r="BD47">
        <v>0.51087323484479252</v>
      </c>
      <c r="BE47">
        <v>0.61762626791954822</v>
      </c>
      <c r="BF47">
        <v>0.59845030475267946</v>
      </c>
      <c r="BG47">
        <v>0.62777490314498452</v>
      </c>
      <c r="BI47" t="s">
        <v>360</v>
      </c>
      <c r="BJ47" t="s">
        <v>99</v>
      </c>
      <c r="BK47" t="s">
        <v>100</v>
      </c>
      <c r="BL47">
        <v>0.41286851083809506</v>
      </c>
    </row>
    <row r="48" spans="2:64" x14ac:dyDescent="0.45">
      <c r="B48" t="s">
        <v>361</v>
      </c>
      <c r="C48" t="s">
        <v>95</v>
      </c>
      <c r="D48">
        <v>0.15426194678394786</v>
      </c>
      <c r="E48">
        <v>0.16571183537293807</v>
      </c>
      <c r="F48">
        <v>0.1661064900793244</v>
      </c>
      <c r="G48">
        <v>0.2888210917918746</v>
      </c>
      <c r="H48">
        <v>0.26429343855538234</v>
      </c>
      <c r="I48">
        <v>0.273743582601506</v>
      </c>
      <c r="J48">
        <v>0.29078099747792341</v>
      </c>
      <c r="K48">
        <v>0.29827345280511741</v>
      </c>
      <c r="L48">
        <v>0.29614119250828119</v>
      </c>
      <c r="M48">
        <v>0.25069413070606172</v>
      </c>
      <c r="N48">
        <v>0.25586585091869463</v>
      </c>
      <c r="O48">
        <v>0.25213388751759547</v>
      </c>
      <c r="AU48" t="s">
        <v>361</v>
      </c>
      <c r="AV48">
        <v>0.77409228465203195</v>
      </c>
      <c r="AW48">
        <v>0.74778402313703685</v>
      </c>
      <c r="AX48">
        <v>0.76224877310142491</v>
      </c>
      <c r="AY48">
        <v>0.57505023015816303</v>
      </c>
      <c r="AZ48">
        <v>0.59488494376664292</v>
      </c>
      <c r="BA48">
        <v>0.59103671245480471</v>
      </c>
      <c r="BB48">
        <v>0.52536322385256118</v>
      </c>
      <c r="BC48">
        <v>0.52636179019948404</v>
      </c>
      <c r="BD48">
        <v>0.52226585844227102</v>
      </c>
      <c r="BE48">
        <v>0.60898467302010539</v>
      </c>
      <c r="BF48">
        <v>0.61076262460978326</v>
      </c>
      <c r="BG48">
        <v>0.61722421891176316</v>
      </c>
      <c r="BI48" t="s">
        <v>362</v>
      </c>
      <c r="BJ48" t="s">
        <v>99</v>
      </c>
      <c r="BK48" t="s">
        <v>100</v>
      </c>
      <c r="BL48">
        <v>0.46601099992756151</v>
      </c>
    </row>
    <row r="49" spans="2:64" x14ac:dyDescent="0.45">
      <c r="B49" t="s">
        <v>363</v>
      </c>
      <c r="C49" t="s">
        <v>95</v>
      </c>
      <c r="D49">
        <v>0.15759314004460639</v>
      </c>
      <c r="E49">
        <v>0.17799410273784066</v>
      </c>
      <c r="F49">
        <v>0.14224589646159042</v>
      </c>
      <c r="G49">
        <v>0.29764774097336771</v>
      </c>
      <c r="H49">
        <v>0.28866262607377235</v>
      </c>
      <c r="I49">
        <v>0.2972934455378497</v>
      </c>
      <c r="J49">
        <v>0.30597830184447833</v>
      </c>
      <c r="K49">
        <v>0.31611332094875044</v>
      </c>
      <c r="L49">
        <v>0.3007612702009777</v>
      </c>
      <c r="M49">
        <v>0.25183222414904072</v>
      </c>
      <c r="N49">
        <v>0.25600644648234289</v>
      </c>
      <c r="O49">
        <v>0.2515199562262882</v>
      </c>
      <c r="AU49" t="s">
        <v>363</v>
      </c>
      <c r="AV49">
        <v>0.75721958085902463</v>
      </c>
      <c r="AW49">
        <v>0.73491600693221037</v>
      </c>
      <c r="AX49">
        <v>0.78028355013049633</v>
      </c>
      <c r="AY49">
        <v>0.56510887234618346</v>
      </c>
      <c r="AZ49">
        <v>0.58071132307841267</v>
      </c>
      <c r="BA49">
        <v>0.58165020876728957</v>
      </c>
      <c r="BB49">
        <v>0.49628921500226397</v>
      </c>
      <c r="BC49">
        <v>0.48880847286744733</v>
      </c>
      <c r="BD49">
        <v>0.49020205873516554</v>
      </c>
      <c r="BE49">
        <v>0.61268870870247594</v>
      </c>
      <c r="BF49">
        <v>0.62194181436373353</v>
      </c>
      <c r="BG49">
        <v>0.62349288245717271</v>
      </c>
      <c r="BI49" t="s">
        <v>364</v>
      </c>
      <c r="BJ49" t="s">
        <v>99</v>
      </c>
      <c r="BK49" t="s">
        <v>100</v>
      </c>
      <c r="BL49">
        <v>0.64702658963250503</v>
      </c>
    </row>
    <row r="50" spans="2:64" x14ac:dyDescent="0.45">
      <c r="B50" t="s">
        <v>365</v>
      </c>
      <c r="C50" t="s">
        <v>95</v>
      </c>
      <c r="D50">
        <v>0.19471091101900134</v>
      </c>
      <c r="E50">
        <v>0.19686968998071813</v>
      </c>
      <c r="F50">
        <v>0.1821485323944943</v>
      </c>
      <c r="G50">
        <v>0.30583353685716208</v>
      </c>
      <c r="H50">
        <v>0.31040837587335329</v>
      </c>
      <c r="I50">
        <v>0.27573288909673921</v>
      </c>
      <c r="J50">
        <v>0.29185235642149193</v>
      </c>
      <c r="K50">
        <v>0.31093760670410536</v>
      </c>
      <c r="L50">
        <v>0.30224875414202867</v>
      </c>
      <c r="M50">
        <v>0.22823096002810281</v>
      </c>
      <c r="N50">
        <v>0.23604111289476451</v>
      </c>
      <c r="O50">
        <v>0.23935779235264232</v>
      </c>
      <c r="AU50" t="s">
        <v>365</v>
      </c>
      <c r="AV50">
        <v>0.71400759367943334</v>
      </c>
      <c r="AW50">
        <v>0.69637955049825562</v>
      </c>
      <c r="AX50">
        <v>0.72571717186997375</v>
      </c>
      <c r="AY50">
        <v>0.541365356188661</v>
      </c>
      <c r="AZ50">
        <v>0.54140922323331275</v>
      </c>
      <c r="BA50">
        <v>0.59105758919291718</v>
      </c>
      <c r="BB50">
        <v>0.49687159084425231</v>
      </c>
      <c r="BC50">
        <v>0.4869125383072832</v>
      </c>
      <c r="BD50">
        <v>0.49233517482401334</v>
      </c>
      <c r="BE50">
        <v>0.63522830713472411</v>
      </c>
      <c r="BF50">
        <v>0.62169334651280406</v>
      </c>
      <c r="BG50">
        <v>0.63384818272756993</v>
      </c>
      <c r="BI50" t="s">
        <v>366</v>
      </c>
      <c r="BJ50" t="s">
        <v>99</v>
      </c>
      <c r="BK50" t="s">
        <v>100</v>
      </c>
      <c r="BL50">
        <v>0.73620888552984209</v>
      </c>
    </row>
    <row r="51" spans="2:64" x14ac:dyDescent="0.45">
      <c r="B51" t="s">
        <v>367</v>
      </c>
      <c r="C51" t="s">
        <v>95</v>
      </c>
      <c r="D51">
        <v>0.19388824083758227</v>
      </c>
      <c r="E51">
        <v>0.18582862914404213</v>
      </c>
      <c r="F51">
        <v>0.18998169940517676</v>
      </c>
      <c r="G51">
        <v>0.30779193226329227</v>
      </c>
      <c r="H51">
        <v>0.29834247644150252</v>
      </c>
      <c r="I51">
        <v>0.27839787957626866</v>
      </c>
      <c r="J51">
        <v>0.30659668407262469</v>
      </c>
      <c r="K51">
        <v>0.30236559777432565</v>
      </c>
      <c r="L51">
        <v>0.31982279007825365</v>
      </c>
      <c r="M51">
        <v>0.24684228035395514</v>
      </c>
      <c r="N51">
        <v>0.25246433250944955</v>
      </c>
      <c r="O51">
        <v>0.25108014984321375</v>
      </c>
      <c r="AU51" t="s">
        <v>367</v>
      </c>
      <c r="AV51">
        <v>0.71570893045857054</v>
      </c>
      <c r="AW51">
        <v>0.72226872082444571</v>
      </c>
      <c r="AX51">
        <v>0.72388864681516196</v>
      </c>
      <c r="AY51">
        <v>0.55078210446536036</v>
      </c>
      <c r="AZ51">
        <v>0.54884399333786904</v>
      </c>
      <c r="BA51">
        <v>0.59242156694524006</v>
      </c>
      <c r="BB51">
        <v>0.49989484187893612</v>
      </c>
      <c r="BC51">
        <v>0.49662454077066753</v>
      </c>
      <c r="BD51">
        <v>0.50174412916993805</v>
      </c>
      <c r="BE51">
        <v>0.63783095799497291</v>
      </c>
      <c r="BF51">
        <v>0.61151572516319463</v>
      </c>
      <c r="BG51">
        <v>0.63616298717410613</v>
      </c>
      <c r="BI51" t="s">
        <v>368</v>
      </c>
      <c r="BJ51" t="s">
        <v>99</v>
      </c>
      <c r="BK51" t="s">
        <v>100</v>
      </c>
      <c r="BL51">
        <v>0.69569536797238496</v>
      </c>
    </row>
    <row r="52" spans="2:64" x14ac:dyDescent="0.45">
      <c r="B52" t="s">
        <v>369</v>
      </c>
      <c r="C52" t="s">
        <v>95</v>
      </c>
      <c r="D52">
        <v>0.229972178191928</v>
      </c>
      <c r="E52">
        <v>0.22122628369329911</v>
      </c>
      <c r="F52">
        <v>0.22421508078359037</v>
      </c>
      <c r="G52">
        <v>0.30006005256662072</v>
      </c>
      <c r="H52">
        <v>0.30486602133131069</v>
      </c>
      <c r="I52">
        <v>0.30012537905061831</v>
      </c>
      <c r="J52">
        <v>0.33876033940023925</v>
      </c>
      <c r="K52">
        <v>0.34838313573730734</v>
      </c>
      <c r="L52">
        <v>0.35631148683498698</v>
      </c>
      <c r="M52">
        <v>0.28666461867280729</v>
      </c>
      <c r="N52">
        <v>0.27361326801266839</v>
      </c>
      <c r="O52">
        <v>0.28327746831532541</v>
      </c>
      <c r="AU52" t="s">
        <v>369</v>
      </c>
      <c r="AV52">
        <v>0.6694626676484613</v>
      </c>
      <c r="AW52">
        <v>0.68360875002546484</v>
      </c>
      <c r="AX52">
        <v>0.68288979654775306</v>
      </c>
      <c r="AY52">
        <v>0.55306200080063428</v>
      </c>
      <c r="AZ52">
        <v>0.52975269808657477</v>
      </c>
      <c r="BA52">
        <v>0.56178045034545998</v>
      </c>
      <c r="BB52">
        <v>0.44968601776832312</v>
      </c>
      <c r="BC52">
        <v>0.47672901708904797</v>
      </c>
      <c r="BD52">
        <v>0.47084667188354534</v>
      </c>
      <c r="BE52">
        <v>0.57389487303489306</v>
      </c>
      <c r="BF52">
        <v>0.58792616491037897</v>
      </c>
      <c r="BG52">
        <v>0.57546056629773867</v>
      </c>
      <c r="BI52" t="s">
        <v>370</v>
      </c>
      <c r="BJ52" t="s">
        <v>99</v>
      </c>
      <c r="BK52" t="s">
        <v>100</v>
      </c>
      <c r="BL52">
        <v>0.75734487640856085</v>
      </c>
    </row>
    <row r="53" spans="2:64" x14ac:dyDescent="0.45">
      <c r="B53" t="s">
        <v>371</v>
      </c>
      <c r="C53" t="s">
        <v>95</v>
      </c>
      <c r="D53">
        <v>0.22090529156283062</v>
      </c>
      <c r="E53">
        <v>0.21012659156846275</v>
      </c>
      <c r="F53">
        <v>0.20935987588371407</v>
      </c>
      <c r="G53">
        <v>0.30489111546320524</v>
      </c>
      <c r="H53">
        <v>0.30220068786634774</v>
      </c>
      <c r="I53">
        <v>0.28564777295318011</v>
      </c>
      <c r="J53">
        <v>0.33902662592364102</v>
      </c>
      <c r="K53">
        <v>0.33412690167143283</v>
      </c>
      <c r="L53">
        <v>0.33544070720519292</v>
      </c>
      <c r="M53">
        <v>0.27001275405502889</v>
      </c>
      <c r="N53">
        <v>0.26050036757845152</v>
      </c>
      <c r="O53">
        <v>0.26543056470197318</v>
      </c>
      <c r="AU53" t="s">
        <v>371</v>
      </c>
      <c r="AV53">
        <v>0.68750097724876991</v>
      </c>
      <c r="AW53">
        <v>0.68945152475498317</v>
      </c>
      <c r="AX53">
        <v>0.69771421076894147</v>
      </c>
      <c r="AY53">
        <v>0.54974041971788679</v>
      </c>
      <c r="AZ53">
        <v>0.53843075285275011</v>
      </c>
      <c r="BA53">
        <v>0.57196691170538916</v>
      </c>
      <c r="BB53">
        <v>0.46483084823419674</v>
      </c>
      <c r="BC53">
        <v>0.47358550084548717</v>
      </c>
      <c r="BD53">
        <v>0.47465292195603831</v>
      </c>
      <c r="BE53">
        <v>0.60802832249877836</v>
      </c>
      <c r="BF53">
        <v>0.61114249774657736</v>
      </c>
      <c r="BG53">
        <v>0.61504900507311167</v>
      </c>
      <c r="BI53" t="s">
        <v>329</v>
      </c>
      <c r="BJ53" t="s">
        <v>99</v>
      </c>
      <c r="BK53" t="s">
        <v>100</v>
      </c>
      <c r="BL53">
        <v>0.60679458476638692</v>
      </c>
    </row>
    <row r="54" spans="2:64" x14ac:dyDescent="0.45">
      <c r="B54" t="s">
        <v>372</v>
      </c>
      <c r="C54" t="s">
        <v>95</v>
      </c>
      <c r="D54">
        <v>0.24176631604889309</v>
      </c>
      <c r="E54">
        <v>0.24546281494439284</v>
      </c>
      <c r="F54">
        <v>0.25812842844467704</v>
      </c>
      <c r="G54">
        <v>0.32508102794623001</v>
      </c>
      <c r="H54">
        <v>0.34080724210396901</v>
      </c>
      <c r="I54">
        <v>0.31249453411112749</v>
      </c>
      <c r="J54">
        <v>0.34499988896125078</v>
      </c>
      <c r="K54">
        <v>0.33778015777567266</v>
      </c>
      <c r="L54">
        <v>0.33033462775517403</v>
      </c>
      <c r="M54">
        <v>0.27285874556435158</v>
      </c>
      <c r="N54">
        <v>0.25508153153620261</v>
      </c>
      <c r="O54">
        <v>0.25299844366853058</v>
      </c>
      <c r="AU54" t="s">
        <v>372</v>
      </c>
      <c r="AV54">
        <v>0.65253098042849078</v>
      </c>
      <c r="AW54">
        <v>0.64208031846353542</v>
      </c>
      <c r="AX54">
        <v>0.63148699871925218</v>
      </c>
      <c r="AY54">
        <v>0.52694745546000665</v>
      </c>
      <c r="AZ54">
        <v>0.47971049147868611</v>
      </c>
      <c r="BA54">
        <v>0.52871451182185192</v>
      </c>
      <c r="BB54">
        <v>0.44545500490876239</v>
      </c>
      <c r="BC54">
        <v>0.48250209040643416</v>
      </c>
      <c r="BD54">
        <v>0.46917565377349491</v>
      </c>
      <c r="BE54">
        <v>0.59609424422183965</v>
      </c>
      <c r="BF54">
        <v>0.59758769752185126</v>
      </c>
      <c r="BG54">
        <v>0.59529180776051471</v>
      </c>
      <c r="BI54" t="s">
        <v>331</v>
      </c>
      <c r="BJ54" t="s">
        <v>99</v>
      </c>
      <c r="BK54" t="s">
        <v>100</v>
      </c>
      <c r="BL54">
        <v>0.62575945689432644</v>
      </c>
    </row>
    <row r="55" spans="2:64" x14ac:dyDescent="0.45">
      <c r="B55" t="s">
        <v>373</v>
      </c>
      <c r="C55" t="s">
        <v>95</v>
      </c>
      <c r="D55">
        <v>0.25906181483172391</v>
      </c>
      <c r="E55">
        <v>0.27021689249765746</v>
      </c>
      <c r="F55">
        <v>0.2646320128393318</v>
      </c>
      <c r="G55">
        <v>0.31474052543457065</v>
      </c>
      <c r="H55">
        <v>0.32720104266482669</v>
      </c>
      <c r="I55">
        <v>0.3184623448472142</v>
      </c>
      <c r="J55">
        <v>0.33859706485254676</v>
      </c>
      <c r="K55">
        <v>0.30758424240931431</v>
      </c>
      <c r="L55">
        <v>0.3158816099000471</v>
      </c>
      <c r="M55">
        <v>0.24892941964405468</v>
      </c>
      <c r="N55">
        <v>0.24630810423870655</v>
      </c>
      <c r="O55">
        <v>0.25725473771008994</v>
      </c>
      <c r="AU55" t="s">
        <v>373</v>
      </c>
      <c r="AV55">
        <v>0.64112599411261806</v>
      </c>
      <c r="AW55">
        <v>0.61082003870358426</v>
      </c>
      <c r="AX55">
        <v>0.61555998417617985</v>
      </c>
      <c r="AY55">
        <v>0.51360072963197323</v>
      </c>
      <c r="AZ55">
        <v>0.47008884411176788</v>
      </c>
      <c r="BA55">
        <v>0.50973264144600428</v>
      </c>
      <c r="BB55">
        <v>0.43171851307216336</v>
      </c>
      <c r="BC55">
        <v>0.47389221580112356</v>
      </c>
      <c r="BD55">
        <v>0.43784646015997009</v>
      </c>
      <c r="BE55">
        <v>0.62210189901813484</v>
      </c>
      <c r="BF55">
        <v>0.61067466032846729</v>
      </c>
      <c r="BG55">
        <v>0.62330293660315217</v>
      </c>
      <c r="BI55" t="s">
        <v>333</v>
      </c>
      <c r="BJ55" t="s">
        <v>99</v>
      </c>
      <c r="BK55" t="s">
        <v>100</v>
      </c>
      <c r="BL55">
        <v>0.58649569543770463</v>
      </c>
    </row>
    <row r="56" spans="2:64" x14ac:dyDescent="0.45">
      <c r="B56" t="s">
        <v>374</v>
      </c>
      <c r="C56" t="s">
        <v>95</v>
      </c>
      <c r="D56">
        <v>0.22756438392699416</v>
      </c>
      <c r="E56">
        <v>0.24654038204204157</v>
      </c>
      <c r="F56">
        <v>0.24068833726571698</v>
      </c>
      <c r="G56">
        <v>0.30537875559505179</v>
      </c>
      <c r="H56">
        <v>0.31219864433806538</v>
      </c>
      <c r="I56">
        <v>0.28397087117253428</v>
      </c>
      <c r="J56">
        <v>0.34065157029144622</v>
      </c>
      <c r="K56">
        <v>0.31952783096565596</v>
      </c>
      <c r="L56">
        <v>0.3157011531528427</v>
      </c>
      <c r="M56">
        <v>0.25394528335520944</v>
      </c>
      <c r="N56">
        <v>0.25448664142049932</v>
      </c>
      <c r="O56">
        <v>0.24946995467612063</v>
      </c>
      <c r="AU56" t="s">
        <v>374</v>
      </c>
      <c r="AV56">
        <v>0.67535261722995388</v>
      </c>
      <c r="AW56">
        <v>0.64731782588247644</v>
      </c>
      <c r="AX56">
        <v>0.65827252988029905</v>
      </c>
      <c r="AY56">
        <v>0.5410353954259588</v>
      </c>
      <c r="AZ56">
        <v>0.51877687666303962</v>
      </c>
      <c r="BA56">
        <v>0.54724942625597717</v>
      </c>
      <c r="BB56">
        <v>0.44311460490637083</v>
      </c>
      <c r="BC56">
        <v>0.47454360301605886</v>
      </c>
      <c r="BD56">
        <v>0.43021564499962328</v>
      </c>
      <c r="BE56">
        <v>0.62513975299851421</v>
      </c>
      <c r="BF56">
        <v>0.61203094776700828</v>
      </c>
      <c r="BG56">
        <v>0.62516473086136304</v>
      </c>
      <c r="BI56" t="s">
        <v>335</v>
      </c>
      <c r="BJ56" t="s">
        <v>99</v>
      </c>
      <c r="BK56" t="s">
        <v>100</v>
      </c>
      <c r="BL56">
        <v>0.66773177109789039</v>
      </c>
    </row>
    <row r="57" spans="2:64" x14ac:dyDescent="0.45">
      <c r="B57" t="s">
        <v>375</v>
      </c>
      <c r="C57" t="s">
        <v>95</v>
      </c>
      <c r="D57">
        <v>0.23518275875598413</v>
      </c>
      <c r="E57">
        <v>0.24602920750179388</v>
      </c>
      <c r="F57">
        <v>0.21887398675338035</v>
      </c>
      <c r="G57">
        <v>0.25444335542519247</v>
      </c>
      <c r="H57">
        <v>0.2594855430499845</v>
      </c>
      <c r="I57">
        <v>0.24513643968958421</v>
      </c>
      <c r="J57">
        <v>0.34521144025790079</v>
      </c>
      <c r="K57">
        <v>0.35342640559381933</v>
      </c>
      <c r="L57">
        <v>0.33376566333239338</v>
      </c>
      <c r="M57">
        <v>0.24106235214917243</v>
      </c>
      <c r="N57">
        <v>0.23942533245810665</v>
      </c>
      <c r="O57">
        <v>0.24823929850469922</v>
      </c>
      <c r="AU57" t="s">
        <v>375</v>
      </c>
      <c r="AV57">
        <v>0.65342155320683071</v>
      </c>
      <c r="AW57">
        <v>0.63971825379645375</v>
      </c>
      <c r="AX57">
        <v>0.67247860780592683</v>
      </c>
      <c r="AY57">
        <v>0.57885955406843781</v>
      </c>
      <c r="AZ57">
        <v>0.57766037878814636</v>
      </c>
      <c r="BA57">
        <v>0.58932018877408465</v>
      </c>
      <c r="BB57">
        <v>0.3894610156357684</v>
      </c>
      <c r="BC57">
        <v>0.33283771260679201</v>
      </c>
      <c r="BD57">
        <v>0.35846331274103027</v>
      </c>
      <c r="BE57">
        <v>0.6244926172395231</v>
      </c>
      <c r="BF57">
        <v>0.61969826999294197</v>
      </c>
      <c r="BG57">
        <v>0.62107302783402474</v>
      </c>
      <c r="BI57" t="s">
        <v>337</v>
      </c>
      <c r="BJ57" t="s">
        <v>99</v>
      </c>
      <c r="BK57" t="s">
        <v>100</v>
      </c>
      <c r="BL57">
        <v>0.69208719361369864</v>
      </c>
    </row>
    <row r="58" spans="2:64" x14ac:dyDescent="0.45">
      <c r="B58" t="s">
        <v>376</v>
      </c>
      <c r="C58" t="s">
        <v>95</v>
      </c>
      <c r="D58">
        <v>0.22932983521814448</v>
      </c>
      <c r="E58">
        <v>0.23127188975458204</v>
      </c>
      <c r="F58">
        <v>0.21196128592480948</v>
      </c>
      <c r="G58">
        <v>0.25168956899704009</v>
      </c>
      <c r="H58">
        <v>0.26854593503191404</v>
      </c>
      <c r="I58">
        <v>0.26375087364524291</v>
      </c>
      <c r="J58">
        <v>0.37393275942235837</v>
      </c>
      <c r="K58">
        <v>0.42130435555207874</v>
      </c>
      <c r="L58">
        <v>0.36782761703566069</v>
      </c>
      <c r="M58">
        <v>0.21375921107908644</v>
      </c>
      <c r="N58">
        <v>0.23396553150518984</v>
      </c>
      <c r="O58">
        <v>0.20581936425317451</v>
      </c>
      <c r="AU58" t="s">
        <v>376</v>
      </c>
      <c r="AV58">
        <v>0.6556512095796363</v>
      </c>
      <c r="AW58">
        <v>0.64635490049188249</v>
      </c>
      <c r="AX58">
        <v>0.67714756050399538</v>
      </c>
      <c r="AY58">
        <v>0.5627602878597755</v>
      </c>
      <c r="AZ58">
        <v>0.55493943786807776</v>
      </c>
      <c r="BA58">
        <v>0.54671940628220816</v>
      </c>
      <c r="BB58">
        <v>0.29990374670501013</v>
      </c>
      <c r="BC58">
        <v>0.27036006183104921</v>
      </c>
      <c r="BD58">
        <v>0.31313765596036025</v>
      </c>
      <c r="BE58">
        <v>0.61313278066706944</v>
      </c>
      <c r="BF58">
        <v>0.59812618184927835</v>
      </c>
      <c r="BG58">
        <v>0.63429575146701977</v>
      </c>
      <c r="BI58" t="s">
        <v>339</v>
      </c>
      <c r="BJ58" t="s">
        <v>99</v>
      </c>
      <c r="BK58" t="s">
        <v>100</v>
      </c>
      <c r="BL58">
        <v>0.6277142224616663</v>
      </c>
    </row>
    <row r="59" spans="2:64" x14ac:dyDescent="0.45">
      <c r="B59" t="s">
        <v>377</v>
      </c>
      <c r="C59" t="s">
        <v>95</v>
      </c>
      <c r="D59">
        <v>0.21710413285534352</v>
      </c>
      <c r="E59">
        <v>0.22709028469896675</v>
      </c>
      <c r="F59">
        <v>0.19115879403171937</v>
      </c>
      <c r="G59">
        <v>0.23106912064567475</v>
      </c>
      <c r="H59">
        <v>0.24552642760310353</v>
      </c>
      <c r="I59">
        <v>0.24583173480158274</v>
      </c>
      <c r="J59">
        <v>0.35296559345850315</v>
      </c>
      <c r="K59">
        <v>0.39263115718627112</v>
      </c>
      <c r="L59">
        <v>0.36747097767850279</v>
      </c>
      <c r="M59">
        <v>0.20750156332106903</v>
      </c>
      <c r="N59">
        <v>0.20999445972482481</v>
      </c>
      <c r="O59">
        <v>0.1958099304122983</v>
      </c>
      <c r="AU59" t="s">
        <v>377</v>
      </c>
      <c r="AV59">
        <v>0.69102308380144706</v>
      </c>
      <c r="AW59">
        <v>0.67552109412895511</v>
      </c>
      <c r="AX59">
        <v>0.70335526428402162</v>
      </c>
      <c r="AY59">
        <v>0.60997433808249713</v>
      </c>
      <c r="AZ59">
        <v>0.61005665962694156</v>
      </c>
      <c r="BA59">
        <v>0.60546736716038652</v>
      </c>
      <c r="BB59">
        <v>0.36714742968968334</v>
      </c>
      <c r="BC59">
        <v>0.32345397604364529</v>
      </c>
      <c r="BD59">
        <v>0.36250382594543956</v>
      </c>
      <c r="BE59">
        <v>0.67151428471443153</v>
      </c>
      <c r="BF59">
        <v>0.65642947544289687</v>
      </c>
      <c r="BG59">
        <v>0.68333118109716373</v>
      </c>
      <c r="BI59" t="s">
        <v>341</v>
      </c>
      <c r="BJ59" t="s">
        <v>99</v>
      </c>
      <c r="BK59" t="s">
        <v>100</v>
      </c>
      <c r="BL59">
        <v>0.66615082135681725</v>
      </c>
    </row>
    <row r="60" spans="2:64" x14ac:dyDescent="0.45">
      <c r="B60" t="s">
        <v>378</v>
      </c>
      <c r="C60" t="s">
        <v>95</v>
      </c>
      <c r="D60">
        <v>0.22688329647744346</v>
      </c>
      <c r="E60">
        <v>0.21762629349861545</v>
      </c>
      <c r="F60">
        <v>0.23200679808724903</v>
      </c>
      <c r="G60">
        <v>0.26066563265907705</v>
      </c>
      <c r="H60">
        <v>0.27077756766242689</v>
      </c>
      <c r="I60">
        <v>0.27279813351594595</v>
      </c>
      <c r="J60">
        <v>0.31958099098525738</v>
      </c>
      <c r="K60">
        <v>0.34785987858468526</v>
      </c>
      <c r="L60">
        <v>0.331511893262666</v>
      </c>
      <c r="M60">
        <v>0.20825209273734871</v>
      </c>
      <c r="N60">
        <v>0.21949271931913447</v>
      </c>
      <c r="O60">
        <v>0.19461173677797336</v>
      </c>
      <c r="AU60" t="s">
        <v>378</v>
      </c>
      <c r="AV60">
        <v>0.68177009716823966</v>
      </c>
      <c r="AW60">
        <v>0.68938252724138915</v>
      </c>
      <c r="AX60">
        <v>0.65928828032358522</v>
      </c>
      <c r="AY60">
        <v>0.60544705195838766</v>
      </c>
      <c r="AZ60">
        <v>0.58540116785086016</v>
      </c>
      <c r="BA60">
        <v>0.58659605791854119</v>
      </c>
      <c r="BB60">
        <v>0.36651215783382518</v>
      </c>
      <c r="BC60">
        <v>0.35337990337996394</v>
      </c>
      <c r="BD60">
        <v>0.37418781089085135</v>
      </c>
      <c r="BE60">
        <v>0.66202634100677371</v>
      </c>
      <c r="BF60">
        <v>0.63915893600437257</v>
      </c>
      <c r="BG60">
        <v>0.6845547927447766</v>
      </c>
      <c r="BI60" t="s">
        <v>343</v>
      </c>
      <c r="BJ60" t="s">
        <v>99</v>
      </c>
      <c r="BK60" t="s">
        <v>100</v>
      </c>
      <c r="BL60">
        <v>0.66250442865194514</v>
      </c>
    </row>
    <row r="61" spans="2:64" x14ac:dyDescent="0.45">
      <c r="B61" t="s">
        <v>379</v>
      </c>
      <c r="C61" t="s">
        <v>95</v>
      </c>
      <c r="D61">
        <v>0.22988081047782266</v>
      </c>
      <c r="E61">
        <v>0.24162196096938521</v>
      </c>
      <c r="F61">
        <v>0.24896670765041926</v>
      </c>
      <c r="G61">
        <v>0.27346762163037153</v>
      </c>
      <c r="H61">
        <v>0.29933128768526851</v>
      </c>
      <c r="I61">
        <v>0.27974544067299384</v>
      </c>
      <c r="J61">
        <v>0.31817334185250168</v>
      </c>
      <c r="K61">
        <v>0.30487694912014207</v>
      </c>
      <c r="L61">
        <v>0.3206329280307601</v>
      </c>
      <c r="M61">
        <v>0.22781206839640045</v>
      </c>
      <c r="N61">
        <v>0.24048240098063378</v>
      </c>
      <c r="O61">
        <v>0.22916691070873477</v>
      </c>
      <c r="AU61" t="s">
        <v>379</v>
      </c>
      <c r="AV61">
        <v>0.68604373528403406</v>
      </c>
      <c r="AW61">
        <v>0.66539600223046991</v>
      </c>
      <c r="AX61">
        <v>0.65153217950778675</v>
      </c>
      <c r="AY61">
        <v>0.58294484162389848</v>
      </c>
      <c r="AZ61">
        <v>0.54588704393298759</v>
      </c>
      <c r="BA61">
        <v>0.57053855248022023</v>
      </c>
      <c r="BB61">
        <v>0.40108291558592768</v>
      </c>
      <c r="BC61">
        <v>0.42242921695347208</v>
      </c>
      <c r="BD61">
        <v>0.37738580845158837</v>
      </c>
      <c r="BE61">
        <v>0.65285878148573595</v>
      </c>
      <c r="BF61">
        <v>0.63538188917238936</v>
      </c>
      <c r="BG61">
        <v>0.6649270592405947</v>
      </c>
      <c r="BI61" t="s">
        <v>345</v>
      </c>
      <c r="BJ61" t="s">
        <v>99</v>
      </c>
      <c r="BK61" t="s">
        <v>100</v>
      </c>
      <c r="BL61">
        <v>0.60452355890341547</v>
      </c>
    </row>
    <row r="62" spans="2:64" x14ac:dyDescent="0.45">
      <c r="B62" t="s">
        <v>380</v>
      </c>
      <c r="C62" t="s">
        <v>95</v>
      </c>
      <c r="D62">
        <v>0.21689869918959323</v>
      </c>
      <c r="E62">
        <v>0.206097826850073</v>
      </c>
      <c r="F62">
        <v>0.20593209274822979</v>
      </c>
      <c r="G62">
        <v>0.27806200900870037</v>
      </c>
      <c r="H62">
        <v>0.27455869062737864</v>
      </c>
      <c r="I62">
        <v>0.26866790560154252</v>
      </c>
      <c r="J62">
        <v>0.34495694990317821</v>
      </c>
      <c r="K62">
        <v>0.38142258343875129</v>
      </c>
      <c r="L62">
        <v>0.30859944444784804</v>
      </c>
      <c r="M62">
        <v>0.20573177111978361</v>
      </c>
      <c r="N62">
        <v>0.22093083083945</v>
      </c>
      <c r="O62">
        <v>0.18644378142756821</v>
      </c>
      <c r="AU62" t="s">
        <v>380</v>
      </c>
      <c r="AV62">
        <v>0.68170890531673756</v>
      </c>
      <c r="AW62">
        <v>0.68117678969309425</v>
      </c>
      <c r="AX62">
        <v>0.68461394971301692</v>
      </c>
      <c r="AY62">
        <v>0.56697751686907438</v>
      </c>
      <c r="AZ62">
        <v>0.55909045026933224</v>
      </c>
      <c r="BA62">
        <v>0.56842227935350753</v>
      </c>
      <c r="BB62">
        <v>0.3334816350929693</v>
      </c>
      <c r="BC62">
        <v>0.30927206251148021</v>
      </c>
      <c r="BD62">
        <v>0.38706664705340449</v>
      </c>
      <c r="BE62">
        <v>0.6447615468544925</v>
      </c>
      <c r="BF62">
        <v>0.62642794951148995</v>
      </c>
      <c r="BG62">
        <v>0.6674430748627862</v>
      </c>
      <c r="BI62" t="s">
        <v>347</v>
      </c>
      <c r="BJ62" t="s">
        <v>99</v>
      </c>
      <c r="BK62" t="s">
        <v>100</v>
      </c>
      <c r="BL62">
        <v>0.49013418854618301</v>
      </c>
    </row>
    <row r="63" spans="2:64" x14ac:dyDescent="0.45">
      <c r="B63" t="s">
        <v>381</v>
      </c>
      <c r="C63" t="s">
        <v>95</v>
      </c>
      <c r="D63">
        <v>0.21665525314109155</v>
      </c>
      <c r="E63">
        <v>0.21747032808829625</v>
      </c>
      <c r="F63">
        <v>0.21063518432649816</v>
      </c>
      <c r="G63">
        <v>0.32078937499047339</v>
      </c>
      <c r="H63">
        <v>0.33134272335212012</v>
      </c>
      <c r="I63">
        <v>0.28558445407076</v>
      </c>
      <c r="J63">
        <v>0.30386249602423454</v>
      </c>
      <c r="K63">
        <v>0.32815944352918797</v>
      </c>
      <c r="L63">
        <v>0.32212289861658749</v>
      </c>
      <c r="M63">
        <v>0.24030557704249977</v>
      </c>
      <c r="N63">
        <v>0.2427621724009878</v>
      </c>
      <c r="O63">
        <v>0.21518190362445172</v>
      </c>
      <c r="AU63" t="s">
        <v>381</v>
      </c>
      <c r="AV63">
        <v>0.67559552208775997</v>
      </c>
      <c r="AW63">
        <v>0.65498298870621263</v>
      </c>
      <c r="AX63">
        <v>0.66855266898916865</v>
      </c>
      <c r="AY63">
        <v>0.50673837491910878</v>
      </c>
      <c r="AZ63">
        <v>0.49109536872754889</v>
      </c>
      <c r="BA63">
        <v>0.54110785191382571</v>
      </c>
      <c r="BB63">
        <v>0.37621500841182332</v>
      </c>
      <c r="BC63">
        <v>0.38038975515631684</v>
      </c>
      <c r="BD63">
        <v>0.3809994755812085</v>
      </c>
      <c r="BE63">
        <v>0.61553945141596411</v>
      </c>
      <c r="BF63">
        <v>0.60108526173383103</v>
      </c>
      <c r="BG63">
        <v>0.63235558228416555</v>
      </c>
      <c r="BI63" t="s">
        <v>349</v>
      </c>
      <c r="BJ63" t="s">
        <v>99</v>
      </c>
      <c r="BK63" t="s">
        <v>100</v>
      </c>
      <c r="BL63">
        <v>0.68252427619986644</v>
      </c>
    </row>
    <row r="64" spans="2:64" x14ac:dyDescent="0.45">
      <c r="B64" t="s">
        <v>382</v>
      </c>
      <c r="C64" t="s">
        <v>95</v>
      </c>
      <c r="D64">
        <v>0.23233898515677659</v>
      </c>
      <c r="E64">
        <v>0.21942350133519634</v>
      </c>
      <c r="F64">
        <v>0.20494850279728388</v>
      </c>
      <c r="G64">
        <v>0.29930790712163691</v>
      </c>
      <c r="H64">
        <v>0.31877844191622356</v>
      </c>
      <c r="I64">
        <v>0.284512337157665</v>
      </c>
      <c r="J64">
        <v>0.33595487360214887</v>
      </c>
      <c r="K64">
        <v>0.31834246477123751</v>
      </c>
      <c r="L64">
        <v>0.33399099011332284</v>
      </c>
      <c r="M64">
        <v>0.23595522930219179</v>
      </c>
      <c r="N64">
        <v>0.24818844409187008</v>
      </c>
      <c r="O64">
        <v>0.23777335103501523</v>
      </c>
      <c r="AU64" t="s">
        <v>382</v>
      </c>
      <c r="AV64">
        <v>0.69219554001535188</v>
      </c>
      <c r="AW64">
        <v>0.69087426203217772</v>
      </c>
      <c r="AX64">
        <v>0.70751259184751492</v>
      </c>
      <c r="AY64">
        <v>0.56924734477439398</v>
      </c>
      <c r="AZ64">
        <v>0.53418157479844597</v>
      </c>
      <c r="BA64">
        <v>0.58438306931524198</v>
      </c>
      <c r="BB64">
        <v>0.44089138596600441</v>
      </c>
      <c r="BC64">
        <v>0.44460031120004734</v>
      </c>
      <c r="BD64">
        <v>0.42764002330376338</v>
      </c>
      <c r="BE64">
        <v>0.67053125020761195</v>
      </c>
      <c r="BF64">
        <v>0.64107286649049267</v>
      </c>
      <c r="BG64">
        <v>0.66440315183573151</v>
      </c>
      <c r="BI64" t="s">
        <v>351</v>
      </c>
      <c r="BJ64" t="s">
        <v>99</v>
      </c>
      <c r="BK64" t="s">
        <v>100</v>
      </c>
      <c r="BL64">
        <v>0.70449001658289168</v>
      </c>
    </row>
    <row r="65" spans="2:64" x14ac:dyDescent="0.45">
      <c r="B65" t="s">
        <v>383</v>
      </c>
      <c r="C65" t="s">
        <v>95</v>
      </c>
      <c r="D65">
        <v>0.20914606221504167</v>
      </c>
      <c r="E65">
        <v>0.20457841009252389</v>
      </c>
      <c r="F65">
        <v>0.20708612725345171</v>
      </c>
      <c r="G65">
        <v>0.29843359536537639</v>
      </c>
      <c r="H65">
        <v>0.31283507383555881</v>
      </c>
      <c r="I65">
        <v>0.28962676502971668</v>
      </c>
      <c r="J65">
        <v>0.33216402710567139</v>
      </c>
      <c r="K65">
        <v>0.3403813535312154</v>
      </c>
      <c r="L65">
        <v>0.33391999786887405</v>
      </c>
      <c r="M65">
        <v>0.21664644330824723</v>
      </c>
      <c r="N65">
        <v>0.22276555267542378</v>
      </c>
      <c r="O65">
        <v>0.20672358502444374</v>
      </c>
      <c r="AU65" t="s">
        <v>383</v>
      </c>
      <c r="AV65">
        <v>0.69681749496911993</v>
      </c>
      <c r="AW65">
        <v>0.68585390260810486</v>
      </c>
      <c r="AX65">
        <v>0.68157081797584196</v>
      </c>
      <c r="AY65">
        <v>0.56342808790838395</v>
      </c>
      <c r="AZ65">
        <v>0.532044677439521</v>
      </c>
      <c r="BA65">
        <v>0.56697759383991053</v>
      </c>
      <c r="BB65">
        <v>0.36483297331782238</v>
      </c>
      <c r="BC65">
        <v>0.35725099179400582</v>
      </c>
      <c r="BD65">
        <v>0.37574959348904435</v>
      </c>
      <c r="BE65">
        <v>0.64604614236251645</v>
      </c>
      <c r="BF65">
        <v>0.63404799970161518</v>
      </c>
      <c r="BG65">
        <v>0.66480752641149488</v>
      </c>
      <c r="BI65" t="s">
        <v>353</v>
      </c>
      <c r="BJ65" t="s">
        <v>99</v>
      </c>
      <c r="BK65" t="s">
        <v>100</v>
      </c>
      <c r="BL65">
        <v>0.76283055714665104</v>
      </c>
    </row>
    <row r="66" spans="2:64" x14ac:dyDescent="0.45">
      <c r="B66" t="s">
        <v>330</v>
      </c>
      <c r="C66" t="s">
        <v>95</v>
      </c>
      <c r="D66">
        <v>0.2095292500639318</v>
      </c>
      <c r="E66">
        <v>0.22483777138451708</v>
      </c>
      <c r="F66">
        <v>0.21234420380039171</v>
      </c>
      <c r="G66">
        <v>0.26427778229428051</v>
      </c>
      <c r="H66">
        <v>0.26156770547460811</v>
      </c>
      <c r="I66">
        <v>0.24183639428653067</v>
      </c>
      <c r="J66">
        <v>0.36871384047482564</v>
      </c>
      <c r="K66">
        <v>0.36694512171105226</v>
      </c>
      <c r="L66">
        <v>0.34025385022395849</v>
      </c>
      <c r="M66">
        <v>0.22743730336847653</v>
      </c>
      <c r="N66">
        <v>0.25703742682122782</v>
      </c>
      <c r="O66">
        <v>0.23496691827122251</v>
      </c>
      <c r="AU66" t="s">
        <v>330</v>
      </c>
      <c r="AV66">
        <v>0.66531769691425413</v>
      </c>
      <c r="AW66">
        <v>0.64245262197919806</v>
      </c>
      <c r="AX66">
        <v>0.67381037983442449</v>
      </c>
      <c r="AY66">
        <v>0.58464837679865134</v>
      </c>
      <c r="AZ66">
        <v>0.59333792860835544</v>
      </c>
      <c r="BA66">
        <v>0.59655622923977059</v>
      </c>
      <c r="BB66">
        <v>0.35359881716849667</v>
      </c>
      <c r="BC66">
        <v>0.34914620916277017</v>
      </c>
      <c r="BD66">
        <v>0.38435745603019977</v>
      </c>
      <c r="BE66">
        <v>0.59147464548473105</v>
      </c>
      <c r="BF66">
        <v>0.58406348278210563</v>
      </c>
      <c r="BG66">
        <v>0.6106978847484259</v>
      </c>
      <c r="BI66" t="s">
        <v>355</v>
      </c>
      <c r="BJ66" t="s">
        <v>99</v>
      </c>
      <c r="BK66" t="s">
        <v>100</v>
      </c>
      <c r="BL66">
        <v>0.78976673571418332</v>
      </c>
    </row>
    <row r="67" spans="2:64" x14ac:dyDescent="0.45">
      <c r="B67" t="s">
        <v>332</v>
      </c>
      <c r="C67" t="s">
        <v>95</v>
      </c>
      <c r="D67">
        <v>0.23483424696635294</v>
      </c>
      <c r="E67">
        <v>0.26564691617998332</v>
      </c>
      <c r="F67">
        <v>0.24240103973052676</v>
      </c>
      <c r="G67">
        <v>0.30401464164216446</v>
      </c>
      <c r="H67">
        <v>0.29389077985116607</v>
      </c>
      <c r="I67">
        <v>0.29195854616643002</v>
      </c>
      <c r="J67">
        <v>0.35609240609156712</v>
      </c>
      <c r="K67">
        <v>0.36240212305139441</v>
      </c>
      <c r="L67">
        <v>0.3375810716098529</v>
      </c>
      <c r="M67">
        <v>0.2959451786201896</v>
      </c>
      <c r="N67">
        <v>0.30710597461132744</v>
      </c>
      <c r="O67">
        <v>0.30040785794629454</v>
      </c>
      <c r="AU67" t="s">
        <v>332</v>
      </c>
      <c r="AV67">
        <v>0.56479474728277401</v>
      </c>
      <c r="AW67">
        <v>0.55281610454084884</v>
      </c>
      <c r="AX67">
        <v>0.57344825206648276</v>
      </c>
      <c r="AY67">
        <v>0.4684351292120566</v>
      </c>
      <c r="AZ67">
        <v>0.49767243127196326</v>
      </c>
      <c r="BA67">
        <v>0.46176145149865527</v>
      </c>
      <c r="BB67">
        <v>0.29205582551895537</v>
      </c>
      <c r="BC67">
        <v>0.29893614293986853</v>
      </c>
      <c r="BD67">
        <v>0.31699649820833514</v>
      </c>
      <c r="BE67">
        <v>0.43618299034548885</v>
      </c>
      <c r="BF67">
        <v>0.46912347494988504</v>
      </c>
      <c r="BG67">
        <v>0.44826027425798687</v>
      </c>
      <c r="BI67" t="s">
        <v>357</v>
      </c>
      <c r="BJ67" t="s">
        <v>99</v>
      </c>
      <c r="BK67" t="s">
        <v>100</v>
      </c>
      <c r="BL67">
        <v>0.7787286022630564</v>
      </c>
    </row>
    <row r="68" spans="2:64" x14ac:dyDescent="0.45">
      <c r="B68" t="s">
        <v>334</v>
      </c>
      <c r="C68" t="s">
        <v>95</v>
      </c>
      <c r="D68">
        <v>0.26680290602100526</v>
      </c>
      <c r="E68">
        <v>0.28042372839672258</v>
      </c>
      <c r="F68">
        <v>0.25818604042687099</v>
      </c>
      <c r="G68">
        <v>0.28061080908915692</v>
      </c>
      <c r="H68">
        <v>0.29881433375578137</v>
      </c>
      <c r="I68">
        <v>0.26303585877742031</v>
      </c>
      <c r="J68">
        <v>0.36268736188660811</v>
      </c>
      <c r="K68">
        <v>0.38082884269759582</v>
      </c>
      <c r="L68">
        <v>0.33325518891270633</v>
      </c>
      <c r="M68">
        <v>0.25785416923347132</v>
      </c>
      <c r="N68">
        <v>0.28475685927295419</v>
      </c>
      <c r="O68">
        <v>0.27542315238727194</v>
      </c>
      <c r="AU68" t="s">
        <v>334</v>
      </c>
      <c r="AV68">
        <v>0.54065804560306296</v>
      </c>
      <c r="AW68">
        <v>0.52068186938794103</v>
      </c>
      <c r="AX68">
        <v>0.55609613786558276</v>
      </c>
      <c r="AY68">
        <v>0.43360516774166691</v>
      </c>
      <c r="AZ68">
        <v>0.47962491281083086</v>
      </c>
      <c r="BA68">
        <v>0.4445665416603693</v>
      </c>
      <c r="BB68">
        <v>0.25720130766356458</v>
      </c>
      <c r="BC68">
        <v>0.2798163515132952</v>
      </c>
      <c r="BD68">
        <v>0.27892063060176442</v>
      </c>
      <c r="BE68">
        <v>0.47382159658095241</v>
      </c>
      <c r="BF68">
        <v>0.46631833671611228</v>
      </c>
      <c r="BG68">
        <v>0.48950550971805745</v>
      </c>
      <c r="BI68" t="s">
        <v>359</v>
      </c>
      <c r="BJ68" t="s">
        <v>99</v>
      </c>
      <c r="BK68" t="s">
        <v>100</v>
      </c>
      <c r="BL68">
        <v>0.75734940167823339</v>
      </c>
    </row>
    <row r="69" spans="2:64" x14ac:dyDescent="0.45">
      <c r="B69" t="s">
        <v>336</v>
      </c>
      <c r="C69" t="s">
        <v>95</v>
      </c>
      <c r="D69">
        <v>0.27564271758857151</v>
      </c>
      <c r="E69">
        <v>0.29607298827572903</v>
      </c>
      <c r="F69">
        <v>0.27000604416685153</v>
      </c>
      <c r="G69">
        <v>0.30863743015588824</v>
      </c>
      <c r="H69">
        <v>0.31598541803105601</v>
      </c>
      <c r="I69">
        <v>0.29228691940372892</v>
      </c>
      <c r="J69">
        <v>0.3563840433806662</v>
      </c>
      <c r="K69">
        <v>0.38614415118489837</v>
      </c>
      <c r="L69">
        <v>0.34120499684710776</v>
      </c>
      <c r="M69">
        <v>0.28519649611899855</v>
      </c>
      <c r="N69">
        <v>0.31099006576101662</v>
      </c>
      <c r="O69">
        <v>0.30330176360386607</v>
      </c>
      <c r="AU69" t="s">
        <v>336</v>
      </c>
      <c r="AV69">
        <v>0.51362032898157917</v>
      </c>
      <c r="AW69">
        <v>0.49739473800422918</v>
      </c>
      <c r="AX69">
        <v>0.53207695332559668</v>
      </c>
      <c r="AY69">
        <v>0.41619552989291292</v>
      </c>
      <c r="AZ69">
        <v>0.47217090638356923</v>
      </c>
      <c r="BA69">
        <v>0.44434805076148792</v>
      </c>
      <c r="BB69">
        <v>0.24831004264367521</v>
      </c>
      <c r="BC69">
        <v>0.26860978087491666</v>
      </c>
      <c r="BD69">
        <v>0.26647418984396121</v>
      </c>
      <c r="BE69">
        <v>0.43541925440925722</v>
      </c>
      <c r="BF69">
        <v>0.43676224847243333</v>
      </c>
      <c r="BG69">
        <v>0.45237533704764749</v>
      </c>
      <c r="BI69" t="s">
        <v>361</v>
      </c>
      <c r="BJ69" t="s">
        <v>99</v>
      </c>
      <c r="BK69" t="s">
        <v>100</v>
      </c>
      <c r="BL69">
        <v>0.77373862265100235</v>
      </c>
    </row>
    <row r="70" spans="2:64" x14ac:dyDescent="0.45">
      <c r="B70" t="s">
        <v>338</v>
      </c>
      <c r="C70" t="s">
        <v>95</v>
      </c>
      <c r="D70">
        <v>0.29552874701275977</v>
      </c>
      <c r="E70">
        <v>0.3162576782654184</v>
      </c>
      <c r="F70">
        <v>0.29772800053747445</v>
      </c>
      <c r="G70">
        <v>0.3437323361128507</v>
      </c>
      <c r="H70">
        <v>0.33660133999442621</v>
      </c>
      <c r="I70">
        <v>0.31594552107151963</v>
      </c>
      <c r="J70">
        <v>0.37721452727587229</v>
      </c>
      <c r="K70">
        <v>0.37474116512140693</v>
      </c>
      <c r="L70">
        <v>0.34553381328471811</v>
      </c>
      <c r="M70">
        <v>0.32232281779650601</v>
      </c>
      <c r="N70">
        <v>0.34074715146383661</v>
      </c>
      <c r="O70">
        <v>0.32885897086252941</v>
      </c>
      <c r="AU70" t="s">
        <v>338</v>
      </c>
      <c r="AV70">
        <v>0.4513481658054736</v>
      </c>
      <c r="AW70">
        <v>0.45204376389882228</v>
      </c>
      <c r="AX70">
        <v>0.46550745194507959</v>
      </c>
      <c r="AY70">
        <v>0.35612156549429441</v>
      </c>
      <c r="AZ70">
        <v>0.41926041753511051</v>
      </c>
      <c r="BA70">
        <v>0.3757741819424178</v>
      </c>
      <c r="BB70">
        <v>0.20034151315935131</v>
      </c>
      <c r="BC70">
        <v>0.23744826857951457</v>
      </c>
      <c r="BD70">
        <v>0.23614126602476093</v>
      </c>
      <c r="BE70">
        <v>0.3313552790047532</v>
      </c>
      <c r="BF70">
        <v>0.37292441283866262</v>
      </c>
      <c r="BG70">
        <v>0.35626069921816761</v>
      </c>
      <c r="BI70" t="s">
        <v>363</v>
      </c>
      <c r="BJ70" t="s">
        <v>99</v>
      </c>
      <c r="BK70" t="s">
        <v>100</v>
      </c>
      <c r="BL70">
        <v>0.77309386135074776</v>
      </c>
    </row>
    <row r="71" spans="2:64" x14ac:dyDescent="0.45">
      <c r="B71" t="s">
        <v>340</v>
      </c>
      <c r="C71" t="s">
        <v>95</v>
      </c>
      <c r="D71">
        <v>0.23861642435512037</v>
      </c>
      <c r="E71">
        <v>0.26541894159068019</v>
      </c>
      <c r="F71">
        <v>0.26055528196476146</v>
      </c>
      <c r="G71">
        <v>0.30019276739172246</v>
      </c>
      <c r="H71">
        <v>0.27991024571568751</v>
      </c>
      <c r="I71">
        <v>0.26748703473947255</v>
      </c>
      <c r="J71">
        <v>0.34645218527424176</v>
      </c>
      <c r="K71">
        <v>0.35026922980510944</v>
      </c>
      <c r="L71">
        <v>0.31122258727530677</v>
      </c>
      <c r="M71">
        <v>0.30835048447804797</v>
      </c>
      <c r="N71">
        <v>0.31364114900675522</v>
      </c>
      <c r="O71">
        <v>0.30935041544797925</v>
      </c>
      <c r="AU71" t="s">
        <v>340</v>
      </c>
      <c r="AV71">
        <v>0.55896575552301042</v>
      </c>
      <c r="AW71">
        <v>0.54277742136370577</v>
      </c>
      <c r="AX71">
        <v>0.56223877140690759</v>
      </c>
      <c r="AY71">
        <v>0.48346681934645497</v>
      </c>
      <c r="AZ71">
        <v>0.5183646120268367</v>
      </c>
      <c r="BA71">
        <v>0.50194793610413868</v>
      </c>
      <c r="BB71">
        <v>0.32411316761859105</v>
      </c>
      <c r="BC71">
        <v>0.32254826155627725</v>
      </c>
      <c r="BD71">
        <v>0.34231619143968894</v>
      </c>
      <c r="BE71">
        <v>0.44022488151748052</v>
      </c>
      <c r="BF71">
        <v>0.47184385178275867</v>
      </c>
      <c r="BG71">
        <v>0.46330671786999905</v>
      </c>
      <c r="BI71" t="s">
        <v>365</v>
      </c>
      <c r="BJ71" t="s">
        <v>99</v>
      </c>
      <c r="BK71" t="s">
        <v>100</v>
      </c>
      <c r="BL71">
        <v>0.7164571123233574</v>
      </c>
    </row>
    <row r="72" spans="2:64" x14ac:dyDescent="0.45">
      <c r="B72" t="s">
        <v>342</v>
      </c>
      <c r="C72" t="s">
        <v>95</v>
      </c>
      <c r="D72">
        <v>0.25719836415098141</v>
      </c>
      <c r="E72">
        <v>0.28407365838105797</v>
      </c>
      <c r="F72">
        <v>0.2737449012792989</v>
      </c>
      <c r="G72">
        <v>0.30261963927126295</v>
      </c>
      <c r="H72">
        <v>0.31622582135654898</v>
      </c>
      <c r="I72">
        <v>0.28024367183203985</v>
      </c>
      <c r="J72">
        <v>0.31453711992126804</v>
      </c>
      <c r="K72">
        <v>0.34679868273779196</v>
      </c>
      <c r="L72">
        <v>0.28008620705180953</v>
      </c>
      <c r="M72">
        <v>0.3260282720476898</v>
      </c>
      <c r="N72">
        <v>0.32761512791957892</v>
      </c>
      <c r="O72">
        <v>0.31516585326249014</v>
      </c>
      <c r="AU72" t="s">
        <v>342</v>
      </c>
      <c r="AV72">
        <v>0.4989146154762199</v>
      </c>
      <c r="AW72">
        <v>0.47935195276986092</v>
      </c>
      <c r="AX72">
        <v>0.50346222173355215</v>
      </c>
      <c r="AY72">
        <v>0.42294968365407037</v>
      </c>
      <c r="AZ72">
        <v>0.44579965697556223</v>
      </c>
      <c r="BA72">
        <v>0.44344166871999918</v>
      </c>
      <c r="BB72">
        <v>0.28629593691546179</v>
      </c>
      <c r="BC72">
        <v>0.29561028920860982</v>
      </c>
      <c r="BD72">
        <v>0.32030613775762595</v>
      </c>
      <c r="BE72">
        <v>0.39558678590445601</v>
      </c>
      <c r="BF72">
        <v>0.41262882282834323</v>
      </c>
      <c r="BG72">
        <v>0.42090845051014308</v>
      </c>
      <c r="BI72" t="s">
        <v>367</v>
      </c>
      <c r="BJ72" t="s">
        <v>99</v>
      </c>
      <c r="BK72" t="s">
        <v>100</v>
      </c>
      <c r="BL72">
        <v>0.70985793183984314</v>
      </c>
    </row>
    <row r="73" spans="2:64" x14ac:dyDescent="0.45">
      <c r="B73" t="s">
        <v>344</v>
      </c>
      <c r="C73" t="s">
        <v>95</v>
      </c>
      <c r="D73">
        <v>0.23607370288824561</v>
      </c>
      <c r="E73">
        <v>0.26743040452636707</v>
      </c>
      <c r="F73">
        <v>0.24135648878599392</v>
      </c>
      <c r="G73">
        <v>0.26669098573651184</v>
      </c>
      <c r="H73">
        <v>0.30414326003859488</v>
      </c>
      <c r="I73">
        <v>0.26576028482986896</v>
      </c>
      <c r="J73">
        <v>0.31947226738578377</v>
      </c>
      <c r="K73">
        <v>0.3424023873305051</v>
      </c>
      <c r="L73">
        <v>0.29126013060952</v>
      </c>
      <c r="M73">
        <v>0.31223256044615244</v>
      </c>
      <c r="N73">
        <v>0.30365107449898227</v>
      </c>
      <c r="O73">
        <v>0.25978421583206346</v>
      </c>
      <c r="AU73" t="s">
        <v>344</v>
      </c>
      <c r="AV73">
        <v>0.56126619268986488</v>
      </c>
      <c r="AW73">
        <v>0.54034599200487532</v>
      </c>
      <c r="AX73">
        <v>0.57074306409433917</v>
      </c>
      <c r="AY73">
        <v>0.496107092565018</v>
      </c>
      <c r="AZ73">
        <v>0.4745364221626277</v>
      </c>
      <c r="BA73">
        <v>0.50481790443624075</v>
      </c>
      <c r="BB73">
        <v>0.38294674757564218</v>
      </c>
      <c r="BC73">
        <v>0.37538495369558789</v>
      </c>
      <c r="BD73">
        <v>0.41981096016957958</v>
      </c>
      <c r="BE73">
        <v>0.48668674776145399</v>
      </c>
      <c r="BF73">
        <v>0.48944554370111049</v>
      </c>
      <c r="BG73">
        <v>0.52594782993706146</v>
      </c>
      <c r="BI73" t="s">
        <v>369</v>
      </c>
      <c r="BJ73" t="s">
        <v>99</v>
      </c>
      <c r="BK73" t="s">
        <v>100</v>
      </c>
      <c r="BL73">
        <v>0.68121668617732012</v>
      </c>
    </row>
    <row r="74" spans="2:64" x14ac:dyDescent="0.45">
      <c r="B74" t="s">
        <v>346</v>
      </c>
      <c r="C74" t="s">
        <v>95</v>
      </c>
      <c r="D74">
        <v>0.25705596873221032</v>
      </c>
      <c r="E74">
        <v>0.29485329857949272</v>
      </c>
      <c r="F74">
        <v>0.26946182387947981</v>
      </c>
      <c r="G74">
        <v>0.30134609635533116</v>
      </c>
      <c r="H74">
        <v>0.32911282553403759</v>
      </c>
      <c r="I74">
        <v>0.28923635526638447</v>
      </c>
      <c r="J74">
        <v>0.31085404302723374</v>
      </c>
      <c r="K74">
        <v>0.35540237596002744</v>
      </c>
      <c r="L74">
        <v>0.30030986913125696</v>
      </c>
      <c r="M74">
        <v>0.3065533750708696</v>
      </c>
      <c r="N74">
        <v>0.3431935152292217</v>
      </c>
      <c r="O74">
        <v>0.28833203178808414</v>
      </c>
      <c r="AU74" t="s">
        <v>346</v>
      </c>
      <c r="AV74">
        <v>0.4844679214998624</v>
      </c>
      <c r="AW74">
        <v>0.45982577759326437</v>
      </c>
      <c r="AX74">
        <v>0.49238786290647463</v>
      </c>
      <c r="AY74">
        <v>0.4029211982583269</v>
      </c>
      <c r="AZ74">
        <v>0.41323800268328081</v>
      </c>
      <c r="BA74">
        <v>0.41823261438569026</v>
      </c>
      <c r="BB74">
        <v>0.28150274669748759</v>
      </c>
      <c r="BC74">
        <v>0.27019388551768042</v>
      </c>
      <c r="BD74">
        <v>0.29903632006207337</v>
      </c>
      <c r="BE74">
        <v>0.41631348857253486</v>
      </c>
      <c r="BF74">
        <v>0.39573450810555355</v>
      </c>
      <c r="BG74">
        <v>0.42909004320561445</v>
      </c>
      <c r="BI74" t="s">
        <v>371</v>
      </c>
      <c r="BJ74" t="s">
        <v>99</v>
      </c>
      <c r="BK74" t="s">
        <v>100</v>
      </c>
      <c r="BL74">
        <v>0.69134601919035898</v>
      </c>
    </row>
    <row r="75" spans="2:64" x14ac:dyDescent="0.45">
      <c r="B75" t="s">
        <v>348</v>
      </c>
      <c r="C75" t="s">
        <v>95</v>
      </c>
      <c r="D75">
        <v>0.25439108039937824</v>
      </c>
      <c r="E75">
        <v>0.26009151131750713</v>
      </c>
      <c r="F75">
        <v>0.24865286856353944</v>
      </c>
      <c r="G75">
        <v>0.29552428675326015</v>
      </c>
      <c r="H75">
        <v>0.28937188101452171</v>
      </c>
      <c r="I75">
        <v>0.3020597736479953</v>
      </c>
      <c r="J75">
        <v>0.39359551546030885</v>
      </c>
      <c r="K75">
        <v>0.40405496155087212</v>
      </c>
      <c r="L75">
        <v>0.37399949864720816</v>
      </c>
      <c r="M75">
        <v>0.29581485798024731</v>
      </c>
      <c r="N75">
        <v>0.3032242793438657</v>
      </c>
      <c r="O75">
        <v>0.28845804609420667</v>
      </c>
      <c r="AU75" t="s">
        <v>348</v>
      </c>
      <c r="AV75">
        <v>0.52711983669501761</v>
      </c>
      <c r="AW75">
        <v>0.53194033975379951</v>
      </c>
      <c r="AX75">
        <v>0.55828499246971708</v>
      </c>
      <c r="AY75">
        <v>0.42927428413870272</v>
      </c>
      <c r="AZ75">
        <v>0.47247556136222102</v>
      </c>
      <c r="BA75">
        <v>0.42817433273584776</v>
      </c>
      <c r="BB75">
        <v>0.2139106881874866</v>
      </c>
      <c r="BC75">
        <v>0.24406709909080393</v>
      </c>
      <c r="BD75">
        <v>0.2093550634033115</v>
      </c>
      <c r="BE75">
        <v>0.3788915080012894</v>
      </c>
      <c r="BF75">
        <v>0.41007389926855581</v>
      </c>
      <c r="BG75">
        <v>0.37325224867765183</v>
      </c>
      <c r="BI75" t="s">
        <v>372</v>
      </c>
      <c r="BJ75" t="s">
        <v>99</v>
      </c>
      <c r="BK75" t="s">
        <v>100</v>
      </c>
      <c r="BL75">
        <v>0.64856645582454986</v>
      </c>
    </row>
    <row r="76" spans="2:64" x14ac:dyDescent="0.45">
      <c r="B76" t="s">
        <v>350</v>
      </c>
      <c r="C76" t="s">
        <v>95</v>
      </c>
      <c r="D76">
        <v>0.16347385692597785</v>
      </c>
      <c r="E76">
        <v>0.18991699904779588</v>
      </c>
      <c r="F76">
        <v>0.17055545397167923</v>
      </c>
      <c r="G76">
        <v>0.24549410729834778</v>
      </c>
      <c r="H76">
        <v>0.23756915811999002</v>
      </c>
      <c r="I76">
        <v>0.22838279919717913</v>
      </c>
      <c r="J76">
        <v>0.35484390627125117</v>
      </c>
      <c r="K76">
        <v>0.35729679831151956</v>
      </c>
      <c r="L76">
        <v>0.32911303785787277</v>
      </c>
      <c r="M76">
        <v>0.23828042079220219</v>
      </c>
      <c r="N76">
        <v>0.23602768045144443</v>
      </c>
      <c r="O76">
        <v>0.22104983969177747</v>
      </c>
      <c r="AU76" t="s">
        <v>350</v>
      </c>
      <c r="AV76">
        <v>0.70363168153788991</v>
      </c>
      <c r="AW76">
        <v>0.68825608185089704</v>
      </c>
      <c r="AX76">
        <v>0.71091163937348145</v>
      </c>
      <c r="AY76">
        <v>0.57830725764660951</v>
      </c>
      <c r="AZ76">
        <v>0.58723006950681356</v>
      </c>
      <c r="BA76">
        <v>0.58746104570479063</v>
      </c>
      <c r="BB76">
        <v>0.33035675214495641</v>
      </c>
      <c r="BC76">
        <v>0.33520391350567486</v>
      </c>
      <c r="BD76">
        <v>0.33066424682420947</v>
      </c>
      <c r="BE76">
        <v>0.56448881143062557</v>
      </c>
      <c r="BF76">
        <v>0.57437093080918467</v>
      </c>
      <c r="BG76">
        <v>0.57043131567484906</v>
      </c>
      <c r="BI76" t="s">
        <v>373</v>
      </c>
      <c r="BJ76" t="s">
        <v>99</v>
      </c>
      <c r="BK76" t="s">
        <v>100</v>
      </c>
      <c r="BL76">
        <v>0.63610434713637543</v>
      </c>
    </row>
    <row r="77" spans="2:64" x14ac:dyDescent="0.45">
      <c r="B77" t="s">
        <v>352</v>
      </c>
      <c r="C77" t="s">
        <v>95</v>
      </c>
      <c r="D77">
        <v>0.26353198063551508</v>
      </c>
      <c r="E77">
        <v>0.26550016193116049</v>
      </c>
      <c r="F77">
        <v>0.26913070789901861</v>
      </c>
      <c r="G77">
        <v>0.30966287013297428</v>
      </c>
      <c r="H77">
        <v>0.30344583955830845</v>
      </c>
      <c r="I77">
        <v>0.29894138176451523</v>
      </c>
      <c r="J77">
        <v>0.3862382096484393</v>
      </c>
      <c r="K77">
        <v>0.4015623201168898</v>
      </c>
      <c r="L77">
        <v>0.33080353417367159</v>
      </c>
      <c r="M77">
        <v>0.2557266633669133</v>
      </c>
      <c r="N77">
        <v>0.27082516611382845</v>
      </c>
      <c r="O77">
        <v>0.23526486528014129</v>
      </c>
      <c r="AU77" t="s">
        <v>352</v>
      </c>
      <c r="AV77">
        <v>0.57374757555405842</v>
      </c>
      <c r="AW77">
        <v>0.56709211456228992</v>
      </c>
      <c r="AX77">
        <v>0.58395755832735652</v>
      </c>
      <c r="AY77">
        <v>0.44462691219815714</v>
      </c>
      <c r="AZ77">
        <v>0.48314706892470738</v>
      </c>
      <c r="BA77">
        <v>0.43916629855056766</v>
      </c>
      <c r="BB77">
        <v>0.23106390092715678</v>
      </c>
      <c r="BC77">
        <v>0.26754077644963437</v>
      </c>
      <c r="BD77">
        <v>0.2660144634819821</v>
      </c>
      <c r="BE77">
        <v>0.49619505146274046</v>
      </c>
      <c r="BF77">
        <v>0.50220147541727622</v>
      </c>
      <c r="BG77">
        <v>0.51231065769340534</v>
      </c>
      <c r="BI77" t="s">
        <v>374</v>
      </c>
      <c r="BJ77" t="s">
        <v>99</v>
      </c>
      <c r="BK77" t="s">
        <v>100</v>
      </c>
      <c r="BL77">
        <v>0.67282971827125659</v>
      </c>
    </row>
    <row r="78" spans="2:64" x14ac:dyDescent="0.45">
      <c r="B78" t="s">
        <v>354</v>
      </c>
      <c r="C78" t="s">
        <v>95</v>
      </c>
      <c r="D78">
        <v>0.28439875427422973</v>
      </c>
      <c r="E78">
        <v>0.28600369708661133</v>
      </c>
      <c r="F78">
        <v>0.29835686703222242</v>
      </c>
      <c r="G78">
        <v>0.37264544465564164</v>
      </c>
      <c r="H78">
        <v>0.33660930062413846</v>
      </c>
      <c r="I78">
        <v>0.36542349824283632</v>
      </c>
      <c r="J78">
        <v>0.39867330133708384</v>
      </c>
      <c r="K78">
        <v>0.40884007534960826</v>
      </c>
      <c r="L78">
        <v>0.36795121843904771</v>
      </c>
      <c r="M78">
        <v>0.30434190187613774</v>
      </c>
      <c r="N78">
        <v>0.31277299067979236</v>
      </c>
      <c r="O78">
        <v>0.2938112431854713</v>
      </c>
      <c r="AU78" t="s">
        <v>354</v>
      </c>
      <c r="AV78">
        <v>0.53504600609792763</v>
      </c>
      <c r="AW78">
        <v>0.5078739008371681</v>
      </c>
      <c r="AX78">
        <v>0.52075844713769237</v>
      </c>
      <c r="AY78">
        <v>0.35836761676327239</v>
      </c>
      <c r="AZ78">
        <v>0.3887691097020281</v>
      </c>
      <c r="BA78">
        <v>0.35746152095209005</v>
      </c>
      <c r="BB78">
        <v>0.16053186758472873</v>
      </c>
      <c r="BC78">
        <v>0.20942975043153558</v>
      </c>
      <c r="BD78">
        <v>0.17774683087066986</v>
      </c>
      <c r="BE78">
        <v>0.41860299896613529</v>
      </c>
      <c r="BF78">
        <v>0.42761929358584866</v>
      </c>
      <c r="BG78">
        <v>0.42563693584557044</v>
      </c>
      <c r="BI78" t="s">
        <v>375</v>
      </c>
      <c r="BJ78" t="s">
        <v>99</v>
      </c>
      <c r="BK78" t="s">
        <v>100</v>
      </c>
      <c r="BL78">
        <v>0.66041555120354622</v>
      </c>
    </row>
    <row r="79" spans="2:64" x14ac:dyDescent="0.45">
      <c r="B79" t="s">
        <v>356</v>
      </c>
      <c r="C79" t="s">
        <v>95</v>
      </c>
      <c r="D79">
        <v>0.26654177524349065</v>
      </c>
      <c r="E79">
        <v>0.2748298516690752</v>
      </c>
      <c r="F79">
        <v>0.2618604237306823</v>
      </c>
      <c r="G79">
        <v>0.30556860046690049</v>
      </c>
      <c r="H79">
        <v>0.3029577982741552</v>
      </c>
      <c r="I79">
        <v>0.28333002223517245</v>
      </c>
      <c r="J79">
        <v>0.39180164653766864</v>
      </c>
      <c r="K79">
        <v>0.40359282224284754</v>
      </c>
      <c r="L79">
        <v>0.36753708092888954</v>
      </c>
      <c r="M79">
        <v>0.27433417660304249</v>
      </c>
      <c r="N79">
        <v>0.26960570425615732</v>
      </c>
      <c r="O79">
        <v>0.24752219086197333</v>
      </c>
      <c r="AU79" t="s">
        <v>356</v>
      </c>
      <c r="AV79">
        <v>0.54827588965790941</v>
      </c>
      <c r="AW79">
        <v>0.54040208311959081</v>
      </c>
      <c r="AX79">
        <v>0.56154518708604018</v>
      </c>
      <c r="AY79">
        <v>0.42905828255765144</v>
      </c>
      <c r="AZ79">
        <v>0.47764717242600441</v>
      </c>
      <c r="BA79">
        <v>0.44139696358092723</v>
      </c>
      <c r="BB79">
        <v>0.21456440979164745</v>
      </c>
      <c r="BC79">
        <v>0.26474730675337604</v>
      </c>
      <c r="BD79">
        <v>0.23558550227037664</v>
      </c>
      <c r="BE79">
        <v>0.43873539358233055</v>
      </c>
      <c r="BF79">
        <v>0.46510791154612574</v>
      </c>
      <c r="BG79">
        <v>0.45868495491535105</v>
      </c>
      <c r="BI79" t="s">
        <v>376</v>
      </c>
      <c r="BJ79" t="s">
        <v>99</v>
      </c>
      <c r="BK79" t="s">
        <v>100</v>
      </c>
      <c r="BL79">
        <v>0.66750330974853023</v>
      </c>
    </row>
    <row r="80" spans="2:64" x14ac:dyDescent="0.45">
      <c r="B80" t="s">
        <v>358</v>
      </c>
      <c r="C80" t="s">
        <v>95</v>
      </c>
      <c r="D80">
        <v>0.30290123038576494</v>
      </c>
      <c r="E80">
        <v>0.29876343162048813</v>
      </c>
      <c r="F80">
        <v>0.28171705677058601</v>
      </c>
      <c r="G80">
        <v>0.32023794722251342</v>
      </c>
      <c r="H80">
        <v>0.31655760090606805</v>
      </c>
      <c r="I80">
        <v>0.30450864226858593</v>
      </c>
      <c r="J80">
        <v>0.39052236187906747</v>
      </c>
      <c r="K80">
        <v>0.40359785560554473</v>
      </c>
      <c r="L80">
        <v>0.36496388024730397</v>
      </c>
      <c r="M80">
        <v>0.2897544470000451</v>
      </c>
      <c r="N80">
        <v>0.29683746122913995</v>
      </c>
      <c r="O80">
        <v>0.27430802271284854</v>
      </c>
      <c r="AU80" t="s">
        <v>358</v>
      </c>
      <c r="AV80">
        <v>0.50342796690690927</v>
      </c>
      <c r="AW80">
        <v>0.50246712537947957</v>
      </c>
      <c r="AX80">
        <v>0.52433177977581458</v>
      </c>
      <c r="AY80">
        <v>0.38372366784742457</v>
      </c>
      <c r="AZ80">
        <v>0.46100517108342715</v>
      </c>
      <c r="BA80">
        <v>0.39259390959584922</v>
      </c>
      <c r="BB80">
        <v>0.18466030869847</v>
      </c>
      <c r="BC80">
        <v>0.25143602467863874</v>
      </c>
      <c r="BD80">
        <v>0.21401657961411716</v>
      </c>
      <c r="BE80">
        <v>0.42049757143178534</v>
      </c>
      <c r="BF80">
        <v>0.44457814266870382</v>
      </c>
      <c r="BG80">
        <v>0.44425162088894826</v>
      </c>
      <c r="BI80" t="s">
        <v>377</v>
      </c>
      <c r="BJ80" t="s">
        <v>99</v>
      </c>
      <c r="BK80" t="s">
        <v>100</v>
      </c>
      <c r="BL80">
        <v>0.69163507097860866</v>
      </c>
    </row>
    <row r="81" spans="2:64" x14ac:dyDescent="0.45">
      <c r="B81" t="s">
        <v>360</v>
      </c>
      <c r="C81" t="s">
        <v>95</v>
      </c>
      <c r="D81">
        <v>0.34219130752748517</v>
      </c>
      <c r="E81">
        <v>0.33443857610784278</v>
      </c>
      <c r="F81">
        <v>0.3493296189084531</v>
      </c>
      <c r="G81">
        <v>0.38410516878548323</v>
      </c>
      <c r="H81">
        <v>0.33833961844442212</v>
      </c>
      <c r="I81">
        <v>0.35001450451873023</v>
      </c>
      <c r="J81">
        <v>0.43335610320085455</v>
      </c>
      <c r="K81">
        <v>0.41068807721689005</v>
      </c>
      <c r="L81">
        <v>0.38982014061295844</v>
      </c>
      <c r="M81">
        <v>0.36102458063351711</v>
      </c>
      <c r="N81">
        <v>0.33792047540050696</v>
      </c>
      <c r="O81">
        <v>0.337800728974609</v>
      </c>
      <c r="AU81" t="s">
        <v>360</v>
      </c>
      <c r="AV81">
        <v>0.41768730319820491</v>
      </c>
      <c r="AW81">
        <v>0.40188055787224963</v>
      </c>
      <c r="AX81">
        <v>0.41675940078038803</v>
      </c>
      <c r="AY81">
        <v>0.28900002365714517</v>
      </c>
      <c r="AZ81">
        <v>0.36178598023168285</v>
      </c>
      <c r="BA81">
        <v>0.31717803854957149</v>
      </c>
      <c r="BB81">
        <v>0.12950545897121582</v>
      </c>
      <c r="BC81">
        <v>0.20632423181420306</v>
      </c>
      <c r="BD81">
        <v>0.15856544359216107</v>
      </c>
      <c r="BE81">
        <v>0.30519432366531879</v>
      </c>
      <c r="BF81">
        <v>0.3542082073725199</v>
      </c>
      <c r="BG81">
        <v>0.31466918874184935</v>
      </c>
      <c r="BI81" t="s">
        <v>378</v>
      </c>
      <c r="BJ81" t="s">
        <v>99</v>
      </c>
      <c r="BK81" t="s">
        <v>100</v>
      </c>
      <c r="BL81">
        <v>0.68291436572973663</v>
      </c>
    </row>
    <row r="82" spans="2:64" x14ac:dyDescent="0.45">
      <c r="B82" t="s">
        <v>362</v>
      </c>
      <c r="C82" t="s">
        <v>95</v>
      </c>
      <c r="D82">
        <v>0.30591545057931491</v>
      </c>
      <c r="E82">
        <v>0.31370192117502893</v>
      </c>
      <c r="F82">
        <v>0.31300783695772405</v>
      </c>
      <c r="G82">
        <v>0.3913254997743823</v>
      </c>
      <c r="H82">
        <v>0.35629542660244939</v>
      </c>
      <c r="I82">
        <v>0.35105977626397061</v>
      </c>
      <c r="J82">
        <v>0.41159148122602002</v>
      </c>
      <c r="K82">
        <v>0.4070240429802649</v>
      </c>
      <c r="L82">
        <v>0.40158630306101156</v>
      </c>
      <c r="M82">
        <v>0.34893676766011344</v>
      </c>
      <c r="N82">
        <v>0.32503989272029149</v>
      </c>
      <c r="O82">
        <v>0.31758327585892726</v>
      </c>
      <c r="AU82" t="s">
        <v>362</v>
      </c>
      <c r="AV82">
        <v>0.47286443206116224</v>
      </c>
      <c r="AW82">
        <v>0.44412026306005103</v>
      </c>
      <c r="AX82">
        <v>0.47327230017284277</v>
      </c>
      <c r="AY82">
        <v>0.3020763575518986</v>
      </c>
      <c r="AZ82">
        <v>0.36373339595418708</v>
      </c>
      <c r="BA82">
        <v>0.3419494774961368</v>
      </c>
      <c r="BB82">
        <v>0.19190556807047127</v>
      </c>
      <c r="BC82">
        <v>0.26343110390451119</v>
      </c>
      <c r="BD82">
        <v>0.20692906299054936</v>
      </c>
      <c r="BE82">
        <v>0.35804690827035057</v>
      </c>
      <c r="BF82">
        <v>0.39921646378111714</v>
      </c>
      <c r="BG82">
        <v>0.3731304473277825</v>
      </c>
      <c r="BI82" t="s">
        <v>379</v>
      </c>
      <c r="BJ82" t="s">
        <v>99</v>
      </c>
      <c r="BK82" t="s">
        <v>100</v>
      </c>
      <c r="BL82">
        <v>0.66919882021584787</v>
      </c>
    </row>
    <row r="83" spans="2:64" x14ac:dyDescent="0.45">
      <c r="B83" t="s">
        <v>364</v>
      </c>
      <c r="C83" t="s">
        <v>95</v>
      </c>
      <c r="D83">
        <v>0.23098868545076814</v>
      </c>
      <c r="E83">
        <v>0.23394006521491909</v>
      </c>
      <c r="F83">
        <v>0.23143392483292954</v>
      </c>
      <c r="G83">
        <v>0.34184385199799977</v>
      </c>
      <c r="H83">
        <v>0.33817837634883596</v>
      </c>
      <c r="I83">
        <v>0.29054852662308306</v>
      </c>
      <c r="J83">
        <v>0.31806301354439209</v>
      </c>
      <c r="K83">
        <v>0.33514975042867928</v>
      </c>
      <c r="L83">
        <v>0.3279006823239296</v>
      </c>
      <c r="M83">
        <v>0.26295297496180992</v>
      </c>
      <c r="N83">
        <v>0.25365333507027166</v>
      </c>
      <c r="O83">
        <v>0.23896130317077532</v>
      </c>
      <c r="AU83" t="s">
        <v>364</v>
      </c>
      <c r="AV83">
        <v>0.65334920765359061</v>
      </c>
      <c r="AW83">
        <v>0.62585976304880153</v>
      </c>
      <c r="AX83">
        <v>0.64538656042375331</v>
      </c>
      <c r="AY83">
        <v>0.45746037242211007</v>
      </c>
      <c r="AZ83">
        <v>0.48610385423321384</v>
      </c>
      <c r="BA83">
        <v>0.5126891874895898</v>
      </c>
      <c r="BB83">
        <v>0.36510974290313269</v>
      </c>
      <c r="BC83">
        <v>0.3941726537604861</v>
      </c>
      <c r="BD83">
        <v>0.35808076168533337</v>
      </c>
      <c r="BE83">
        <v>0.57691778882744238</v>
      </c>
      <c r="BF83">
        <v>0.58082207179795386</v>
      </c>
      <c r="BG83">
        <v>0.59795185173732535</v>
      </c>
      <c r="BI83" t="s">
        <v>380</v>
      </c>
      <c r="BJ83" t="s">
        <v>99</v>
      </c>
      <c r="BK83" t="s">
        <v>100</v>
      </c>
      <c r="BL83">
        <v>0.67191489119797065</v>
      </c>
    </row>
    <row r="84" spans="2:64" x14ac:dyDescent="0.45">
      <c r="B84" t="s">
        <v>366</v>
      </c>
      <c r="C84" t="s">
        <v>95</v>
      </c>
      <c r="D84">
        <v>0.19770132841876989</v>
      </c>
      <c r="E84">
        <v>0.19045079278754923</v>
      </c>
      <c r="F84">
        <v>0.17822868900204566</v>
      </c>
      <c r="G84">
        <v>0.29222885578179825</v>
      </c>
      <c r="H84">
        <v>0.30283982555981159</v>
      </c>
      <c r="I84">
        <v>0.26837902254967172</v>
      </c>
      <c r="J84">
        <v>0.28586841545281255</v>
      </c>
      <c r="K84">
        <v>0.29267603417032823</v>
      </c>
      <c r="L84">
        <v>0.30553861270012111</v>
      </c>
      <c r="M84">
        <v>0.20788342791370609</v>
      </c>
      <c r="N84">
        <v>0.2177834340407776</v>
      </c>
      <c r="O84">
        <v>0.20607098059059764</v>
      </c>
      <c r="AU84" t="s">
        <v>366</v>
      </c>
      <c r="AV84">
        <v>0.72625769222514325</v>
      </c>
      <c r="AW84">
        <v>0.72854639313124869</v>
      </c>
      <c r="AX84">
        <v>0.74263257961357831</v>
      </c>
      <c r="AY84">
        <v>0.58648408654203765</v>
      </c>
      <c r="AZ84">
        <v>0.56065879172857547</v>
      </c>
      <c r="BA84">
        <v>0.61720243206149561</v>
      </c>
      <c r="BB84">
        <v>0.49466758614161216</v>
      </c>
      <c r="BC84">
        <v>0.49906080444231016</v>
      </c>
      <c r="BD84">
        <v>0.48398351223842762</v>
      </c>
      <c r="BE84">
        <v>0.70139143126120485</v>
      </c>
      <c r="BF84">
        <v>0.67321600753844757</v>
      </c>
      <c r="BG84">
        <v>0.69932043325497228</v>
      </c>
      <c r="BI84" t="s">
        <v>381</v>
      </c>
      <c r="BJ84" t="s">
        <v>99</v>
      </c>
      <c r="BK84" t="s">
        <v>100</v>
      </c>
      <c r="BL84">
        <v>0.65993331887820361</v>
      </c>
    </row>
    <row r="85" spans="2:64" x14ac:dyDescent="0.45">
      <c r="B85" t="s">
        <v>368</v>
      </c>
      <c r="C85" t="s">
        <v>95</v>
      </c>
      <c r="D85">
        <v>0.19246139234857823</v>
      </c>
      <c r="E85">
        <v>0.21881573873525162</v>
      </c>
      <c r="F85">
        <v>0.19062350617071799</v>
      </c>
      <c r="G85">
        <v>0.3223729640413987</v>
      </c>
      <c r="H85">
        <v>0.31852787763863094</v>
      </c>
      <c r="I85">
        <v>0.30399164443198046</v>
      </c>
      <c r="J85">
        <v>0.34327884796366143</v>
      </c>
      <c r="K85">
        <v>0.3529702554944118</v>
      </c>
      <c r="L85">
        <v>0.33739903802212318</v>
      </c>
      <c r="M85">
        <v>0.28169449066987723</v>
      </c>
      <c r="N85">
        <v>0.27763059126610373</v>
      </c>
      <c r="O85">
        <v>0.27426987422528165</v>
      </c>
      <c r="AU85" t="s">
        <v>368</v>
      </c>
      <c r="AV85">
        <v>0.69238170796863319</v>
      </c>
      <c r="AW85">
        <v>0.66706305966869672</v>
      </c>
      <c r="AX85">
        <v>0.7088359960919105</v>
      </c>
      <c r="AY85">
        <v>0.498414016472361</v>
      </c>
      <c r="AZ85">
        <v>0.52026919160298413</v>
      </c>
      <c r="BA85">
        <v>0.53780193439725488</v>
      </c>
      <c r="BB85">
        <v>0.41844587170970721</v>
      </c>
      <c r="BC85">
        <v>0.43791245453824912</v>
      </c>
      <c r="BD85">
        <v>0.41754868398371392</v>
      </c>
      <c r="BE85">
        <v>0.56101434590872845</v>
      </c>
      <c r="BF85">
        <v>0.58623613375012074</v>
      </c>
      <c r="BG85">
        <v>0.57870893110030308</v>
      </c>
      <c r="BI85" t="s">
        <v>382</v>
      </c>
      <c r="BJ85" t="s">
        <v>99</v>
      </c>
      <c r="BK85" t="s">
        <v>100</v>
      </c>
      <c r="BL85">
        <v>0.6973261438429178</v>
      </c>
    </row>
    <row r="86" spans="2:64" x14ac:dyDescent="0.45">
      <c r="B86" t="s">
        <v>370</v>
      </c>
      <c r="C86" t="s">
        <v>95</v>
      </c>
      <c r="D86">
        <v>0.15655134625454384</v>
      </c>
      <c r="E86">
        <v>0.18076040926818751</v>
      </c>
      <c r="F86">
        <v>0.15729916127041896</v>
      </c>
      <c r="G86">
        <v>0.271483218516618</v>
      </c>
      <c r="H86">
        <v>0.26522772606465927</v>
      </c>
      <c r="I86">
        <v>0.2635293543176675</v>
      </c>
      <c r="J86">
        <v>0.32127802678463491</v>
      </c>
      <c r="K86">
        <v>0.34053678259690595</v>
      </c>
      <c r="L86">
        <v>0.33699397022538746</v>
      </c>
      <c r="M86">
        <v>0.25629184890257672</v>
      </c>
      <c r="N86">
        <v>0.23696225098646623</v>
      </c>
      <c r="O86">
        <v>0.25171174151602405</v>
      </c>
      <c r="AU86" t="s">
        <v>370</v>
      </c>
      <c r="AV86">
        <v>0.75745970678456509</v>
      </c>
      <c r="AW86">
        <v>0.7311631879110142</v>
      </c>
      <c r="AX86">
        <v>0.76733751424275054</v>
      </c>
      <c r="AY86">
        <v>0.5592773931839643</v>
      </c>
      <c r="AZ86">
        <v>0.57877927990202938</v>
      </c>
      <c r="BA86">
        <v>0.59062138421713506</v>
      </c>
      <c r="BB86">
        <v>0.44431089400911683</v>
      </c>
      <c r="BC86">
        <v>0.44801110075497946</v>
      </c>
      <c r="BD86">
        <v>0.43178799149369612</v>
      </c>
      <c r="BE86">
        <v>0.61523582582674274</v>
      </c>
      <c r="BF86">
        <v>0.64958311896794951</v>
      </c>
      <c r="BG86">
        <v>0.62643385285143549</v>
      </c>
      <c r="BI86" t="s">
        <v>383</v>
      </c>
      <c r="BJ86" t="s">
        <v>99</v>
      </c>
      <c r="BK86" t="s">
        <v>100</v>
      </c>
      <c r="BL86">
        <v>0.68228358378750253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150A2-E3C8-4338-AF3D-C9DE3B00AC61}">
  <dimension ref="A9:S1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region=GBR")</f>
        <v>~TFM_DINS-AT: region=GBR</v>
      </c>
      <c r="H9" t="str">
        <f>IF(A11="x","DeActivated","~TFM_DINS-AT: region=GBR")</f>
        <v>~TFM_DINS-AT: region=GBR</v>
      </c>
      <c r="L9" t="str">
        <f>IF(A11="x","DeActivated","~TFM_DINS-AT: region=GBR")</f>
        <v>~TFM_DINS-AT: region=GBR</v>
      </c>
      <c r="P9" t="str">
        <f>IF(A11="x","DeActivated","~TFM_INS-AT: region=GBR")</f>
        <v>~TFM_INS-AT: region=GBR</v>
      </c>
    </row>
    <row r="10" spans="1:19" x14ac:dyDescent="0.45">
      <c r="A10" t="s">
        <v>177</v>
      </c>
      <c r="C10" t="s">
        <v>178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179</v>
      </c>
      <c r="P10" t="s">
        <v>180</v>
      </c>
      <c r="Q10" t="s">
        <v>1</v>
      </c>
      <c r="R10" t="s">
        <v>181</v>
      </c>
      <c r="S10" t="s">
        <v>182</v>
      </c>
    </row>
    <row r="11" spans="1:19" x14ac:dyDescent="0.45">
      <c r="C11">
        <v>8.2191780821917804E-2</v>
      </c>
      <c r="D11">
        <v>4.555602515973449E-2</v>
      </c>
      <c r="E11" t="s">
        <v>5</v>
      </c>
      <c r="F11" t="s">
        <v>183</v>
      </c>
      <c r="H11" t="s">
        <v>184</v>
      </c>
      <c r="I11" t="s">
        <v>5</v>
      </c>
      <c r="L11" t="s">
        <v>185</v>
      </c>
      <c r="M11" t="s">
        <v>5</v>
      </c>
      <c r="N11">
        <v>0.31610666575664381</v>
      </c>
      <c r="P11">
        <v>2020</v>
      </c>
      <c r="Q11" t="s">
        <v>186</v>
      </c>
      <c r="R11">
        <v>0.31829999999999997</v>
      </c>
      <c r="S11" t="s">
        <v>187</v>
      </c>
    </row>
    <row r="12" spans="1:19" x14ac:dyDescent="0.45">
      <c r="C12">
        <v>0.10273972602739725</v>
      </c>
      <c r="D12">
        <v>0.14672202471222937</v>
      </c>
      <c r="E12" t="s">
        <v>9</v>
      </c>
      <c r="F12" t="s">
        <v>183</v>
      </c>
      <c r="H12" t="s">
        <v>184</v>
      </c>
      <c r="I12" t="s">
        <v>9</v>
      </c>
      <c r="L12" t="s">
        <v>185</v>
      </c>
      <c r="M12" t="s">
        <v>9</v>
      </c>
      <c r="N12">
        <v>9.3183157032511676E-2</v>
      </c>
      <c r="P12">
        <v>2020</v>
      </c>
      <c r="Q12" t="s">
        <v>188</v>
      </c>
      <c r="R12">
        <v>0.20230000000000001</v>
      </c>
      <c r="S12" t="s">
        <v>187</v>
      </c>
    </row>
    <row r="13" spans="1:19" x14ac:dyDescent="0.45">
      <c r="C13">
        <v>6.1643835616438353E-2</v>
      </c>
      <c r="D13">
        <v>5.4297292593789633E-2</v>
      </c>
      <c r="E13" t="s">
        <v>10</v>
      </c>
      <c r="F13" t="s">
        <v>183</v>
      </c>
      <c r="H13" t="s">
        <v>184</v>
      </c>
      <c r="I13" t="s">
        <v>10</v>
      </c>
      <c r="L13" t="s">
        <v>185</v>
      </c>
      <c r="M13" t="s">
        <v>10</v>
      </c>
      <c r="N13">
        <v>0.15881870353437355</v>
      </c>
      <c r="P13">
        <v>2020</v>
      </c>
      <c r="Q13" t="s">
        <v>189</v>
      </c>
      <c r="R13">
        <v>0.14046666666666666</v>
      </c>
      <c r="S13" t="s">
        <v>187</v>
      </c>
    </row>
    <row r="14" spans="1:19" x14ac:dyDescent="0.45">
      <c r="C14">
        <v>8.4018264840182655E-2</v>
      </c>
      <c r="D14">
        <v>4.6568381274395249E-2</v>
      </c>
      <c r="E14" t="s">
        <v>11</v>
      </c>
      <c r="F14" t="s">
        <v>183</v>
      </c>
      <c r="H14" t="s">
        <v>184</v>
      </c>
      <c r="I14" t="s">
        <v>11</v>
      </c>
      <c r="L14" t="s">
        <v>185</v>
      </c>
      <c r="M14" t="s">
        <v>11</v>
      </c>
      <c r="N14">
        <v>0.36246334707551475</v>
      </c>
      <c r="P14">
        <v>2020</v>
      </c>
      <c r="Q14" t="s">
        <v>190</v>
      </c>
      <c r="R14">
        <v>0.23416666666666666</v>
      </c>
      <c r="S14" t="s">
        <v>187</v>
      </c>
    </row>
    <row r="15" spans="1:19" x14ac:dyDescent="0.45">
      <c r="C15">
        <v>0.1050228310502283</v>
      </c>
      <c r="D15">
        <v>0.14998251415027888</v>
      </c>
      <c r="E15" t="s">
        <v>12</v>
      </c>
      <c r="F15" t="s">
        <v>183</v>
      </c>
      <c r="H15" t="s">
        <v>184</v>
      </c>
      <c r="I15" t="s">
        <v>12</v>
      </c>
      <c r="L15" t="s">
        <v>185</v>
      </c>
      <c r="M15" t="s">
        <v>12</v>
      </c>
      <c r="N15">
        <v>0.12723259457231983</v>
      </c>
      <c r="P15">
        <v>2021</v>
      </c>
      <c r="Q15" t="s">
        <v>186</v>
      </c>
      <c r="R15">
        <v>0.21483333333333332</v>
      </c>
      <c r="S15" t="s">
        <v>187</v>
      </c>
    </row>
    <row r="16" spans="1:19" x14ac:dyDescent="0.45">
      <c r="C16">
        <v>6.3013698630136991E-2</v>
      </c>
      <c r="D16">
        <v>5.5503899095873853E-2</v>
      </c>
      <c r="E16" t="s">
        <v>13</v>
      </c>
      <c r="F16" t="s">
        <v>183</v>
      </c>
      <c r="H16" t="s">
        <v>184</v>
      </c>
      <c r="I16" t="s">
        <v>13</v>
      </c>
      <c r="L16" t="s">
        <v>185</v>
      </c>
      <c r="M16" t="s">
        <v>13</v>
      </c>
      <c r="N16">
        <v>0.20698304603065476</v>
      </c>
      <c r="P16">
        <v>2021</v>
      </c>
      <c r="Q16" t="s">
        <v>188</v>
      </c>
      <c r="R16">
        <v>0.18423333333333333</v>
      </c>
      <c r="S16" t="s">
        <v>187</v>
      </c>
    </row>
    <row r="17" spans="3:19" x14ac:dyDescent="0.45">
      <c r="C17">
        <v>8.4018264840182655E-2</v>
      </c>
      <c r="D17">
        <v>4.6568381274395249E-2</v>
      </c>
      <c r="E17" t="s">
        <v>14</v>
      </c>
      <c r="F17" t="s">
        <v>183</v>
      </c>
      <c r="H17" t="s">
        <v>184</v>
      </c>
      <c r="I17" t="s">
        <v>14</v>
      </c>
      <c r="L17" t="s">
        <v>185</v>
      </c>
      <c r="M17" t="s">
        <v>14</v>
      </c>
      <c r="N17">
        <v>0.23142936001540071</v>
      </c>
      <c r="P17">
        <v>2021</v>
      </c>
      <c r="Q17" t="s">
        <v>189</v>
      </c>
      <c r="R17">
        <v>7.2433333333333336E-2</v>
      </c>
      <c r="S17" t="s">
        <v>187</v>
      </c>
    </row>
    <row r="18" spans="3:19" x14ac:dyDescent="0.45">
      <c r="C18">
        <v>0.1050228310502283</v>
      </c>
      <c r="D18">
        <v>0.14998251415027888</v>
      </c>
      <c r="E18" t="s">
        <v>15</v>
      </c>
      <c r="F18" t="s">
        <v>183</v>
      </c>
      <c r="H18" t="s">
        <v>184</v>
      </c>
      <c r="I18" t="s">
        <v>15</v>
      </c>
      <c r="L18" t="s">
        <v>185</v>
      </c>
      <c r="M18" t="s">
        <v>15</v>
      </c>
      <c r="N18">
        <v>9.0873794118897289E-2</v>
      </c>
      <c r="P18">
        <v>2021</v>
      </c>
      <c r="Q18" t="s">
        <v>190</v>
      </c>
      <c r="R18">
        <v>0.20033333333333334</v>
      </c>
      <c r="S18" t="s">
        <v>187</v>
      </c>
    </row>
    <row r="19" spans="3:19" x14ac:dyDescent="0.45">
      <c r="C19">
        <v>6.3013698630136991E-2</v>
      </c>
      <c r="D19">
        <v>5.5503899095873853E-2</v>
      </c>
      <c r="E19" t="s">
        <v>16</v>
      </c>
      <c r="F19" t="s">
        <v>183</v>
      </c>
      <c r="H19" t="s">
        <v>184</v>
      </c>
      <c r="I19" t="s">
        <v>16</v>
      </c>
      <c r="L19" t="s">
        <v>185</v>
      </c>
      <c r="M19" t="s">
        <v>16</v>
      </c>
      <c r="N19">
        <v>0.11956241628869568</v>
      </c>
      <c r="P19">
        <v>2022</v>
      </c>
      <c r="Q19" t="s">
        <v>186</v>
      </c>
      <c r="R19">
        <v>0.2349</v>
      </c>
      <c r="S19" t="s">
        <v>187</v>
      </c>
    </row>
    <row r="20" spans="3:19" x14ac:dyDescent="0.45">
      <c r="C20">
        <v>8.3105022831050229E-2</v>
      </c>
      <c r="D20">
        <v>4.6062203217064869E-2</v>
      </c>
      <c r="E20" t="s">
        <v>17</v>
      </c>
      <c r="F20" t="s">
        <v>183</v>
      </c>
      <c r="H20" t="s">
        <v>184</v>
      </c>
      <c r="I20" t="s">
        <v>17</v>
      </c>
      <c r="L20" t="s">
        <v>185</v>
      </c>
      <c r="M20" t="s">
        <v>17</v>
      </c>
      <c r="N20">
        <v>0.36666693007870998</v>
      </c>
      <c r="P20">
        <v>2022</v>
      </c>
      <c r="Q20" t="s">
        <v>188</v>
      </c>
      <c r="R20">
        <v>0.16093333333333334</v>
      </c>
      <c r="S20" t="s">
        <v>187</v>
      </c>
    </row>
    <row r="21" spans="3:19" x14ac:dyDescent="0.45">
      <c r="C21">
        <v>0.10388127853881278</v>
      </c>
      <c r="D21">
        <v>0.14835226943125412</v>
      </c>
      <c r="E21" t="s">
        <v>18</v>
      </c>
      <c r="F21" t="s">
        <v>183</v>
      </c>
      <c r="H21" t="s">
        <v>184</v>
      </c>
      <c r="I21" t="s">
        <v>18</v>
      </c>
      <c r="L21" t="s">
        <v>185</v>
      </c>
      <c r="M21" t="s">
        <v>18</v>
      </c>
      <c r="N21">
        <v>0.18435776096720669</v>
      </c>
      <c r="P21">
        <v>2022</v>
      </c>
      <c r="Q21" t="s">
        <v>189</v>
      </c>
      <c r="R21">
        <v>0.10766666666666667</v>
      </c>
      <c r="S21" t="s">
        <v>187</v>
      </c>
    </row>
    <row r="22" spans="3:19" x14ac:dyDescent="0.45">
      <c r="C22">
        <v>6.2328767123287672E-2</v>
      </c>
      <c r="D22">
        <v>5.4900595844831736E-2</v>
      </c>
      <c r="E22" t="s">
        <v>19</v>
      </c>
      <c r="F22" t="s">
        <v>183</v>
      </c>
      <c r="H22" t="s">
        <v>184</v>
      </c>
      <c r="I22" t="s">
        <v>19</v>
      </c>
      <c r="L22" t="s">
        <v>185</v>
      </c>
      <c r="M22" t="s">
        <v>19</v>
      </c>
      <c r="N22">
        <v>0.23665167194360004</v>
      </c>
      <c r="P22">
        <v>2022</v>
      </c>
      <c r="Q22" t="s">
        <v>190</v>
      </c>
      <c r="R22">
        <v>0.1961333333333333</v>
      </c>
      <c r="S22" t="s">
        <v>187</v>
      </c>
    </row>
    <row r="23" spans="3:19" x14ac:dyDescent="0.45">
      <c r="H23" t="s">
        <v>191</v>
      </c>
      <c r="I23" t="s">
        <v>5</v>
      </c>
      <c r="P23">
        <v>2025</v>
      </c>
      <c r="Q23" t="s">
        <v>186</v>
      </c>
      <c r="R23">
        <v>0.44616666666666666</v>
      </c>
      <c r="S23" t="s">
        <v>187</v>
      </c>
    </row>
    <row r="24" spans="3:19" x14ac:dyDescent="0.45">
      <c r="H24" t="s">
        <v>191</v>
      </c>
      <c r="I24" t="s">
        <v>9</v>
      </c>
      <c r="P24">
        <v>2025</v>
      </c>
      <c r="Q24" t="s">
        <v>188</v>
      </c>
      <c r="R24">
        <v>0.34959999999999997</v>
      </c>
      <c r="S24" t="s">
        <v>187</v>
      </c>
    </row>
    <row r="25" spans="3:19" x14ac:dyDescent="0.45">
      <c r="H25" t="s">
        <v>191</v>
      </c>
      <c r="I25" t="s">
        <v>10</v>
      </c>
      <c r="P25">
        <v>2025</v>
      </c>
      <c r="Q25" t="s">
        <v>189</v>
      </c>
      <c r="R25">
        <v>0.22736666666666669</v>
      </c>
      <c r="S25" t="s">
        <v>187</v>
      </c>
    </row>
    <row r="26" spans="3:19" x14ac:dyDescent="0.45">
      <c r="H26" t="s">
        <v>191</v>
      </c>
      <c r="I26" t="s">
        <v>11</v>
      </c>
      <c r="P26">
        <v>2025</v>
      </c>
      <c r="Q26" t="s">
        <v>190</v>
      </c>
      <c r="R26">
        <v>0.31419999999999998</v>
      </c>
      <c r="S26" t="s">
        <v>187</v>
      </c>
    </row>
    <row r="27" spans="3:19" x14ac:dyDescent="0.45">
      <c r="H27" t="s">
        <v>191</v>
      </c>
      <c r="I27" t="s">
        <v>12</v>
      </c>
      <c r="P27">
        <v>2026</v>
      </c>
      <c r="Q27" t="s">
        <v>186</v>
      </c>
      <c r="R27">
        <v>0.46543333333333337</v>
      </c>
      <c r="S27" t="s">
        <v>187</v>
      </c>
    </row>
    <row r="28" spans="3:19" x14ac:dyDescent="0.45">
      <c r="H28" t="s">
        <v>191</v>
      </c>
      <c r="I28" t="s">
        <v>13</v>
      </c>
      <c r="P28">
        <v>2026</v>
      </c>
      <c r="Q28" t="s">
        <v>188</v>
      </c>
      <c r="R28">
        <v>0.33889999999999998</v>
      </c>
      <c r="S28" t="s">
        <v>187</v>
      </c>
    </row>
    <row r="29" spans="3:19" x14ac:dyDescent="0.45">
      <c r="H29" t="s">
        <v>191</v>
      </c>
      <c r="I29" t="s">
        <v>14</v>
      </c>
      <c r="P29">
        <v>2026</v>
      </c>
      <c r="Q29" t="s">
        <v>189</v>
      </c>
      <c r="R29">
        <v>0.18806666666666669</v>
      </c>
      <c r="S29" t="s">
        <v>187</v>
      </c>
    </row>
    <row r="30" spans="3:19" x14ac:dyDescent="0.45">
      <c r="H30" t="s">
        <v>191</v>
      </c>
      <c r="I30" t="s">
        <v>15</v>
      </c>
      <c r="P30">
        <v>2026</v>
      </c>
      <c r="Q30" t="s">
        <v>190</v>
      </c>
      <c r="R30">
        <v>0.32076666666666664</v>
      </c>
      <c r="S30" t="s">
        <v>187</v>
      </c>
    </row>
    <row r="31" spans="3:19" x14ac:dyDescent="0.45">
      <c r="H31" t="s">
        <v>191</v>
      </c>
      <c r="I31" t="s">
        <v>16</v>
      </c>
      <c r="P31">
        <v>2027</v>
      </c>
      <c r="Q31" t="s">
        <v>186</v>
      </c>
      <c r="R31">
        <v>0.46616666666666667</v>
      </c>
      <c r="S31" t="s">
        <v>187</v>
      </c>
    </row>
    <row r="32" spans="3:19" x14ac:dyDescent="0.45">
      <c r="H32" t="s">
        <v>191</v>
      </c>
      <c r="I32" t="s">
        <v>17</v>
      </c>
      <c r="P32">
        <v>2027</v>
      </c>
      <c r="Q32" t="s">
        <v>188</v>
      </c>
      <c r="R32">
        <v>0.2591</v>
      </c>
      <c r="S32" t="s">
        <v>187</v>
      </c>
    </row>
    <row r="33" spans="8:19" x14ac:dyDescent="0.45">
      <c r="H33" t="s">
        <v>191</v>
      </c>
      <c r="I33" t="s">
        <v>18</v>
      </c>
      <c r="P33">
        <v>2027</v>
      </c>
      <c r="Q33" t="s">
        <v>189</v>
      </c>
      <c r="R33">
        <v>0.25046666666666667</v>
      </c>
      <c r="S33" t="s">
        <v>187</v>
      </c>
    </row>
    <row r="34" spans="8:19" x14ac:dyDescent="0.45">
      <c r="H34" t="s">
        <v>191</v>
      </c>
      <c r="I34" t="s">
        <v>19</v>
      </c>
      <c r="P34">
        <v>2027</v>
      </c>
      <c r="Q34" t="s">
        <v>190</v>
      </c>
      <c r="R34">
        <v>0.37133333333333335</v>
      </c>
      <c r="S34" t="s">
        <v>187</v>
      </c>
    </row>
    <row r="35" spans="8:19" x14ac:dyDescent="0.45">
      <c r="P35">
        <v>2028</v>
      </c>
      <c r="Q35" t="s">
        <v>186</v>
      </c>
      <c r="R35">
        <v>0.48456666666666665</v>
      </c>
      <c r="S35" t="s">
        <v>187</v>
      </c>
    </row>
    <row r="36" spans="8:19" x14ac:dyDescent="0.45">
      <c r="P36">
        <v>2028</v>
      </c>
      <c r="Q36" t="s">
        <v>188</v>
      </c>
      <c r="R36">
        <v>0.29560000000000003</v>
      </c>
      <c r="S36" t="s">
        <v>187</v>
      </c>
    </row>
    <row r="37" spans="8:19" x14ac:dyDescent="0.45">
      <c r="P37">
        <v>2028</v>
      </c>
      <c r="Q37" t="s">
        <v>189</v>
      </c>
      <c r="R37">
        <v>0.18820000000000001</v>
      </c>
      <c r="S37" t="s">
        <v>187</v>
      </c>
    </row>
    <row r="38" spans="8:19" x14ac:dyDescent="0.45">
      <c r="P38">
        <v>2028</v>
      </c>
      <c r="Q38" t="s">
        <v>190</v>
      </c>
      <c r="R38">
        <v>0.35716666666666663</v>
      </c>
      <c r="S38" t="s">
        <v>187</v>
      </c>
    </row>
    <row r="39" spans="8:19" x14ac:dyDescent="0.45">
      <c r="P39">
        <v>2029</v>
      </c>
      <c r="Q39" t="s">
        <v>186</v>
      </c>
      <c r="R39">
        <v>0.4956666666666667</v>
      </c>
      <c r="S39" t="s">
        <v>187</v>
      </c>
    </row>
    <row r="40" spans="8:19" x14ac:dyDescent="0.45">
      <c r="P40">
        <v>2029</v>
      </c>
      <c r="Q40" t="s">
        <v>188</v>
      </c>
      <c r="R40">
        <v>0.30979999999999996</v>
      </c>
      <c r="S40" t="s">
        <v>187</v>
      </c>
    </row>
    <row r="41" spans="8:19" x14ac:dyDescent="0.45">
      <c r="P41">
        <v>2029</v>
      </c>
      <c r="Q41" t="s">
        <v>189</v>
      </c>
      <c r="R41">
        <v>0.16796666666666668</v>
      </c>
      <c r="S41" t="s">
        <v>187</v>
      </c>
    </row>
    <row r="42" spans="8:19" x14ac:dyDescent="0.45">
      <c r="P42">
        <v>2029</v>
      </c>
      <c r="Q42" t="s">
        <v>190</v>
      </c>
      <c r="R42">
        <v>0.36343333333333333</v>
      </c>
      <c r="S42" t="s">
        <v>187</v>
      </c>
    </row>
    <row r="43" spans="8:19" x14ac:dyDescent="0.45">
      <c r="P43">
        <v>2030</v>
      </c>
      <c r="Q43" t="s">
        <v>186</v>
      </c>
      <c r="R43">
        <v>0.48489999999999994</v>
      </c>
      <c r="S43" t="s">
        <v>187</v>
      </c>
    </row>
    <row r="44" spans="8:19" x14ac:dyDescent="0.45">
      <c r="P44">
        <v>2030</v>
      </c>
      <c r="Q44" t="s">
        <v>188</v>
      </c>
      <c r="R44">
        <v>0.35726666666666668</v>
      </c>
      <c r="S44" t="s">
        <v>187</v>
      </c>
    </row>
    <row r="45" spans="8:19" x14ac:dyDescent="0.45">
      <c r="P45">
        <v>2030</v>
      </c>
      <c r="Q45" t="s">
        <v>189</v>
      </c>
      <c r="R45">
        <v>0.20366666666666666</v>
      </c>
      <c r="S45" t="s">
        <v>187</v>
      </c>
    </row>
    <row r="46" spans="8:19" x14ac:dyDescent="0.45">
      <c r="P46">
        <v>2030</v>
      </c>
      <c r="Q46" t="s">
        <v>190</v>
      </c>
      <c r="R46">
        <v>0.39660000000000001</v>
      </c>
      <c r="S46" t="s">
        <v>187</v>
      </c>
    </row>
    <row r="47" spans="8:19" x14ac:dyDescent="0.45">
      <c r="P47">
        <v>2031</v>
      </c>
      <c r="Q47" t="s">
        <v>186</v>
      </c>
      <c r="R47">
        <v>0.41360000000000002</v>
      </c>
      <c r="S47" t="s">
        <v>187</v>
      </c>
    </row>
    <row r="48" spans="8:19" x14ac:dyDescent="0.45">
      <c r="P48">
        <v>2031</v>
      </c>
      <c r="Q48" t="s">
        <v>188</v>
      </c>
      <c r="R48">
        <v>0.28076666666666666</v>
      </c>
      <c r="S48" t="s">
        <v>187</v>
      </c>
    </row>
    <row r="49" spans="16:19" x14ac:dyDescent="0.45">
      <c r="P49">
        <v>2031</v>
      </c>
      <c r="Q49" t="s">
        <v>189</v>
      </c>
      <c r="R49">
        <v>0.18770000000000001</v>
      </c>
      <c r="S49" t="s">
        <v>187</v>
      </c>
    </row>
    <row r="50" spans="16:19" x14ac:dyDescent="0.45">
      <c r="P50">
        <v>2031</v>
      </c>
      <c r="Q50" t="s">
        <v>190</v>
      </c>
      <c r="R50">
        <v>0.32346666666666668</v>
      </c>
      <c r="S50" t="s">
        <v>187</v>
      </c>
    </row>
    <row r="51" spans="16:19" x14ac:dyDescent="0.45">
      <c r="P51">
        <v>2032</v>
      </c>
      <c r="Q51" t="s">
        <v>186</v>
      </c>
      <c r="R51">
        <v>0.40599999999999997</v>
      </c>
      <c r="S51" t="s">
        <v>187</v>
      </c>
    </row>
    <row r="52" spans="16:19" x14ac:dyDescent="0.45">
      <c r="P52">
        <v>2032</v>
      </c>
      <c r="Q52" t="s">
        <v>188</v>
      </c>
      <c r="R52">
        <v>0.22276666666666667</v>
      </c>
      <c r="S52" t="s">
        <v>187</v>
      </c>
    </row>
    <row r="53" spans="16:19" x14ac:dyDescent="0.45">
      <c r="P53">
        <v>2032</v>
      </c>
      <c r="Q53" t="s">
        <v>189</v>
      </c>
      <c r="R53">
        <v>0.18836666666666668</v>
      </c>
      <c r="S53" t="s">
        <v>187</v>
      </c>
    </row>
    <row r="54" spans="16:19" x14ac:dyDescent="0.45">
      <c r="P54">
        <v>2032</v>
      </c>
      <c r="Q54" t="s">
        <v>190</v>
      </c>
      <c r="R54">
        <v>0.31570000000000004</v>
      </c>
      <c r="S54" t="s">
        <v>187</v>
      </c>
    </row>
    <row r="55" spans="16:19" x14ac:dyDescent="0.45">
      <c r="P55">
        <v>2033</v>
      </c>
      <c r="Q55" t="s">
        <v>186</v>
      </c>
      <c r="R55">
        <v>0.3318666666666667</v>
      </c>
      <c r="S55" t="s">
        <v>187</v>
      </c>
    </row>
    <row r="56" spans="16:19" x14ac:dyDescent="0.45">
      <c r="P56">
        <v>2033</v>
      </c>
      <c r="Q56" t="s">
        <v>188</v>
      </c>
      <c r="R56">
        <v>0.19993333333333332</v>
      </c>
      <c r="S56" t="s">
        <v>187</v>
      </c>
    </row>
    <row r="57" spans="16:19" x14ac:dyDescent="0.45">
      <c r="P57">
        <v>2033</v>
      </c>
      <c r="Q57" t="s">
        <v>189</v>
      </c>
      <c r="R57">
        <v>0.13639999999999999</v>
      </c>
      <c r="S57" t="s">
        <v>187</v>
      </c>
    </row>
    <row r="58" spans="16:19" x14ac:dyDescent="0.45">
      <c r="P58">
        <v>2033</v>
      </c>
      <c r="Q58" t="s">
        <v>190</v>
      </c>
      <c r="R58">
        <v>0.29836666666666672</v>
      </c>
      <c r="S58" t="s">
        <v>187</v>
      </c>
    </row>
    <row r="59" spans="16:19" x14ac:dyDescent="0.45">
      <c r="P59">
        <v>2034</v>
      </c>
      <c r="Q59" t="s">
        <v>186</v>
      </c>
      <c r="R59">
        <v>0.39840000000000003</v>
      </c>
      <c r="S59" t="s">
        <v>187</v>
      </c>
    </row>
    <row r="60" spans="16:19" x14ac:dyDescent="0.45">
      <c r="P60">
        <v>2034</v>
      </c>
      <c r="Q60" t="s">
        <v>188</v>
      </c>
      <c r="R60">
        <v>0.25580000000000003</v>
      </c>
      <c r="S60" t="s">
        <v>187</v>
      </c>
    </row>
    <row r="61" spans="16:19" x14ac:dyDescent="0.45">
      <c r="P61">
        <v>2034</v>
      </c>
      <c r="Q61" t="s">
        <v>189</v>
      </c>
      <c r="R61">
        <v>0.13743333333333332</v>
      </c>
      <c r="S61" t="s">
        <v>187</v>
      </c>
    </row>
    <row r="62" spans="16:19" x14ac:dyDescent="0.45">
      <c r="P62">
        <v>2034</v>
      </c>
      <c r="Q62" t="s">
        <v>190</v>
      </c>
      <c r="R62">
        <v>0.27073333333333333</v>
      </c>
      <c r="S62" t="s">
        <v>187</v>
      </c>
    </row>
    <row r="63" spans="16:19" x14ac:dyDescent="0.45">
      <c r="P63">
        <v>2035</v>
      </c>
      <c r="Q63" t="s">
        <v>186</v>
      </c>
      <c r="R63">
        <v>0.40686666666666671</v>
      </c>
      <c r="S63" t="s">
        <v>187</v>
      </c>
    </row>
    <row r="64" spans="16:19" x14ac:dyDescent="0.45">
      <c r="P64">
        <v>2035</v>
      </c>
      <c r="Q64" t="s">
        <v>188</v>
      </c>
      <c r="R64">
        <v>0.2044</v>
      </c>
      <c r="S64" t="s">
        <v>187</v>
      </c>
    </row>
    <row r="65" spans="16:19" x14ac:dyDescent="0.45">
      <c r="P65">
        <v>2035</v>
      </c>
      <c r="Q65" t="s">
        <v>189</v>
      </c>
      <c r="R65">
        <v>0.17936666666666667</v>
      </c>
      <c r="S65" t="s">
        <v>187</v>
      </c>
    </row>
    <row r="66" spans="16:19" x14ac:dyDescent="0.45">
      <c r="P66">
        <v>2035</v>
      </c>
      <c r="Q66" t="s">
        <v>190</v>
      </c>
      <c r="R66">
        <v>0.27663333333333334</v>
      </c>
      <c r="S66" t="s">
        <v>187</v>
      </c>
    </row>
    <row r="67" spans="16:19" x14ac:dyDescent="0.45">
      <c r="P67">
        <v>2036</v>
      </c>
      <c r="Q67" t="s">
        <v>186</v>
      </c>
      <c r="R67">
        <v>0.35573333333333329</v>
      </c>
      <c r="S67" t="s">
        <v>187</v>
      </c>
    </row>
    <row r="68" spans="16:19" x14ac:dyDescent="0.45">
      <c r="P68">
        <v>2036</v>
      </c>
      <c r="Q68" t="s">
        <v>188</v>
      </c>
      <c r="R68">
        <v>0.20973333333333333</v>
      </c>
      <c r="S68" t="s">
        <v>187</v>
      </c>
    </row>
    <row r="69" spans="16:19" x14ac:dyDescent="0.45">
      <c r="P69">
        <v>2036</v>
      </c>
      <c r="Q69" t="s">
        <v>189</v>
      </c>
      <c r="R69">
        <v>0.21096666666666666</v>
      </c>
      <c r="S69" t="s">
        <v>187</v>
      </c>
    </row>
    <row r="70" spans="16:19" x14ac:dyDescent="0.45">
      <c r="P70">
        <v>2036</v>
      </c>
      <c r="Q70" t="s">
        <v>190</v>
      </c>
      <c r="R70">
        <v>0.34016666666666673</v>
      </c>
      <c r="S70" t="s">
        <v>187</v>
      </c>
    </row>
    <row r="71" spans="16:19" x14ac:dyDescent="0.45">
      <c r="P71">
        <v>2037</v>
      </c>
      <c r="Q71" t="s">
        <v>186</v>
      </c>
      <c r="R71">
        <v>0.34559999999999996</v>
      </c>
      <c r="S71" t="s">
        <v>187</v>
      </c>
    </row>
    <row r="72" spans="16:19" x14ac:dyDescent="0.45">
      <c r="P72">
        <v>2037</v>
      </c>
      <c r="Q72" t="s">
        <v>188</v>
      </c>
      <c r="R72">
        <v>0.2109</v>
      </c>
      <c r="S72" t="s">
        <v>187</v>
      </c>
    </row>
    <row r="73" spans="16:19" x14ac:dyDescent="0.45">
      <c r="P73">
        <v>2037</v>
      </c>
      <c r="Q73" t="s">
        <v>189</v>
      </c>
      <c r="R73">
        <v>0.16183333333333336</v>
      </c>
      <c r="S73" t="s">
        <v>187</v>
      </c>
    </row>
    <row r="74" spans="16:19" x14ac:dyDescent="0.45">
      <c r="P74">
        <v>2037</v>
      </c>
      <c r="Q74" t="s">
        <v>190</v>
      </c>
      <c r="R74">
        <v>0.22196666666666665</v>
      </c>
      <c r="S74" t="s">
        <v>187</v>
      </c>
    </row>
    <row r="75" spans="16:19" x14ac:dyDescent="0.45">
      <c r="P75">
        <v>2038</v>
      </c>
      <c r="Q75" t="s">
        <v>186</v>
      </c>
      <c r="R75">
        <v>0.42173333333333335</v>
      </c>
      <c r="S75" t="s">
        <v>187</v>
      </c>
    </row>
    <row r="76" spans="16:19" x14ac:dyDescent="0.45">
      <c r="P76">
        <v>2038</v>
      </c>
      <c r="Q76" t="s">
        <v>188</v>
      </c>
      <c r="R76">
        <v>0.27389999999999998</v>
      </c>
      <c r="S76" t="s">
        <v>187</v>
      </c>
    </row>
    <row r="77" spans="16:19" x14ac:dyDescent="0.45">
      <c r="P77">
        <v>2038</v>
      </c>
      <c r="Q77" t="s">
        <v>189</v>
      </c>
      <c r="R77">
        <v>0.15846666666666667</v>
      </c>
      <c r="S77" t="s">
        <v>187</v>
      </c>
    </row>
    <row r="78" spans="16:19" x14ac:dyDescent="0.45">
      <c r="P78">
        <v>2038</v>
      </c>
      <c r="Q78" t="s">
        <v>190</v>
      </c>
      <c r="R78">
        <v>0.25323333333333337</v>
      </c>
      <c r="S78" t="s">
        <v>187</v>
      </c>
    </row>
    <row r="79" spans="16:19" x14ac:dyDescent="0.45">
      <c r="P79">
        <v>2039</v>
      </c>
      <c r="Q79" t="s">
        <v>186</v>
      </c>
      <c r="R79">
        <v>0.3681666666666667</v>
      </c>
      <c r="S79" t="s">
        <v>187</v>
      </c>
    </row>
    <row r="80" spans="16:19" x14ac:dyDescent="0.45">
      <c r="P80">
        <v>2039</v>
      </c>
      <c r="Q80" t="s">
        <v>188</v>
      </c>
      <c r="R80">
        <v>0.17446666666666666</v>
      </c>
      <c r="S80" t="s">
        <v>187</v>
      </c>
    </row>
    <row r="81" spans="16:19" x14ac:dyDescent="0.45">
      <c r="P81">
        <v>2039</v>
      </c>
      <c r="Q81" t="s">
        <v>189</v>
      </c>
      <c r="R81">
        <v>0.16873333333333332</v>
      </c>
      <c r="S81" t="s">
        <v>187</v>
      </c>
    </row>
    <row r="82" spans="16:19" x14ac:dyDescent="0.45">
      <c r="P82">
        <v>2039</v>
      </c>
      <c r="Q82" t="s">
        <v>190</v>
      </c>
      <c r="R82">
        <v>0.27656666666666668</v>
      </c>
      <c r="S82" t="s">
        <v>187</v>
      </c>
    </row>
    <row r="83" spans="16:19" x14ac:dyDescent="0.45">
      <c r="P83">
        <v>2040</v>
      </c>
      <c r="Q83" t="s">
        <v>186</v>
      </c>
      <c r="R83">
        <v>0.34093333333333331</v>
      </c>
      <c r="S83" t="s">
        <v>187</v>
      </c>
    </row>
    <row r="84" spans="16:19" x14ac:dyDescent="0.45">
      <c r="P84">
        <v>2040</v>
      </c>
      <c r="Q84" t="s">
        <v>188</v>
      </c>
      <c r="R84">
        <v>0.19736666666666666</v>
      </c>
      <c r="S84" t="s">
        <v>187</v>
      </c>
    </row>
    <row r="85" spans="16:19" x14ac:dyDescent="0.45">
      <c r="P85">
        <v>2040</v>
      </c>
      <c r="Q85" t="s">
        <v>189</v>
      </c>
      <c r="R85">
        <v>0.16566666666666668</v>
      </c>
      <c r="S85" t="s">
        <v>187</v>
      </c>
    </row>
    <row r="86" spans="16:19" x14ac:dyDescent="0.45">
      <c r="P86">
        <v>2040</v>
      </c>
      <c r="Q86" t="s">
        <v>190</v>
      </c>
      <c r="R86">
        <v>0.28623333333333334</v>
      </c>
      <c r="S86" t="s">
        <v>187</v>
      </c>
    </row>
    <row r="87" spans="16:19" x14ac:dyDescent="0.45">
      <c r="P87">
        <v>2041</v>
      </c>
      <c r="Q87" t="s">
        <v>186</v>
      </c>
      <c r="R87">
        <v>0.42363333333333331</v>
      </c>
      <c r="S87" t="s">
        <v>187</v>
      </c>
    </row>
    <row r="88" spans="16:19" x14ac:dyDescent="0.45">
      <c r="P88">
        <v>2041</v>
      </c>
      <c r="Q88" t="s">
        <v>188</v>
      </c>
      <c r="R88">
        <v>0.25426666666666664</v>
      </c>
      <c r="S88" t="s">
        <v>187</v>
      </c>
    </row>
    <row r="89" spans="16:19" x14ac:dyDescent="0.45">
      <c r="P89">
        <v>2041</v>
      </c>
      <c r="Q89" t="s">
        <v>189</v>
      </c>
      <c r="R89">
        <v>0.21049999999999999</v>
      </c>
      <c r="S89" t="s">
        <v>187</v>
      </c>
    </row>
    <row r="90" spans="16:19" x14ac:dyDescent="0.45">
      <c r="P90">
        <v>2041</v>
      </c>
      <c r="Q90" t="s">
        <v>190</v>
      </c>
      <c r="R90">
        <v>0.32973333333333327</v>
      </c>
      <c r="S90" t="s">
        <v>187</v>
      </c>
    </row>
    <row r="91" spans="16:19" x14ac:dyDescent="0.45">
      <c r="P91">
        <v>2042</v>
      </c>
      <c r="Q91" t="s">
        <v>186</v>
      </c>
      <c r="R91">
        <v>0.4463333333333333</v>
      </c>
      <c r="S91" t="s">
        <v>187</v>
      </c>
    </row>
    <row r="92" spans="16:19" x14ac:dyDescent="0.45">
      <c r="P92">
        <v>2042</v>
      </c>
      <c r="Q92" t="s">
        <v>188</v>
      </c>
      <c r="R92">
        <v>0.27553333333333335</v>
      </c>
      <c r="S92" t="s">
        <v>187</v>
      </c>
    </row>
    <row r="93" spans="16:19" x14ac:dyDescent="0.45">
      <c r="P93">
        <v>2042</v>
      </c>
      <c r="Q93" t="s">
        <v>189</v>
      </c>
      <c r="R93">
        <v>0.17826666666666668</v>
      </c>
      <c r="S93" t="s">
        <v>187</v>
      </c>
    </row>
    <row r="94" spans="16:19" x14ac:dyDescent="0.45">
      <c r="P94">
        <v>2042</v>
      </c>
      <c r="Q94" t="s">
        <v>190</v>
      </c>
      <c r="R94">
        <v>0.33363333333333328</v>
      </c>
      <c r="S94" t="s">
        <v>187</v>
      </c>
    </row>
    <row r="95" spans="16:19" x14ac:dyDescent="0.45">
      <c r="P95">
        <v>2043</v>
      </c>
      <c r="Q95" t="s">
        <v>186</v>
      </c>
      <c r="R95">
        <v>0.44593333333333335</v>
      </c>
      <c r="S95" t="s">
        <v>187</v>
      </c>
    </row>
    <row r="96" spans="16:19" x14ac:dyDescent="0.45">
      <c r="P96">
        <v>2043</v>
      </c>
      <c r="Q96" t="s">
        <v>188</v>
      </c>
      <c r="R96">
        <v>0.26879999999999998</v>
      </c>
      <c r="S96" t="s">
        <v>187</v>
      </c>
    </row>
    <row r="97" spans="16:19" x14ac:dyDescent="0.45">
      <c r="P97">
        <v>2043</v>
      </c>
      <c r="Q97" t="s">
        <v>189</v>
      </c>
      <c r="R97">
        <v>0.20633333333333334</v>
      </c>
      <c r="S97" t="s">
        <v>187</v>
      </c>
    </row>
    <row r="98" spans="16:19" x14ac:dyDescent="0.45">
      <c r="P98">
        <v>2043</v>
      </c>
      <c r="Q98" t="s">
        <v>190</v>
      </c>
      <c r="R98">
        <v>0.32190000000000002</v>
      </c>
      <c r="S98" t="s">
        <v>187</v>
      </c>
    </row>
    <row r="99" spans="16:19" x14ac:dyDescent="0.45">
      <c r="P99">
        <v>2044</v>
      </c>
      <c r="Q99" t="s">
        <v>186</v>
      </c>
      <c r="R99">
        <v>0.46713333333333334</v>
      </c>
      <c r="S99" t="s">
        <v>187</v>
      </c>
    </row>
    <row r="100" spans="16:19" x14ac:dyDescent="0.45">
      <c r="P100">
        <v>2044</v>
      </c>
      <c r="Q100" t="s">
        <v>188</v>
      </c>
      <c r="R100">
        <v>0.33363333333333339</v>
      </c>
      <c r="S100" t="s">
        <v>187</v>
      </c>
    </row>
    <row r="101" spans="16:19" x14ac:dyDescent="0.45">
      <c r="P101">
        <v>2044</v>
      </c>
      <c r="Q101" t="s">
        <v>189</v>
      </c>
      <c r="R101">
        <v>0.16406666666666667</v>
      </c>
      <c r="S101" t="s">
        <v>187</v>
      </c>
    </row>
    <row r="102" spans="16:19" x14ac:dyDescent="0.45">
      <c r="P102">
        <v>2044</v>
      </c>
      <c r="Q102" t="s">
        <v>190</v>
      </c>
      <c r="R102">
        <v>0.35766666666666663</v>
      </c>
      <c r="S102" t="s">
        <v>187</v>
      </c>
    </row>
    <row r="103" spans="16:19" x14ac:dyDescent="0.45">
      <c r="P103">
        <v>2045</v>
      </c>
      <c r="Q103" t="s">
        <v>186</v>
      </c>
      <c r="R103">
        <v>0.47876666666666673</v>
      </c>
      <c r="S103" t="s">
        <v>187</v>
      </c>
    </row>
    <row r="104" spans="16:19" x14ac:dyDescent="0.45">
      <c r="P104">
        <v>2045</v>
      </c>
      <c r="Q104" t="s">
        <v>188</v>
      </c>
      <c r="R104">
        <v>0.35499999999999998</v>
      </c>
      <c r="S104" t="s">
        <v>187</v>
      </c>
    </row>
    <row r="105" spans="16:19" x14ac:dyDescent="0.45">
      <c r="P105">
        <v>2045</v>
      </c>
      <c r="Q105" t="s">
        <v>189</v>
      </c>
      <c r="R105">
        <v>0.17576666666666665</v>
      </c>
      <c r="S105" t="s">
        <v>187</v>
      </c>
    </row>
    <row r="106" spans="16:19" x14ac:dyDescent="0.45">
      <c r="P106">
        <v>2045</v>
      </c>
      <c r="Q106" t="s">
        <v>190</v>
      </c>
      <c r="R106">
        <v>0.36703333333333332</v>
      </c>
      <c r="S106" t="s">
        <v>187</v>
      </c>
    </row>
    <row r="107" spans="16:19" x14ac:dyDescent="0.45">
      <c r="P107">
        <v>2046</v>
      </c>
      <c r="Q107" t="s">
        <v>186</v>
      </c>
      <c r="R107">
        <v>0.4017</v>
      </c>
      <c r="S107" t="s">
        <v>187</v>
      </c>
    </row>
    <row r="108" spans="16:19" x14ac:dyDescent="0.45">
      <c r="P108">
        <v>2046</v>
      </c>
      <c r="Q108" t="s">
        <v>188</v>
      </c>
      <c r="R108">
        <v>0.17300000000000001</v>
      </c>
      <c r="S108" t="s">
        <v>187</v>
      </c>
    </row>
    <row r="109" spans="16:19" x14ac:dyDescent="0.45">
      <c r="P109">
        <v>2046</v>
      </c>
      <c r="Q109" t="s">
        <v>189</v>
      </c>
      <c r="R109">
        <v>0.12866666666666668</v>
      </c>
      <c r="S109" t="s">
        <v>187</v>
      </c>
    </row>
    <row r="110" spans="16:19" x14ac:dyDescent="0.45">
      <c r="P110">
        <v>2046</v>
      </c>
      <c r="Q110" t="s">
        <v>190</v>
      </c>
      <c r="R110">
        <v>0.26300000000000001</v>
      </c>
      <c r="S110" t="s">
        <v>187</v>
      </c>
    </row>
    <row r="111" spans="16:19" x14ac:dyDescent="0.45">
      <c r="P111">
        <v>2047</v>
      </c>
      <c r="Q111" t="s">
        <v>186</v>
      </c>
      <c r="R111">
        <v>0.45989999999999998</v>
      </c>
      <c r="S111" t="s">
        <v>187</v>
      </c>
    </row>
    <row r="112" spans="16:19" x14ac:dyDescent="0.45">
      <c r="P112">
        <v>2047</v>
      </c>
      <c r="Q112" t="s">
        <v>188</v>
      </c>
      <c r="R112">
        <v>0.2659333333333333</v>
      </c>
      <c r="S112" t="s">
        <v>187</v>
      </c>
    </row>
    <row r="113" spans="16:19" x14ac:dyDescent="0.45">
      <c r="P113">
        <v>2047</v>
      </c>
      <c r="Q113" t="s">
        <v>189</v>
      </c>
      <c r="R113">
        <v>0.18060000000000001</v>
      </c>
      <c r="S113" t="s">
        <v>187</v>
      </c>
    </row>
    <row r="114" spans="16:19" x14ac:dyDescent="0.45">
      <c r="P114">
        <v>2047</v>
      </c>
      <c r="Q114" t="s">
        <v>190</v>
      </c>
      <c r="R114">
        <v>0.32306666666666667</v>
      </c>
      <c r="S114" t="s">
        <v>187</v>
      </c>
    </row>
    <row r="115" spans="16:19" x14ac:dyDescent="0.45">
      <c r="P115">
        <v>2048</v>
      </c>
      <c r="Q115" t="s">
        <v>186</v>
      </c>
      <c r="R115">
        <v>0.40523333333333333</v>
      </c>
      <c r="S115" t="s">
        <v>187</v>
      </c>
    </row>
    <row r="116" spans="16:19" x14ac:dyDescent="0.45">
      <c r="P116">
        <v>2048</v>
      </c>
      <c r="Q116" t="s">
        <v>188</v>
      </c>
      <c r="R116">
        <v>0.29409999999999997</v>
      </c>
      <c r="S116" t="s">
        <v>187</v>
      </c>
    </row>
    <row r="117" spans="16:19" x14ac:dyDescent="0.45">
      <c r="P117">
        <v>2048</v>
      </c>
      <c r="Q117" t="s">
        <v>189</v>
      </c>
      <c r="R117">
        <v>0.19243333333333335</v>
      </c>
      <c r="S117" t="s">
        <v>187</v>
      </c>
    </row>
    <row r="118" spans="16:19" x14ac:dyDescent="0.45">
      <c r="P118">
        <v>2048</v>
      </c>
      <c r="Q118" t="s">
        <v>190</v>
      </c>
      <c r="R118">
        <v>0.29696666666666666</v>
      </c>
      <c r="S118" t="s">
        <v>187</v>
      </c>
    </row>
    <row r="119" spans="16:19" x14ac:dyDescent="0.45">
      <c r="P119">
        <v>2049</v>
      </c>
      <c r="Q119" t="s">
        <v>186</v>
      </c>
      <c r="R119">
        <v>0.42746666666666666</v>
      </c>
      <c r="S119" t="s">
        <v>187</v>
      </c>
    </row>
    <row r="120" spans="16:19" x14ac:dyDescent="0.45">
      <c r="P120">
        <v>2049</v>
      </c>
      <c r="Q120" t="s">
        <v>188</v>
      </c>
      <c r="R120">
        <v>0.30656666666666671</v>
      </c>
      <c r="S120" t="s">
        <v>187</v>
      </c>
    </row>
    <row r="121" spans="16:19" x14ac:dyDescent="0.45">
      <c r="P121">
        <v>2049</v>
      </c>
      <c r="Q121" t="s">
        <v>189</v>
      </c>
      <c r="R121">
        <v>0.11843333333333333</v>
      </c>
      <c r="S121" t="s">
        <v>187</v>
      </c>
    </row>
    <row r="122" spans="16:19" x14ac:dyDescent="0.45">
      <c r="P122">
        <v>2049</v>
      </c>
      <c r="Q122" t="s">
        <v>190</v>
      </c>
      <c r="R122">
        <v>0.26919999999999999</v>
      </c>
      <c r="S122" t="s">
        <v>187</v>
      </c>
    </row>
    <row r="123" spans="16:19" x14ac:dyDescent="0.45">
      <c r="P123">
        <v>2050</v>
      </c>
      <c r="Q123" t="s">
        <v>186</v>
      </c>
      <c r="R123">
        <v>0.40840000000000004</v>
      </c>
      <c r="S123" t="s">
        <v>187</v>
      </c>
    </row>
    <row r="124" spans="16:19" x14ac:dyDescent="0.45">
      <c r="P124">
        <v>2050</v>
      </c>
      <c r="Q124" t="s">
        <v>188</v>
      </c>
      <c r="R124">
        <v>0.27373333333333333</v>
      </c>
      <c r="S124" t="s">
        <v>187</v>
      </c>
    </row>
    <row r="125" spans="16:19" x14ac:dyDescent="0.45">
      <c r="P125">
        <v>2050</v>
      </c>
      <c r="Q125" t="s">
        <v>189</v>
      </c>
      <c r="R125">
        <v>0.18489999999999998</v>
      </c>
      <c r="S125" t="s">
        <v>187</v>
      </c>
    </row>
    <row r="126" spans="16:19" x14ac:dyDescent="0.45">
      <c r="P126">
        <v>2050</v>
      </c>
      <c r="Q126" t="s">
        <v>190</v>
      </c>
      <c r="R126">
        <v>0.25993333333333335</v>
      </c>
      <c r="S126" t="s">
        <v>187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51947-4182-4A2D-9678-C17F6ADA382C}">
  <dimension ref="B9:O130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region=NLD")</f>
        <v>~TFM_DINS-AT: region=NLD</v>
      </c>
      <c r="G9" t="str">
        <f>IF(A11="x","DeActivated","~TFM_DINS-AT: region=NLD")</f>
        <v>~TFM_DINS-AT: region=NLD</v>
      </c>
      <c r="L9" t="str">
        <f>IF(A11="x","DeActivated","~TFM_DINS-AT: region=NLD")</f>
        <v>~TFM_DINS-AT: region=NLD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384</v>
      </c>
      <c r="C11" t="s">
        <v>5</v>
      </c>
      <c r="D11">
        <v>0</v>
      </c>
      <c r="E11" t="s">
        <v>6</v>
      </c>
      <c r="G11" t="s">
        <v>385</v>
      </c>
      <c r="H11" t="s">
        <v>5</v>
      </c>
      <c r="I11">
        <v>0.11387146589718258</v>
      </c>
      <c r="J11" t="s">
        <v>6</v>
      </c>
      <c r="L11" t="s">
        <v>386</v>
      </c>
      <c r="M11" t="s">
        <v>5</v>
      </c>
      <c r="N11">
        <v>9.617948235417198E-2</v>
      </c>
      <c r="O11" t="s">
        <v>6</v>
      </c>
    </row>
    <row r="12" spans="2:15" x14ac:dyDescent="0.45">
      <c r="B12" t="s">
        <v>384</v>
      </c>
      <c r="C12" t="s">
        <v>9</v>
      </c>
      <c r="D12">
        <v>0.11340833857490064</v>
      </c>
      <c r="E12" t="s">
        <v>6</v>
      </c>
      <c r="G12" t="s">
        <v>385</v>
      </c>
      <c r="H12" t="s">
        <v>9</v>
      </c>
      <c r="I12">
        <v>0.12985408095645137</v>
      </c>
      <c r="J12" t="s">
        <v>6</v>
      </c>
      <c r="L12" t="s">
        <v>386</v>
      </c>
      <c r="M12" t="s">
        <v>9</v>
      </c>
      <c r="N12">
        <v>0.11499575206421725</v>
      </c>
      <c r="O12" t="s">
        <v>6</v>
      </c>
    </row>
    <row r="13" spans="2:15" x14ac:dyDescent="0.45">
      <c r="B13" t="s">
        <v>384</v>
      </c>
      <c r="C13" t="s">
        <v>10</v>
      </c>
      <c r="D13">
        <v>4.3539931967028595E-4</v>
      </c>
      <c r="E13" t="s">
        <v>6</v>
      </c>
      <c r="G13" t="s">
        <v>385</v>
      </c>
      <c r="H13" t="s">
        <v>10</v>
      </c>
      <c r="I13">
        <v>8.4286370718328493E-2</v>
      </c>
      <c r="J13" t="s">
        <v>6</v>
      </c>
      <c r="L13" t="s">
        <v>386</v>
      </c>
      <c r="M13" t="s">
        <v>10</v>
      </c>
      <c r="N13">
        <v>7.3994290886606182E-2</v>
      </c>
      <c r="O13" t="s">
        <v>6</v>
      </c>
    </row>
    <row r="14" spans="2:15" x14ac:dyDescent="0.45">
      <c r="B14" t="s">
        <v>384</v>
      </c>
      <c r="C14" t="s">
        <v>11</v>
      </c>
      <c r="D14">
        <v>2.0946770612223454E-3</v>
      </c>
      <c r="E14" t="s">
        <v>6</v>
      </c>
      <c r="G14" t="s">
        <v>385</v>
      </c>
      <c r="H14" t="s">
        <v>11</v>
      </c>
      <c r="I14">
        <v>8.2409155360212524E-2</v>
      </c>
      <c r="J14" t="s">
        <v>6</v>
      </c>
      <c r="L14" t="s">
        <v>386</v>
      </c>
      <c r="M14" t="s">
        <v>11</v>
      </c>
      <c r="N14">
        <v>8.6066726200381805E-2</v>
      </c>
      <c r="O14" t="s">
        <v>6</v>
      </c>
    </row>
    <row r="15" spans="2:15" x14ac:dyDescent="0.45">
      <c r="B15" t="s">
        <v>384</v>
      </c>
      <c r="C15" t="s">
        <v>12</v>
      </c>
      <c r="D15">
        <v>0.31414093391669329</v>
      </c>
      <c r="E15" t="s">
        <v>6</v>
      </c>
      <c r="G15" t="s">
        <v>385</v>
      </c>
      <c r="H15" t="s">
        <v>12</v>
      </c>
      <c r="I15">
        <v>9.6415889830324147E-2</v>
      </c>
      <c r="J15" t="s">
        <v>6</v>
      </c>
      <c r="L15" t="s">
        <v>386</v>
      </c>
      <c r="M15" t="s">
        <v>12</v>
      </c>
      <c r="N15">
        <v>0.10731155362628474</v>
      </c>
      <c r="O15" t="s">
        <v>6</v>
      </c>
    </row>
    <row r="16" spans="2:15" x14ac:dyDescent="0.45">
      <c r="B16" t="s">
        <v>384</v>
      </c>
      <c r="C16" t="s">
        <v>13</v>
      </c>
      <c r="D16">
        <v>1.5706643875186062E-2</v>
      </c>
      <c r="E16" t="s">
        <v>6</v>
      </c>
      <c r="G16" t="s">
        <v>385</v>
      </c>
      <c r="H16" t="s">
        <v>13</v>
      </c>
      <c r="I16">
        <v>6.320536234205211E-2</v>
      </c>
      <c r="J16" t="s">
        <v>6</v>
      </c>
      <c r="L16" t="s">
        <v>386</v>
      </c>
      <c r="M16" t="s">
        <v>13</v>
      </c>
      <c r="N16">
        <v>6.9255649925386895E-2</v>
      </c>
      <c r="O16" t="s">
        <v>6</v>
      </c>
    </row>
    <row r="17" spans="2:15" x14ac:dyDescent="0.45">
      <c r="B17" t="s">
        <v>384</v>
      </c>
      <c r="C17" t="s">
        <v>14</v>
      </c>
      <c r="D17">
        <v>4.5386659992243256E-3</v>
      </c>
      <c r="E17" t="s">
        <v>6</v>
      </c>
      <c r="G17" t="s">
        <v>385</v>
      </c>
      <c r="H17" t="s">
        <v>14</v>
      </c>
      <c r="I17">
        <v>5.7933132950663269E-2</v>
      </c>
      <c r="J17" t="s">
        <v>6</v>
      </c>
      <c r="L17" t="s">
        <v>386</v>
      </c>
      <c r="M17" t="s">
        <v>14</v>
      </c>
      <c r="N17">
        <v>6.426211660981955E-2</v>
      </c>
      <c r="O17" t="s">
        <v>6</v>
      </c>
    </row>
    <row r="18" spans="2:15" x14ac:dyDescent="0.45">
      <c r="B18" t="s">
        <v>384</v>
      </c>
      <c r="C18" t="s">
        <v>15</v>
      </c>
      <c r="D18">
        <v>0.34114889468933723</v>
      </c>
      <c r="E18" t="s">
        <v>6</v>
      </c>
      <c r="G18" t="s">
        <v>385</v>
      </c>
      <c r="H18" t="s">
        <v>15</v>
      </c>
      <c r="I18">
        <v>5.8757085922230189E-2</v>
      </c>
      <c r="J18" t="s">
        <v>6</v>
      </c>
      <c r="L18" t="s">
        <v>386</v>
      </c>
      <c r="M18" t="s">
        <v>15</v>
      </c>
      <c r="N18">
        <v>7.2034938583000516E-2</v>
      </c>
      <c r="O18" t="s">
        <v>6</v>
      </c>
    </row>
    <row r="19" spans="2:15" x14ac:dyDescent="0.45">
      <c r="B19" t="s">
        <v>384</v>
      </c>
      <c r="C19" t="s">
        <v>16</v>
      </c>
      <c r="D19">
        <v>2.574142028469097E-2</v>
      </c>
      <c r="E19" t="s">
        <v>6</v>
      </c>
      <c r="G19" t="s">
        <v>385</v>
      </c>
      <c r="H19" t="s">
        <v>16</v>
      </c>
      <c r="I19">
        <v>4.3865785420440125E-2</v>
      </c>
      <c r="J19" t="s">
        <v>6</v>
      </c>
      <c r="L19" t="s">
        <v>386</v>
      </c>
      <c r="M19" t="s">
        <v>16</v>
      </c>
      <c r="N19">
        <v>4.87581303543159E-2</v>
      </c>
      <c r="O19" t="s">
        <v>6</v>
      </c>
    </row>
    <row r="20" spans="2:15" x14ac:dyDescent="0.45">
      <c r="B20" t="s">
        <v>384</v>
      </c>
      <c r="C20" t="s">
        <v>17</v>
      </c>
      <c r="D20">
        <v>5.9352914885557778E-5</v>
      </c>
      <c r="E20" t="s">
        <v>6</v>
      </c>
      <c r="G20" t="s">
        <v>385</v>
      </c>
      <c r="H20" t="s">
        <v>17</v>
      </c>
      <c r="I20">
        <v>9.2353153797036722E-2</v>
      </c>
      <c r="J20" t="s">
        <v>6</v>
      </c>
      <c r="L20" t="s">
        <v>386</v>
      </c>
      <c r="M20" t="s">
        <v>17</v>
      </c>
      <c r="N20">
        <v>8.8523566664209977E-2</v>
      </c>
      <c r="O20" t="s">
        <v>6</v>
      </c>
    </row>
    <row r="21" spans="2:15" x14ac:dyDescent="0.45">
      <c r="B21" t="s">
        <v>384</v>
      </c>
      <c r="C21" t="s">
        <v>18</v>
      </c>
      <c r="D21">
        <v>0.18008124225749719</v>
      </c>
      <c r="E21" t="s">
        <v>6</v>
      </c>
      <c r="G21" t="s">
        <v>385</v>
      </c>
      <c r="H21" t="s">
        <v>18</v>
      </c>
      <c r="I21">
        <v>0.10474318024884249</v>
      </c>
      <c r="J21" t="s">
        <v>6</v>
      </c>
      <c r="L21" t="s">
        <v>386</v>
      </c>
      <c r="M21" t="s">
        <v>18</v>
      </c>
      <c r="N21">
        <v>0.11041544128741358</v>
      </c>
      <c r="O21" t="s">
        <v>6</v>
      </c>
    </row>
    <row r="22" spans="2:15" x14ac:dyDescent="0.45">
      <c r="B22" t="s">
        <v>384</v>
      </c>
      <c r="C22" t="s">
        <v>19</v>
      </c>
      <c r="D22">
        <v>2.6444311066946627E-3</v>
      </c>
      <c r="E22" t="s">
        <v>6</v>
      </c>
      <c r="G22" t="s">
        <v>385</v>
      </c>
      <c r="H22" t="s">
        <v>19</v>
      </c>
      <c r="I22">
        <v>7.2305336556232752E-2</v>
      </c>
      <c r="J22" t="s">
        <v>6</v>
      </c>
      <c r="L22" t="s">
        <v>386</v>
      </c>
      <c r="M22" t="s">
        <v>19</v>
      </c>
      <c r="N22">
        <v>6.8202351444191622E-2</v>
      </c>
      <c r="O22" t="s">
        <v>6</v>
      </c>
    </row>
    <row r="23" spans="2:15" x14ac:dyDescent="0.45">
      <c r="B23" t="s">
        <v>387</v>
      </c>
      <c r="C23" t="s">
        <v>5</v>
      </c>
      <c r="D23">
        <v>0</v>
      </c>
      <c r="E23" t="s">
        <v>6</v>
      </c>
      <c r="G23" t="s">
        <v>388</v>
      </c>
      <c r="H23" t="s">
        <v>5</v>
      </c>
      <c r="I23">
        <v>0.11726646558841236</v>
      </c>
      <c r="J23" t="s">
        <v>6</v>
      </c>
      <c r="L23" t="s">
        <v>389</v>
      </c>
      <c r="M23" t="s">
        <v>5</v>
      </c>
      <c r="N23">
        <v>9.4625125284254513E-2</v>
      </c>
      <c r="O23" t="s">
        <v>6</v>
      </c>
    </row>
    <row r="24" spans="2:15" x14ac:dyDescent="0.45">
      <c r="B24" t="s">
        <v>387</v>
      </c>
      <c r="C24" t="s">
        <v>9</v>
      </c>
      <c r="D24">
        <v>0.10835351517507678</v>
      </c>
      <c r="E24" t="s">
        <v>6</v>
      </c>
      <c r="G24" t="s">
        <v>388</v>
      </c>
      <c r="H24" t="s">
        <v>9</v>
      </c>
      <c r="I24">
        <v>0.13170453042569652</v>
      </c>
      <c r="J24" t="s">
        <v>6</v>
      </c>
      <c r="L24" t="s">
        <v>389</v>
      </c>
      <c r="M24" t="s">
        <v>9</v>
      </c>
      <c r="N24">
        <v>0.11732769977563821</v>
      </c>
      <c r="O24" t="s">
        <v>6</v>
      </c>
    </row>
    <row r="25" spans="2:15" x14ac:dyDescent="0.45">
      <c r="B25" t="s">
        <v>387</v>
      </c>
      <c r="C25" t="s">
        <v>10</v>
      </c>
      <c r="D25">
        <v>2.7711929143330895E-4</v>
      </c>
      <c r="E25" t="s">
        <v>6</v>
      </c>
      <c r="G25" t="s">
        <v>388</v>
      </c>
      <c r="H25" t="s">
        <v>10</v>
      </c>
      <c r="I25">
        <v>8.4508544461736904E-2</v>
      </c>
      <c r="J25" t="s">
        <v>6</v>
      </c>
      <c r="L25" t="s">
        <v>389</v>
      </c>
      <c r="M25" t="s">
        <v>10</v>
      </c>
      <c r="N25">
        <v>7.2789589335372315E-2</v>
      </c>
      <c r="O25" t="s">
        <v>6</v>
      </c>
    </row>
    <row r="26" spans="2:15" x14ac:dyDescent="0.45">
      <c r="B26" t="s">
        <v>387</v>
      </c>
      <c r="C26" t="s">
        <v>11</v>
      </c>
      <c r="D26">
        <v>2.7262841087710228E-3</v>
      </c>
      <c r="E26" t="s">
        <v>6</v>
      </c>
      <c r="G26" t="s">
        <v>388</v>
      </c>
      <c r="H26" t="s">
        <v>11</v>
      </c>
      <c r="I26">
        <v>8.1821385070093761E-2</v>
      </c>
      <c r="J26" t="s">
        <v>6</v>
      </c>
      <c r="L26" t="s">
        <v>389</v>
      </c>
      <c r="M26" t="s">
        <v>11</v>
      </c>
      <c r="N26">
        <v>8.5400278348786204E-2</v>
      </c>
      <c r="O26" t="s">
        <v>6</v>
      </c>
    </row>
    <row r="27" spans="2:15" x14ac:dyDescent="0.45">
      <c r="B27" t="s">
        <v>387</v>
      </c>
      <c r="C27" t="s">
        <v>12</v>
      </c>
      <c r="D27">
        <v>0.30893345605476258</v>
      </c>
      <c r="E27" t="s">
        <v>6</v>
      </c>
      <c r="G27" t="s">
        <v>388</v>
      </c>
      <c r="H27" t="s">
        <v>12</v>
      </c>
      <c r="I27">
        <v>9.2131643694120399E-2</v>
      </c>
      <c r="J27" t="s">
        <v>6</v>
      </c>
      <c r="L27" t="s">
        <v>389</v>
      </c>
      <c r="M27" t="s">
        <v>12</v>
      </c>
      <c r="N27">
        <v>0.11033456893198371</v>
      </c>
      <c r="O27" t="s">
        <v>6</v>
      </c>
    </row>
    <row r="28" spans="2:15" x14ac:dyDescent="0.45">
      <c r="B28" t="s">
        <v>387</v>
      </c>
      <c r="C28" t="s">
        <v>13</v>
      </c>
      <c r="D28">
        <v>1.3686067942225894E-2</v>
      </c>
      <c r="E28" t="s">
        <v>6</v>
      </c>
      <c r="G28" t="s">
        <v>388</v>
      </c>
      <c r="H28" t="s">
        <v>13</v>
      </c>
      <c r="I28">
        <v>6.1080297962851207E-2</v>
      </c>
      <c r="J28" t="s">
        <v>6</v>
      </c>
      <c r="L28" t="s">
        <v>389</v>
      </c>
      <c r="M28" t="s">
        <v>13</v>
      </c>
      <c r="N28">
        <v>6.7797299609908948E-2</v>
      </c>
      <c r="O28" t="s">
        <v>6</v>
      </c>
    </row>
    <row r="29" spans="2:15" x14ac:dyDescent="0.45">
      <c r="B29" t="s">
        <v>387</v>
      </c>
      <c r="C29" t="s">
        <v>14</v>
      </c>
      <c r="D29">
        <v>5.8585256828740393E-3</v>
      </c>
      <c r="E29" t="s">
        <v>6</v>
      </c>
      <c r="G29" t="s">
        <v>388</v>
      </c>
      <c r="H29" t="s">
        <v>14</v>
      </c>
      <c r="I29">
        <v>5.8339112121283281E-2</v>
      </c>
      <c r="J29" t="s">
        <v>6</v>
      </c>
      <c r="L29" t="s">
        <v>389</v>
      </c>
      <c r="M29" t="s">
        <v>14</v>
      </c>
      <c r="N29">
        <v>6.2809407355100474E-2</v>
      </c>
      <c r="O29" t="s">
        <v>6</v>
      </c>
    </row>
    <row r="30" spans="2:15" x14ac:dyDescent="0.45">
      <c r="B30" t="s">
        <v>387</v>
      </c>
      <c r="C30" t="s">
        <v>15</v>
      </c>
      <c r="D30">
        <v>0.34859651541809078</v>
      </c>
      <c r="E30" t="s">
        <v>6</v>
      </c>
      <c r="G30" t="s">
        <v>388</v>
      </c>
      <c r="H30" t="s">
        <v>15</v>
      </c>
      <c r="I30">
        <v>5.5900552214493297E-2</v>
      </c>
      <c r="J30" t="s">
        <v>6</v>
      </c>
      <c r="L30" t="s">
        <v>389</v>
      </c>
      <c r="M30" t="s">
        <v>15</v>
      </c>
      <c r="N30">
        <v>7.0522600297325613E-2</v>
      </c>
      <c r="O30" t="s">
        <v>6</v>
      </c>
    </row>
    <row r="31" spans="2:15" x14ac:dyDescent="0.45">
      <c r="B31" t="s">
        <v>387</v>
      </c>
      <c r="C31" t="s">
        <v>16</v>
      </c>
      <c r="D31">
        <v>2.4535562131164611E-2</v>
      </c>
      <c r="E31" t="s">
        <v>6</v>
      </c>
      <c r="G31" t="s">
        <v>388</v>
      </c>
      <c r="H31" t="s">
        <v>16</v>
      </c>
      <c r="I31">
        <v>4.053446402690869E-2</v>
      </c>
      <c r="J31" t="s">
        <v>6</v>
      </c>
      <c r="L31" t="s">
        <v>389</v>
      </c>
      <c r="M31" t="s">
        <v>16</v>
      </c>
      <c r="N31">
        <v>4.2532783184712E-2</v>
      </c>
      <c r="O31" t="s">
        <v>6</v>
      </c>
    </row>
    <row r="32" spans="2:15" x14ac:dyDescent="0.45">
      <c r="B32" t="s">
        <v>387</v>
      </c>
      <c r="C32" t="s">
        <v>17</v>
      </c>
      <c r="D32">
        <v>1.2319855446847049E-4</v>
      </c>
      <c r="E32" t="s">
        <v>6</v>
      </c>
      <c r="G32" t="s">
        <v>388</v>
      </c>
      <c r="H32" t="s">
        <v>17</v>
      </c>
      <c r="I32">
        <v>9.5643021560567879E-2</v>
      </c>
      <c r="J32" t="s">
        <v>6</v>
      </c>
      <c r="L32" t="s">
        <v>389</v>
      </c>
      <c r="M32" t="s">
        <v>17</v>
      </c>
      <c r="N32">
        <v>9.1895022573176374E-2</v>
      </c>
      <c r="O32" t="s">
        <v>6</v>
      </c>
    </row>
    <row r="33" spans="2:15" x14ac:dyDescent="0.45">
      <c r="B33" t="s">
        <v>387</v>
      </c>
      <c r="C33" t="s">
        <v>18</v>
      </c>
      <c r="D33">
        <v>0.1847029137928497</v>
      </c>
      <c r="E33" t="s">
        <v>6</v>
      </c>
      <c r="G33" t="s">
        <v>388</v>
      </c>
      <c r="H33" t="s">
        <v>18</v>
      </c>
      <c r="I33">
        <v>0.10576906154325151</v>
      </c>
      <c r="J33" t="s">
        <v>6</v>
      </c>
      <c r="L33" t="s">
        <v>389</v>
      </c>
      <c r="M33" t="s">
        <v>18</v>
      </c>
      <c r="N33">
        <v>0.11505267131099631</v>
      </c>
      <c r="O33" t="s">
        <v>6</v>
      </c>
    </row>
    <row r="34" spans="2:15" x14ac:dyDescent="0.45">
      <c r="B34" t="s">
        <v>387</v>
      </c>
      <c r="C34" t="s">
        <v>19</v>
      </c>
      <c r="D34">
        <v>2.206841848280558E-3</v>
      </c>
      <c r="E34" t="s">
        <v>6</v>
      </c>
      <c r="G34" t="s">
        <v>388</v>
      </c>
      <c r="H34" t="s">
        <v>19</v>
      </c>
      <c r="I34">
        <v>7.5300921330584039E-2</v>
      </c>
      <c r="J34" t="s">
        <v>6</v>
      </c>
      <c r="L34" t="s">
        <v>389</v>
      </c>
      <c r="M34" t="s">
        <v>19</v>
      </c>
      <c r="N34">
        <v>6.8912953992745302E-2</v>
      </c>
      <c r="O34" t="s">
        <v>6</v>
      </c>
    </row>
    <row r="35" spans="2:15" x14ac:dyDescent="0.45">
      <c r="B35" t="s">
        <v>390</v>
      </c>
      <c r="C35" t="s">
        <v>5</v>
      </c>
      <c r="D35">
        <v>0</v>
      </c>
      <c r="E35" t="s">
        <v>6</v>
      </c>
      <c r="G35" t="s">
        <v>391</v>
      </c>
      <c r="H35" t="s">
        <v>5</v>
      </c>
      <c r="I35">
        <v>0.11294987999731575</v>
      </c>
      <c r="J35" t="s">
        <v>6</v>
      </c>
      <c r="L35" t="s">
        <v>392</v>
      </c>
      <c r="M35" t="s">
        <v>5</v>
      </c>
      <c r="N35">
        <v>9.4791556991647943E-2</v>
      </c>
      <c r="O35" t="s">
        <v>6</v>
      </c>
    </row>
    <row r="36" spans="2:15" x14ac:dyDescent="0.45">
      <c r="B36" t="s">
        <v>390</v>
      </c>
      <c r="C36" t="s">
        <v>9</v>
      </c>
      <c r="D36">
        <v>0.13252038602722696</v>
      </c>
      <c r="E36" t="s">
        <v>6</v>
      </c>
      <c r="G36" t="s">
        <v>391</v>
      </c>
      <c r="H36" t="s">
        <v>9</v>
      </c>
      <c r="I36">
        <v>0.1289643676983257</v>
      </c>
      <c r="J36" t="s">
        <v>6</v>
      </c>
      <c r="L36" t="s">
        <v>392</v>
      </c>
      <c r="M36" t="s">
        <v>9</v>
      </c>
      <c r="N36">
        <v>0.11718760423670491</v>
      </c>
      <c r="O36" t="s">
        <v>6</v>
      </c>
    </row>
    <row r="37" spans="2:15" x14ac:dyDescent="0.45">
      <c r="B37" t="s">
        <v>390</v>
      </c>
      <c r="C37" t="s">
        <v>10</v>
      </c>
      <c r="D37">
        <v>7.031369505120749E-4</v>
      </c>
      <c r="E37" t="s">
        <v>6</v>
      </c>
      <c r="G37" t="s">
        <v>391</v>
      </c>
      <c r="H37" t="s">
        <v>10</v>
      </c>
      <c r="I37">
        <v>8.2877523749249074E-2</v>
      </c>
      <c r="J37" t="s">
        <v>6</v>
      </c>
      <c r="L37" t="s">
        <v>392</v>
      </c>
      <c r="M37" t="s">
        <v>10</v>
      </c>
      <c r="N37">
        <v>7.1695539438901792E-2</v>
      </c>
      <c r="O37" t="s">
        <v>6</v>
      </c>
    </row>
    <row r="38" spans="2:15" x14ac:dyDescent="0.45">
      <c r="B38" t="s">
        <v>390</v>
      </c>
      <c r="C38" t="s">
        <v>11</v>
      </c>
      <c r="D38">
        <v>1.5117656504823526E-3</v>
      </c>
      <c r="E38" t="s">
        <v>6</v>
      </c>
      <c r="G38" t="s">
        <v>391</v>
      </c>
      <c r="H38" t="s">
        <v>11</v>
      </c>
      <c r="I38">
        <v>8.2848154581423958E-2</v>
      </c>
      <c r="J38" t="s">
        <v>6</v>
      </c>
      <c r="L38" t="s">
        <v>392</v>
      </c>
      <c r="M38" t="s">
        <v>11</v>
      </c>
      <c r="N38">
        <v>8.5478807181075298E-2</v>
      </c>
      <c r="O38" t="s">
        <v>6</v>
      </c>
    </row>
    <row r="39" spans="2:15" x14ac:dyDescent="0.45">
      <c r="B39" t="s">
        <v>390</v>
      </c>
      <c r="C39" t="s">
        <v>12</v>
      </c>
      <c r="D39">
        <v>0.29285763257941688</v>
      </c>
      <c r="E39" t="s">
        <v>6</v>
      </c>
      <c r="G39" t="s">
        <v>391</v>
      </c>
      <c r="H39" t="s">
        <v>12</v>
      </c>
      <c r="I39">
        <v>0.1001784380417886</v>
      </c>
      <c r="J39" t="s">
        <v>6</v>
      </c>
      <c r="L39" t="s">
        <v>392</v>
      </c>
      <c r="M39" t="s">
        <v>12</v>
      </c>
      <c r="N39">
        <v>0.11024253626295995</v>
      </c>
      <c r="O39" t="s">
        <v>6</v>
      </c>
    </row>
    <row r="40" spans="2:15" x14ac:dyDescent="0.45">
      <c r="B40" t="s">
        <v>390</v>
      </c>
      <c r="C40" t="s">
        <v>13</v>
      </c>
      <c r="D40">
        <v>1.5890941787909896E-2</v>
      </c>
      <c r="E40" t="s">
        <v>6</v>
      </c>
      <c r="G40" t="s">
        <v>391</v>
      </c>
      <c r="H40" t="s">
        <v>13</v>
      </c>
      <c r="I40">
        <v>6.3372638374043611E-2</v>
      </c>
      <c r="J40" t="s">
        <v>6</v>
      </c>
      <c r="L40" t="s">
        <v>392</v>
      </c>
      <c r="M40" t="s">
        <v>13</v>
      </c>
      <c r="N40">
        <v>6.7314438508610852E-2</v>
      </c>
      <c r="O40" t="s">
        <v>6</v>
      </c>
    </row>
    <row r="41" spans="2:15" x14ac:dyDescent="0.45">
      <c r="B41" t="s">
        <v>390</v>
      </c>
      <c r="C41" t="s">
        <v>14</v>
      </c>
      <c r="D41">
        <v>3.6727253040702611E-3</v>
      </c>
      <c r="E41" t="s">
        <v>6</v>
      </c>
      <c r="G41" t="s">
        <v>391</v>
      </c>
      <c r="H41" t="s">
        <v>14</v>
      </c>
      <c r="I41">
        <v>5.9546757992851862E-2</v>
      </c>
      <c r="J41" t="s">
        <v>6</v>
      </c>
      <c r="L41" t="s">
        <v>392</v>
      </c>
      <c r="M41" t="s">
        <v>14</v>
      </c>
      <c r="N41">
        <v>6.2724126356032001E-2</v>
      </c>
      <c r="O41" t="s">
        <v>6</v>
      </c>
    </row>
    <row r="42" spans="2:15" x14ac:dyDescent="0.45">
      <c r="B42" t="s">
        <v>390</v>
      </c>
      <c r="C42" t="s">
        <v>15</v>
      </c>
      <c r="D42">
        <v>0.33731868348334154</v>
      </c>
      <c r="E42" t="s">
        <v>6</v>
      </c>
      <c r="G42" t="s">
        <v>391</v>
      </c>
      <c r="H42" t="s">
        <v>15</v>
      </c>
      <c r="I42">
        <v>5.7284667088801977E-2</v>
      </c>
      <c r="J42" t="s">
        <v>6</v>
      </c>
      <c r="L42" t="s">
        <v>392</v>
      </c>
      <c r="M42" t="s">
        <v>15</v>
      </c>
      <c r="N42">
        <v>7.0497733851774269E-2</v>
      </c>
      <c r="O42" t="s">
        <v>6</v>
      </c>
    </row>
    <row r="43" spans="2:15" x14ac:dyDescent="0.45">
      <c r="B43" t="s">
        <v>390</v>
      </c>
      <c r="C43" t="s">
        <v>16</v>
      </c>
      <c r="D43">
        <v>2.7562687841596285E-2</v>
      </c>
      <c r="E43" t="s">
        <v>6</v>
      </c>
      <c r="G43" t="s">
        <v>391</v>
      </c>
      <c r="H43" t="s">
        <v>16</v>
      </c>
      <c r="I43">
        <v>4.4611382354968393E-2</v>
      </c>
      <c r="J43" t="s">
        <v>6</v>
      </c>
      <c r="L43" t="s">
        <v>392</v>
      </c>
      <c r="M43" t="s">
        <v>16</v>
      </c>
      <c r="N43">
        <v>4.2238299807628187E-2</v>
      </c>
      <c r="O43" t="s">
        <v>6</v>
      </c>
    </row>
    <row r="44" spans="2:15" x14ac:dyDescent="0.45">
      <c r="B44" t="s">
        <v>390</v>
      </c>
      <c r="C44" t="s">
        <v>17</v>
      </c>
      <c r="D44">
        <v>5.1859109013847976E-5</v>
      </c>
      <c r="E44" t="s">
        <v>6</v>
      </c>
      <c r="G44" t="s">
        <v>391</v>
      </c>
      <c r="H44" t="s">
        <v>17</v>
      </c>
      <c r="I44">
        <v>9.0508911530154681E-2</v>
      </c>
      <c r="J44" t="s">
        <v>6</v>
      </c>
      <c r="L44" t="s">
        <v>392</v>
      </c>
      <c r="M44" t="s">
        <v>17</v>
      </c>
      <c r="N44">
        <v>9.2509057995431992E-2</v>
      </c>
      <c r="O44" t="s">
        <v>6</v>
      </c>
    </row>
    <row r="45" spans="2:15" x14ac:dyDescent="0.45">
      <c r="B45" t="s">
        <v>390</v>
      </c>
      <c r="C45" t="s">
        <v>18</v>
      </c>
      <c r="D45">
        <v>0.18475199203038697</v>
      </c>
      <c r="E45" t="s">
        <v>6</v>
      </c>
      <c r="G45" t="s">
        <v>391</v>
      </c>
      <c r="H45" t="s">
        <v>18</v>
      </c>
      <c r="I45">
        <v>0.1037109772859935</v>
      </c>
      <c r="J45" t="s">
        <v>6</v>
      </c>
      <c r="L45" t="s">
        <v>392</v>
      </c>
      <c r="M45" t="s">
        <v>18</v>
      </c>
      <c r="N45">
        <v>0.11660364735623741</v>
      </c>
      <c r="O45" t="s">
        <v>6</v>
      </c>
    </row>
    <row r="46" spans="2:15" x14ac:dyDescent="0.45">
      <c r="B46" t="s">
        <v>390</v>
      </c>
      <c r="C46" t="s">
        <v>19</v>
      </c>
      <c r="D46">
        <v>3.1581892360431079E-3</v>
      </c>
      <c r="E46" t="s">
        <v>6</v>
      </c>
      <c r="G46" t="s">
        <v>391</v>
      </c>
      <c r="H46" t="s">
        <v>19</v>
      </c>
      <c r="I46">
        <v>7.3146301305081637E-2</v>
      </c>
      <c r="J46" t="s">
        <v>6</v>
      </c>
      <c r="L46" t="s">
        <v>392</v>
      </c>
      <c r="M46" t="s">
        <v>19</v>
      </c>
      <c r="N46">
        <v>6.8716652012995413E-2</v>
      </c>
      <c r="O46" t="s">
        <v>6</v>
      </c>
    </row>
    <row r="47" spans="2:15" x14ac:dyDescent="0.45">
      <c r="B47" t="s">
        <v>393</v>
      </c>
      <c r="C47" t="s">
        <v>5</v>
      </c>
      <c r="D47">
        <v>0</v>
      </c>
      <c r="E47" t="s">
        <v>6</v>
      </c>
      <c r="G47" t="s">
        <v>394</v>
      </c>
      <c r="H47" t="s">
        <v>5</v>
      </c>
      <c r="I47">
        <v>0.10957208530849313</v>
      </c>
      <c r="J47" t="s">
        <v>6</v>
      </c>
      <c r="L47" t="s">
        <v>395</v>
      </c>
      <c r="M47" t="s">
        <v>5</v>
      </c>
      <c r="N47">
        <v>9.4297434869582128E-2</v>
      </c>
      <c r="O47" t="s">
        <v>6</v>
      </c>
    </row>
    <row r="48" spans="2:15" x14ac:dyDescent="0.45">
      <c r="B48" t="s">
        <v>393</v>
      </c>
      <c r="C48" t="s">
        <v>9</v>
      </c>
      <c r="D48">
        <v>0.13329341106264395</v>
      </c>
      <c r="E48" t="s">
        <v>6</v>
      </c>
      <c r="G48" t="s">
        <v>394</v>
      </c>
      <c r="H48" t="s">
        <v>9</v>
      </c>
      <c r="I48">
        <v>0.12637273936110643</v>
      </c>
      <c r="J48" t="s">
        <v>6</v>
      </c>
      <c r="L48" t="s">
        <v>395</v>
      </c>
      <c r="M48" t="s">
        <v>9</v>
      </c>
      <c r="N48">
        <v>0.11751697212487414</v>
      </c>
      <c r="O48" t="s">
        <v>6</v>
      </c>
    </row>
    <row r="49" spans="2:15" x14ac:dyDescent="0.45">
      <c r="B49" t="s">
        <v>393</v>
      </c>
      <c r="C49" t="s">
        <v>10</v>
      </c>
      <c r="D49">
        <v>7.9708698610308929E-4</v>
      </c>
      <c r="E49" t="s">
        <v>6</v>
      </c>
      <c r="G49" t="s">
        <v>394</v>
      </c>
      <c r="H49" t="s">
        <v>10</v>
      </c>
      <c r="I49">
        <v>8.0694021935634852E-2</v>
      </c>
      <c r="J49" t="s">
        <v>6</v>
      </c>
      <c r="L49" t="s">
        <v>395</v>
      </c>
      <c r="M49" t="s">
        <v>10</v>
      </c>
      <c r="N49">
        <v>7.0547904928170369E-2</v>
      </c>
      <c r="O49" t="s">
        <v>6</v>
      </c>
    </row>
    <row r="50" spans="2:15" x14ac:dyDescent="0.45">
      <c r="B50" t="s">
        <v>393</v>
      </c>
      <c r="C50" t="s">
        <v>11</v>
      </c>
      <c r="D50">
        <v>1.5725186059979408E-3</v>
      </c>
      <c r="E50" t="s">
        <v>6</v>
      </c>
      <c r="G50" t="s">
        <v>394</v>
      </c>
      <c r="H50" t="s">
        <v>11</v>
      </c>
      <c r="I50">
        <v>8.624433763598395E-2</v>
      </c>
      <c r="J50" t="s">
        <v>6</v>
      </c>
      <c r="L50" t="s">
        <v>395</v>
      </c>
      <c r="M50" t="s">
        <v>11</v>
      </c>
      <c r="N50">
        <v>8.4681917469392673E-2</v>
      </c>
      <c r="O50" t="s">
        <v>6</v>
      </c>
    </row>
    <row r="51" spans="2:15" x14ac:dyDescent="0.45">
      <c r="B51" t="s">
        <v>393</v>
      </c>
      <c r="C51" t="s">
        <v>12</v>
      </c>
      <c r="D51">
        <v>0.28515840061777936</v>
      </c>
      <c r="E51" t="s">
        <v>6</v>
      </c>
      <c r="G51" t="s">
        <v>394</v>
      </c>
      <c r="H51" t="s">
        <v>12</v>
      </c>
      <c r="I51">
        <v>0.10195232119863434</v>
      </c>
      <c r="J51" t="s">
        <v>6</v>
      </c>
      <c r="L51" t="s">
        <v>395</v>
      </c>
      <c r="M51" t="s">
        <v>12</v>
      </c>
      <c r="N51">
        <v>0.10659129307032544</v>
      </c>
      <c r="O51" t="s">
        <v>6</v>
      </c>
    </row>
    <row r="52" spans="2:15" x14ac:dyDescent="0.45">
      <c r="B52" t="s">
        <v>393</v>
      </c>
      <c r="C52" t="s">
        <v>13</v>
      </c>
      <c r="D52">
        <v>1.5385887537594936E-2</v>
      </c>
      <c r="E52" t="s">
        <v>6</v>
      </c>
      <c r="G52" t="s">
        <v>394</v>
      </c>
      <c r="H52" t="s">
        <v>13</v>
      </c>
      <c r="I52">
        <v>6.2305820879613345E-2</v>
      </c>
      <c r="J52" t="s">
        <v>6</v>
      </c>
      <c r="L52" t="s">
        <v>395</v>
      </c>
      <c r="M52" t="s">
        <v>13</v>
      </c>
      <c r="N52">
        <v>6.731062175118542E-2</v>
      </c>
      <c r="O52" t="s">
        <v>6</v>
      </c>
    </row>
    <row r="53" spans="2:15" x14ac:dyDescent="0.45">
      <c r="B53" t="s">
        <v>393</v>
      </c>
      <c r="C53" t="s">
        <v>14</v>
      </c>
      <c r="D53">
        <v>3.7703130172106387E-3</v>
      </c>
      <c r="E53" t="s">
        <v>6</v>
      </c>
      <c r="G53" t="s">
        <v>394</v>
      </c>
      <c r="H53" t="s">
        <v>14</v>
      </c>
      <c r="I53">
        <v>6.1114357058824724E-2</v>
      </c>
      <c r="J53" t="s">
        <v>6</v>
      </c>
      <c r="L53" t="s">
        <v>395</v>
      </c>
      <c r="M53" t="s">
        <v>14</v>
      </c>
      <c r="N53">
        <v>6.448675777988247E-2</v>
      </c>
      <c r="O53" t="s">
        <v>6</v>
      </c>
    </row>
    <row r="54" spans="2:15" x14ac:dyDescent="0.45">
      <c r="B54" t="s">
        <v>393</v>
      </c>
      <c r="C54" t="s">
        <v>15</v>
      </c>
      <c r="D54">
        <v>0.33721262520697226</v>
      </c>
      <c r="E54" t="s">
        <v>6</v>
      </c>
      <c r="G54" t="s">
        <v>394</v>
      </c>
      <c r="H54" t="s">
        <v>15</v>
      </c>
      <c r="I54">
        <v>5.8974178706179589E-2</v>
      </c>
      <c r="J54" t="s">
        <v>6</v>
      </c>
      <c r="L54" t="s">
        <v>395</v>
      </c>
      <c r="M54" t="s">
        <v>15</v>
      </c>
      <c r="N54">
        <v>7.7047181487439928E-2</v>
      </c>
      <c r="O54" t="s">
        <v>6</v>
      </c>
    </row>
    <row r="55" spans="2:15" x14ac:dyDescent="0.45">
      <c r="B55" t="s">
        <v>393</v>
      </c>
      <c r="C55" t="s">
        <v>16</v>
      </c>
      <c r="D55">
        <v>2.7212360883060595E-2</v>
      </c>
      <c r="E55" t="s">
        <v>6</v>
      </c>
      <c r="G55" t="s">
        <v>394</v>
      </c>
      <c r="H55" t="s">
        <v>16</v>
      </c>
      <c r="I55">
        <v>4.5760310514356736E-2</v>
      </c>
      <c r="J55" t="s">
        <v>6</v>
      </c>
      <c r="L55" t="s">
        <v>395</v>
      </c>
      <c r="M55" t="s">
        <v>16</v>
      </c>
      <c r="N55">
        <v>4.4357908309497422E-2</v>
      </c>
      <c r="O55" t="s">
        <v>6</v>
      </c>
    </row>
    <row r="56" spans="2:15" x14ac:dyDescent="0.45">
      <c r="B56" t="s">
        <v>393</v>
      </c>
      <c r="C56" t="s">
        <v>17</v>
      </c>
      <c r="D56">
        <v>4.9749477541825413E-5</v>
      </c>
      <c r="E56" t="s">
        <v>6</v>
      </c>
      <c r="G56" t="s">
        <v>394</v>
      </c>
      <c r="H56" t="s">
        <v>17</v>
      </c>
      <c r="I56">
        <v>8.9130952704113114E-2</v>
      </c>
      <c r="J56" t="s">
        <v>6</v>
      </c>
      <c r="L56" t="s">
        <v>395</v>
      </c>
      <c r="M56" t="s">
        <v>17</v>
      </c>
      <c r="N56">
        <v>9.0762239227191843E-2</v>
      </c>
      <c r="O56" t="s">
        <v>6</v>
      </c>
    </row>
    <row r="57" spans="2:15" x14ac:dyDescent="0.45">
      <c r="B57" t="s">
        <v>393</v>
      </c>
      <c r="C57" t="s">
        <v>18</v>
      </c>
      <c r="D57">
        <v>0.19233745811368899</v>
      </c>
      <c r="E57" t="s">
        <v>6</v>
      </c>
      <c r="G57" t="s">
        <v>394</v>
      </c>
      <c r="H57" t="s">
        <v>18</v>
      </c>
      <c r="I57">
        <v>0.10477345661443835</v>
      </c>
      <c r="J57" t="s">
        <v>6</v>
      </c>
      <c r="L57" t="s">
        <v>395</v>
      </c>
      <c r="M57" t="s">
        <v>18</v>
      </c>
      <c r="N57">
        <v>0.11361379151588948</v>
      </c>
      <c r="O57" t="s">
        <v>6</v>
      </c>
    </row>
    <row r="58" spans="2:15" x14ac:dyDescent="0.45">
      <c r="B58" t="s">
        <v>393</v>
      </c>
      <c r="C58" t="s">
        <v>19</v>
      </c>
      <c r="D58">
        <v>3.2101884914063606E-3</v>
      </c>
      <c r="E58" t="s">
        <v>6</v>
      </c>
      <c r="G58" t="s">
        <v>394</v>
      </c>
      <c r="H58" t="s">
        <v>19</v>
      </c>
      <c r="I58">
        <v>7.3105418082621443E-2</v>
      </c>
      <c r="J58" t="s">
        <v>6</v>
      </c>
      <c r="L58" t="s">
        <v>395</v>
      </c>
      <c r="M58" t="s">
        <v>19</v>
      </c>
      <c r="N58">
        <v>6.8785977466568685E-2</v>
      </c>
      <c r="O58" t="s">
        <v>6</v>
      </c>
    </row>
    <row r="59" spans="2:15" x14ac:dyDescent="0.45">
      <c r="B59" t="s">
        <v>396</v>
      </c>
      <c r="C59" t="s">
        <v>5</v>
      </c>
      <c r="D59">
        <v>0</v>
      </c>
      <c r="E59" t="s">
        <v>6</v>
      </c>
      <c r="G59" t="s">
        <v>397</v>
      </c>
      <c r="H59" t="s">
        <v>5</v>
      </c>
      <c r="I59">
        <v>9.8769345617514132E-2</v>
      </c>
      <c r="J59" t="s">
        <v>6</v>
      </c>
      <c r="L59" t="s">
        <v>398</v>
      </c>
      <c r="M59" t="s">
        <v>5</v>
      </c>
      <c r="N59">
        <v>9.3475749520434873E-2</v>
      </c>
      <c r="O59" t="s">
        <v>6</v>
      </c>
    </row>
    <row r="60" spans="2:15" x14ac:dyDescent="0.45">
      <c r="B60" t="s">
        <v>396</v>
      </c>
      <c r="C60" t="s">
        <v>9</v>
      </c>
      <c r="D60">
        <v>0.13012014193578034</v>
      </c>
      <c r="E60" t="s">
        <v>6</v>
      </c>
      <c r="G60" t="s">
        <v>397</v>
      </c>
      <c r="H60" t="s">
        <v>9</v>
      </c>
      <c r="I60">
        <v>0.12095075222755948</v>
      </c>
      <c r="J60" t="s">
        <v>6</v>
      </c>
      <c r="L60" t="s">
        <v>398</v>
      </c>
      <c r="M60" t="s">
        <v>9</v>
      </c>
      <c r="N60">
        <v>0.11725085939809077</v>
      </c>
      <c r="O60" t="s">
        <v>6</v>
      </c>
    </row>
    <row r="61" spans="2:15" x14ac:dyDescent="0.45">
      <c r="B61" t="s">
        <v>396</v>
      </c>
      <c r="C61" t="s">
        <v>10</v>
      </c>
      <c r="D61">
        <v>4.8410822611957095E-4</v>
      </c>
      <c r="E61" t="s">
        <v>6</v>
      </c>
      <c r="G61" t="s">
        <v>397</v>
      </c>
      <c r="H61" t="s">
        <v>10</v>
      </c>
      <c r="I61">
        <v>7.4710747959811433E-2</v>
      </c>
      <c r="J61" t="s">
        <v>6</v>
      </c>
      <c r="L61" t="s">
        <v>398</v>
      </c>
      <c r="M61" t="s">
        <v>10</v>
      </c>
      <c r="N61">
        <v>7.0304546103539783E-2</v>
      </c>
      <c r="O61" t="s">
        <v>6</v>
      </c>
    </row>
    <row r="62" spans="2:15" x14ac:dyDescent="0.45">
      <c r="B62" t="s">
        <v>396</v>
      </c>
      <c r="C62" t="s">
        <v>11</v>
      </c>
      <c r="D62">
        <v>1.8618644764619025E-3</v>
      </c>
      <c r="E62" t="s">
        <v>6</v>
      </c>
      <c r="G62" t="s">
        <v>397</v>
      </c>
      <c r="H62" t="s">
        <v>11</v>
      </c>
      <c r="I62">
        <v>8.4754514889035112E-2</v>
      </c>
      <c r="J62" t="s">
        <v>6</v>
      </c>
      <c r="L62" t="s">
        <v>398</v>
      </c>
      <c r="M62" t="s">
        <v>11</v>
      </c>
      <c r="N62">
        <v>8.4238306285427292E-2</v>
      </c>
      <c r="O62" t="s">
        <v>6</v>
      </c>
    </row>
    <row r="63" spans="2:15" x14ac:dyDescent="0.45">
      <c r="B63" t="s">
        <v>396</v>
      </c>
      <c r="C63" t="s">
        <v>12</v>
      </c>
      <c r="D63">
        <v>0.29557446038970553</v>
      </c>
      <c r="E63" t="s">
        <v>6</v>
      </c>
      <c r="G63" t="s">
        <v>397</v>
      </c>
      <c r="H63" t="s">
        <v>12</v>
      </c>
      <c r="I63">
        <v>9.9887914932890065E-2</v>
      </c>
      <c r="J63" t="s">
        <v>6</v>
      </c>
      <c r="L63" t="s">
        <v>398</v>
      </c>
      <c r="M63" t="s">
        <v>12</v>
      </c>
      <c r="N63">
        <v>0.10752734122594355</v>
      </c>
      <c r="O63" t="s">
        <v>6</v>
      </c>
    </row>
    <row r="64" spans="2:15" x14ac:dyDescent="0.45">
      <c r="B64" t="s">
        <v>396</v>
      </c>
      <c r="C64" t="s">
        <v>13</v>
      </c>
      <c r="D64">
        <v>1.4329858215744199E-2</v>
      </c>
      <c r="E64" t="s">
        <v>6</v>
      </c>
      <c r="G64" t="s">
        <v>397</v>
      </c>
      <c r="H64" t="s">
        <v>13</v>
      </c>
      <c r="I64">
        <v>6.6035130613571649E-2</v>
      </c>
      <c r="J64" t="s">
        <v>6</v>
      </c>
      <c r="L64" t="s">
        <v>398</v>
      </c>
      <c r="M64" t="s">
        <v>13</v>
      </c>
      <c r="N64">
        <v>6.7588861353358953E-2</v>
      </c>
      <c r="O64" t="s">
        <v>6</v>
      </c>
    </row>
    <row r="65" spans="2:15" x14ac:dyDescent="0.45">
      <c r="B65" t="s">
        <v>396</v>
      </c>
      <c r="C65" t="s">
        <v>14</v>
      </c>
      <c r="D65">
        <v>4.480585163462514E-3</v>
      </c>
      <c r="E65" t="s">
        <v>6</v>
      </c>
      <c r="G65" t="s">
        <v>397</v>
      </c>
      <c r="H65" t="s">
        <v>14</v>
      </c>
      <c r="I65">
        <v>6.2261696064780804E-2</v>
      </c>
      <c r="J65" t="s">
        <v>6</v>
      </c>
      <c r="L65" t="s">
        <v>398</v>
      </c>
      <c r="M65" t="s">
        <v>14</v>
      </c>
      <c r="N65">
        <v>6.3884072481544374E-2</v>
      </c>
      <c r="O65" t="s">
        <v>6</v>
      </c>
    </row>
    <row r="66" spans="2:15" x14ac:dyDescent="0.45">
      <c r="B66" t="s">
        <v>396</v>
      </c>
      <c r="C66" t="s">
        <v>15</v>
      </c>
      <c r="D66">
        <v>0.33435149267627512</v>
      </c>
      <c r="E66" t="s">
        <v>6</v>
      </c>
      <c r="G66" t="s">
        <v>397</v>
      </c>
      <c r="H66" t="s">
        <v>15</v>
      </c>
      <c r="I66">
        <v>7.616301500529668E-2</v>
      </c>
      <c r="J66" t="s">
        <v>6</v>
      </c>
      <c r="L66" t="s">
        <v>398</v>
      </c>
      <c r="M66" t="s">
        <v>15</v>
      </c>
      <c r="N66">
        <v>7.7801030134483237E-2</v>
      </c>
      <c r="O66" t="s">
        <v>6</v>
      </c>
    </row>
    <row r="67" spans="2:15" x14ac:dyDescent="0.45">
      <c r="B67" t="s">
        <v>396</v>
      </c>
      <c r="C67" t="s">
        <v>16</v>
      </c>
      <c r="D67">
        <v>2.5622155838376032E-2</v>
      </c>
      <c r="E67" t="s">
        <v>6</v>
      </c>
      <c r="G67" t="s">
        <v>397</v>
      </c>
      <c r="H67" t="s">
        <v>16</v>
      </c>
      <c r="I67">
        <v>4.7482934541626609E-2</v>
      </c>
      <c r="J67" t="s">
        <v>6</v>
      </c>
      <c r="L67" t="s">
        <v>398</v>
      </c>
      <c r="M67" t="s">
        <v>16</v>
      </c>
      <c r="N67">
        <v>4.4194626592536965E-2</v>
      </c>
      <c r="O67" t="s">
        <v>6</v>
      </c>
    </row>
    <row r="68" spans="2:15" x14ac:dyDescent="0.45">
      <c r="B68" t="s">
        <v>396</v>
      </c>
      <c r="C68" t="s">
        <v>17</v>
      </c>
      <c r="D68">
        <v>6.8710506347044396E-5</v>
      </c>
      <c r="E68" t="s">
        <v>6</v>
      </c>
      <c r="G68" t="s">
        <v>397</v>
      </c>
      <c r="H68" t="s">
        <v>17</v>
      </c>
      <c r="I68">
        <v>9.0061770712834791E-2</v>
      </c>
      <c r="J68" t="s">
        <v>6</v>
      </c>
      <c r="L68" t="s">
        <v>398</v>
      </c>
      <c r="M68" t="s">
        <v>17</v>
      </c>
      <c r="N68">
        <v>9.0988082590555075E-2</v>
      </c>
      <c r="O68" t="s">
        <v>6</v>
      </c>
    </row>
    <row r="69" spans="2:15" x14ac:dyDescent="0.45">
      <c r="B69" t="s">
        <v>396</v>
      </c>
      <c r="C69" t="s">
        <v>18</v>
      </c>
      <c r="D69">
        <v>0.19035031982429734</v>
      </c>
      <c r="E69" t="s">
        <v>6</v>
      </c>
      <c r="G69" t="s">
        <v>397</v>
      </c>
      <c r="H69" t="s">
        <v>18</v>
      </c>
      <c r="I69">
        <v>0.11032342327886616</v>
      </c>
      <c r="J69" t="s">
        <v>6</v>
      </c>
      <c r="L69" t="s">
        <v>398</v>
      </c>
      <c r="M69" t="s">
        <v>18</v>
      </c>
      <c r="N69">
        <v>0.11390724864724991</v>
      </c>
      <c r="O69" t="s">
        <v>6</v>
      </c>
    </row>
    <row r="70" spans="2:15" x14ac:dyDescent="0.45">
      <c r="B70" t="s">
        <v>396</v>
      </c>
      <c r="C70" t="s">
        <v>19</v>
      </c>
      <c r="D70">
        <v>2.7563027474273279E-3</v>
      </c>
      <c r="E70" t="s">
        <v>6</v>
      </c>
      <c r="G70" t="s">
        <v>397</v>
      </c>
      <c r="H70" t="s">
        <v>19</v>
      </c>
      <c r="I70">
        <v>6.8598754156214511E-2</v>
      </c>
      <c r="J70" t="s">
        <v>6</v>
      </c>
      <c r="L70" t="s">
        <v>398</v>
      </c>
      <c r="M70" t="s">
        <v>19</v>
      </c>
      <c r="N70">
        <v>6.8839275666835203E-2</v>
      </c>
      <c r="O70" t="s">
        <v>6</v>
      </c>
    </row>
    <row r="71" spans="2:15" x14ac:dyDescent="0.45">
      <c r="B71" t="s">
        <v>399</v>
      </c>
      <c r="C71" t="s">
        <v>5</v>
      </c>
      <c r="D71">
        <v>0</v>
      </c>
      <c r="E71" t="s">
        <v>6</v>
      </c>
      <c r="G71" t="s">
        <v>400</v>
      </c>
      <c r="H71" t="s">
        <v>5</v>
      </c>
      <c r="I71">
        <v>9.4804504553517591E-2</v>
      </c>
      <c r="J71" t="s">
        <v>6</v>
      </c>
    </row>
    <row r="72" spans="2:15" x14ac:dyDescent="0.45">
      <c r="B72" t="s">
        <v>399</v>
      </c>
      <c r="C72" t="s">
        <v>9</v>
      </c>
      <c r="D72">
        <v>0.12604625085650781</v>
      </c>
      <c r="E72" t="s">
        <v>6</v>
      </c>
      <c r="G72" t="s">
        <v>400</v>
      </c>
      <c r="H72" t="s">
        <v>9</v>
      </c>
      <c r="I72">
        <v>0.11552682827687268</v>
      </c>
      <c r="J72" t="s">
        <v>6</v>
      </c>
    </row>
    <row r="73" spans="2:15" x14ac:dyDescent="0.45">
      <c r="B73" t="s">
        <v>399</v>
      </c>
      <c r="C73" t="s">
        <v>10</v>
      </c>
      <c r="D73">
        <v>4.3594961213993654E-4</v>
      </c>
      <c r="E73" t="s">
        <v>6</v>
      </c>
      <c r="G73" t="s">
        <v>400</v>
      </c>
      <c r="H73" t="s">
        <v>10</v>
      </c>
      <c r="I73">
        <v>7.2031478638039242E-2</v>
      </c>
      <c r="J73" t="s">
        <v>6</v>
      </c>
    </row>
    <row r="74" spans="2:15" x14ac:dyDescent="0.45">
      <c r="B74" t="s">
        <v>399</v>
      </c>
      <c r="C74" t="s">
        <v>11</v>
      </c>
      <c r="D74">
        <v>2.0345999284552604E-3</v>
      </c>
      <c r="E74" t="s">
        <v>6</v>
      </c>
      <c r="G74" t="s">
        <v>400</v>
      </c>
      <c r="H74" t="s">
        <v>11</v>
      </c>
      <c r="I74">
        <v>8.5647591190232394E-2</v>
      </c>
      <c r="J74" t="s">
        <v>6</v>
      </c>
    </row>
    <row r="75" spans="2:15" x14ac:dyDescent="0.45">
      <c r="B75" t="s">
        <v>399</v>
      </c>
      <c r="C75" t="s">
        <v>12</v>
      </c>
      <c r="D75">
        <v>0.29930909527897381</v>
      </c>
      <c r="E75" t="s">
        <v>6</v>
      </c>
      <c r="G75" t="s">
        <v>400</v>
      </c>
      <c r="H75" t="s">
        <v>12</v>
      </c>
      <c r="I75">
        <v>0.10406953216150709</v>
      </c>
      <c r="J75" t="s">
        <v>6</v>
      </c>
    </row>
    <row r="76" spans="2:15" x14ac:dyDescent="0.45">
      <c r="B76" t="s">
        <v>399</v>
      </c>
      <c r="C76" t="s">
        <v>13</v>
      </c>
      <c r="D76">
        <v>1.4822580602086643E-2</v>
      </c>
      <c r="E76" t="s">
        <v>6</v>
      </c>
      <c r="G76" t="s">
        <v>400</v>
      </c>
      <c r="H76" t="s">
        <v>13</v>
      </c>
      <c r="I76">
        <v>6.8933605615984037E-2</v>
      </c>
      <c r="J76" t="s">
        <v>6</v>
      </c>
    </row>
    <row r="77" spans="2:15" x14ac:dyDescent="0.45">
      <c r="B77" t="s">
        <v>399</v>
      </c>
      <c r="C77" t="s">
        <v>14</v>
      </c>
      <c r="D77">
        <v>4.5400998151546726E-3</v>
      </c>
      <c r="E77" t="s">
        <v>6</v>
      </c>
      <c r="G77" t="s">
        <v>400</v>
      </c>
      <c r="H77" t="s">
        <v>14</v>
      </c>
      <c r="I77">
        <v>6.5785592971634249E-2</v>
      </c>
      <c r="J77" t="s">
        <v>6</v>
      </c>
    </row>
    <row r="78" spans="2:15" x14ac:dyDescent="0.45">
      <c r="B78" t="s">
        <v>399</v>
      </c>
      <c r="C78" t="s">
        <v>15</v>
      </c>
      <c r="D78">
        <v>0.33814639543269648</v>
      </c>
      <c r="E78" t="s">
        <v>6</v>
      </c>
      <c r="G78" t="s">
        <v>400</v>
      </c>
      <c r="H78" t="s">
        <v>15</v>
      </c>
      <c r="I78">
        <v>7.8197546624705586E-2</v>
      </c>
      <c r="J78" t="s">
        <v>6</v>
      </c>
    </row>
    <row r="79" spans="2:15" x14ac:dyDescent="0.45">
      <c r="B79" t="s">
        <v>399</v>
      </c>
      <c r="C79" t="s">
        <v>16</v>
      </c>
      <c r="D79">
        <v>2.6134180138029137E-2</v>
      </c>
      <c r="E79" t="s">
        <v>6</v>
      </c>
      <c r="G79" t="s">
        <v>400</v>
      </c>
      <c r="H79" t="s">
        <v>16</v>
      </c>
      <c r="I79">
        <v>4.8753447180133309E-2</v>
      </c>
      <c r="J79" t="s">
        <v>6</v>
      </c>
    </row>
    <row r="80" spans="2:15" x14ac:dyDescent="0.45">
      <c r="B80" t="s">
        <v>399</v>
      </c>
      <c r="C80" t="s">
        <v>17</v>
      </c>
      <c r="D80">
        <v>6.6661267199399844E-5</v>
      </c>
      <c r="E80" t="s">
        <v>6</v>
      </c>
      <c r="G80" t="s">
        <v>400</v>
      </c>
      <c r="H80" t="s">
        <v>17</v>
      </c>
      <c r="I80">
        <v>8.7656093207796743E-2</v>
      </c>
      <c r="J80" t="s">
        <v>6</v>
      </c>
    </row>
    <row r="81" spans="2:10" x14ac:dyDescent="0.45">
      <c r="B81" t="s">
        <v>399</v>
      </c>
      <c r="C81" t="s">
        <v>18</v>
      </c>
      <c r="D81">
        <v>0.18582057130560006</v>
      </c>
      <c r="E81" t="s">
        <v>6</v>
      </c>
      <c r="G81" t="s">
        <v>400</v>
      </c>
      <c r="H81" t="s">
        <v>18</v>
      </c>
      <c r="I81">
        <v>0.11012150199356671</v>
      </c>
      <c r="J81" t="s">
        <v>6</v>
      </c>
    </row>
    <row r="82" spans="2:10" x14ac:dyDescent="0.45">
      <c r="B82" t="s">
        <v>399</v>
      </c>
      <c r="C82" t="s">
        <v>19</v>
      </c>
      <c r="D82">
        <v>2.643615763159547E-3</v>
      </c>
      <c r="E82" t="s">
        <v>6</v>
      </c>
      <c r="G82" t="s">
        <v>400</v>
      </c>
      <c r="H82" t="s">
        <v>19</v>
      </c>
      <c r="I82">
        <v>6.8472277586009683E-2</v>
      </c>
      <c r="J82" t="s">
        <v>6</v>
      </c>
    </row>
    <row r="83" spans="2:10" x14ac:dyDescent="0.45">
      <c r="B83" t="s">
        <v>401</v>
      </c>
      <c r="C83" t="s">
        <v>5</v>
      </c>
      <c r="D83">
        <v>0</v>
      </c>
      <c r="E83" t="s">
        <v>6</v>
      </c>
      <c r="G83" t="s">
        <v>402</v>
      </c>
      <c r="H83" t="s">
        <v>5</v>
      </c>
      <c r="I83">
        <v>0.10069440422800749</v>
      </c>
      <c r="J83" t="s">
        <v>6</v>
      </c>
    </row>
    <row r="84" spans="2:10" x14ac:dyDescent="0.45">
      <c r="B84" t="s">
        <v>401</v>
      </c>
      <c r="C84" t="s">
        <v>9</v>
      </c>
      <c r="D84">
        <v>0.11224490130303701</v>
      </c>
      <c r="E84" t="s">
        <v>6</v>
      </c>
      <c r="G84" t="s">
        <v>402</v>
      </c>
      <c r="H84" t="s">
        <v>9</v>
      </c>
      <c r="I84">
        <v>0.11971199636178555</v>
      </c>
      <c r="J84" t="s">
        <v>6</v>
      </c>
    </row>
    <row r="85" spans="2:10" x14ac:dyDescent="0.45">
      <c r="B85" t="s">
        <v>401</v>
      </c>
      <c r="C85" t="s">
        <v>10</v>
      </c>
      <c r="D85">
        <v>2.539140131893842E-4</v>
      </c>
      <c r="E85" t="s">
        <v>6</v>
      </c>
      <c r="G85" t="s">
        <v>402</v>
      </c>
      <c r="H85" t="s">
        <v>10</v>
      </c>
      <c r="I85">
        <v>7.6977695003182647E-2</v>
      </c>
      <c r="J85" t="s">
        <v>6</v>
      </c>
    </row>
    <row r="86" spans="2:10" x14ac:dyDescent="0.45">
      <c r="B86" t="s">
        <v>401</v>
      </c>
      <c r="C86" t="s">
        <v>11</v>
      </c>
      <c r="D86">
        <v>2.7644518466738155E-3</v>
      </c>
      <c r="E86" t="s">
        <v>6</v>
      </c>
      <c r="G86" t="s">
        <v>402</v>
      </c>
      <c r="H86" t="s">
        <v>11</v>
      </c>
      <c r="I86">
        <v>8.5774474185977126E-2</v>
      </c>
      <c r="J86" t="s">
        <v>6</v>
      </c>
    </row>
    <row r="87" spans="2:10" x14ac:dyDescent="0.45">
      <c r="B87" t="s">
        <v>401</v>
      </c>
      <c r="C87" t="s">
        <v>12</v>
      </c>
      <c r="D87">
        <v>0.30790851704030137</v>
      </c>
      <c r="E87" t="s">
        <v>6</v>
      </c>
      <c r="G87" t="s">
        <v>402</v>
      </c>
      <c r="H87" t="s">
        <v>12</v>
      </c>
      <c r="I87">
        <v>0.1011898231780101</v>
      </c>
      <c r="J87" t="s">
        <v>6</v>
      </c>
    </row>
    <row r="88" spans="2:10" x14ac:dyDescent="0.45">
      <c r="B88" t="s">
        <v>401</v>
      </c>
      <c r="C88" t="s">
        <v>13</v>
      </c>
      <c r="D88">
        <v>1.2859558799628159E-2</v>
      </c>
      <c r="E88" t="s">
        <v>6</v>
      </c>
      <c r="G88" t="s">
        <v>402</v>
      </c>
      <c r="H88" t="s">
        <v>13</v>
      </c>
      <c r="I88">
        <v>6.9152439463656637E-2</v>
      </c>
      <c r="J88" t="s">
        <v>6</v>
      </c>
    </row>
    <row r="89" spans="2:10" x14ac:dyDescent="0.45">
      <c r="B89" t="s">
        <v>401</v>
      </c>
      <c r="C89" t="s">
        <v>14</v>
      </c>
      <c r="D89">
        <v>5.8935669196144447E-3</v>
      </c>
      <c r="E89" t="s">
        <v>6</v>
      </c>
      <c r="G89" t="s">
        <v>402</v>
      </c>
      <c r="H89" t="s">
        <v>14</v>
      </c>
      <c r="I89">
        <v>6.259280962101392E-2</v>
      </c>
      <c r="J89" t="s">
        <v>6</v>
      </c>
    </row>
    <row r="90" spans="2:10" x14ac:dyDescent="0.45">
      <c r="B90" t="s">
        <v>401</v>
      </c>
      <c r="C90" t="s">
        <v>15</v>
      </c>
      <c r="D90">
        <v>0.34519255709761004</v>
      </c>
      <c r="E90" t="s">
        <v>6</v>
      </c>
      <c r="G90" t="s">
        <v>402</v>
      </c>
      <c r="H90" t="s">
        <v>15</v>
      </c>
      <c r="I90">
        <v>7.1834223384150922E-2</v>
      </c>
      <c r="J90" t="s">
        <v>6</v>
      </c>
    </row>
    <row r="91" spans="2:10" x14ac:dyDescent="0.45">
      <c r="B91" t="s">
        <v>401</v>
      </c>
      <c r="C91" t="s">
        <v>16</v>
      </c>
      <c r="D91">
        <v>2.3673729376037528E-2</v>
      </c>
      <c r="E91" t="s">
        <v>6</v>
      </c>
      <c r="G91" t="s">
        <v>402</v>
      </c>
      <c r="H91" t="s">
        <v>16</v>
      </c>
      <c r="I91">
        <v>4.7345115005846122E-2</v>
      </c>
      <c r="J91" t="s">
        <v>6</v>
      </c>
    </row>
    <row r="92" spans="2:10" x14ac:dyDescent="0.45">
      <c r="B92" t="s">
        <v>401</v>
      </c>
      <c r="C92" t="s">
        <v>17</v>
      </c>
      <c r="D92">
        <v>1.3747566574218948E-4</v>
      </c>
      <c r="E92" t="s">
        <v>6</v>
      </c>
      <c r="G92" t="s">
        <v>402</v>
      </c>
      <c r="H92" t="s">
        <v>17</v>
      </c>
      <c r="I92">
        <v>8.6496151747414818E-2</v>
      </c>
      <c r="J92" t="s">
        <v>6</v>
      </c>
    </row>
    <row r="93" spans="2:10" x14ac:dyDescent="0.45">
      <c r="B93" t="s">
        <v>401</v>
      </c>
      <c r="C93" t="s">
        <v>18</v>
      </c>
      <c r="D93">
        <v>0.18709844692189881</v>
      </c>
      <c r="E93" t="s">
        <v>6</v>
      </c>
      <c r="G93" t="s">
        <v>402</v>
      </c>
      <c r="H93" t="s">
        <v>18</v>
      </c>
      <c r="I93">
        <v>0.10895185154163517</v>
      </c>
      <c r="J93" t="s">
        <v>6</v>
      </c>
    </row>
    <row r="94" spans="2:10" x14ac:dyDescent="0.45">
      <c r="B94" t="s">
        <v>401</v>
      </c>
      <c r="C94" t="s">
        <v>19</v>
      </c>
      <c r="D94">
        <v>1.972881016268033E-3</v>
      </c>
      <c r="E94" t="s">
        <v>6</v>
      </c>
      <c r="G94" t="s">
        <v>402</v>
      </c>
      <c r="H94" t="s">
        <v>19</v>
      </c>
      <c r="I94">
        <v>6.9279016279318748E-2</v>
      </c>
      <c r="J94" t="s">
        <v>6</v>
      </c>
    </row>
    <row r="95" spans="2:10" x14ac:dyDescent="0.45">
      <c r="B95" t="s">
        <v>403</v>
      </c>
      <c r="C95" t="s">
        <v>5</v>
      </c>
      <c r="D95">
        <v>0</v>
      </c>
      <c r="E95" t="s">
        <v>6</v>
      </c>
      <c r="G95" t="s">
        <v>404</v>
      </c>
      <c r="H95" t="s">
        <v>5</v>
      </c>
      <c r="I95">
        <v>0.10873651990951078</v>
      </c>
      <c r="J95" t="s">
        <v>6</v>
      </c>
    </row>
    <row r="96" spans="2:10" x14ac:dyDescent="0.45">
      <c r="B96" t="s">
        <v>403</v>
      </c>
      <c r="C96" t="s">
        <v>9</v>
      </c>
      <c r="D96">
        <v>0.11863333551211547</v>
      </c>
      <c r="E96" t="s">
        <v>6</v>
      </c>
      <c r="G96" t="s">
        <v>404</v>
      </c>
      <c r="H96" t="s">
        <v>9</v>
      </c>
      <c r="I96">
        <v>0.12928001837175665</v>
      </c>
      <c r="J96" t="s">
        <v>6</v>
      </c>
    </row>
    <row r="97" spans="2:10" x14ac:dyDescent="0.45">
      <c r="B97" t="s">
        <v>403</v>
      </c>
      <c r="C97" t="s">
        <v>10</v>
      </c>
      <c r="D97">
        <v>3.3647938504201708E-4</v>
      </c>
      <c r="E97" t="s">
        <v>6</v>
      </c>
      <c r="G97" t="s">
        <v>404</v>
      </c>
      <c r="H97" t="s">
        <v>10</v>
      </c>
      <c r="I97">
        <v>8.2059184481067415E-2</v>
      </c>
      <c r="J97" t="s">
        <v>6</v>
      </c>
    </row>
    <row r="98" spans="2:10" x14ac:dyDescent="0.45">
      <c r="B98" t="s">
        <v>403</v>
      </c>
      <c r="C98" t="s">
        <v>11</v>
      </c>
      <c r="D98">
        <v>2.4287180668645819E-3</v>
      </c>
      <c r="E98" t="s">
        <v>6</v>
      </c>
      <c r="G98" t="s">
        <v>404</v>
      </c>
      <c r="H98" t="s">
        <v>11</v>
      </c>
      <c r="I98">
        <v>8.4188756032086989E-2</v>
      </c>
      <c r="J98" t="s">
        <v>6</v>
      </c>
    </row>
    <row r="99" spans="2:10" x14ac:dyDescent="0.45">
      <c r="B99" t="s">
        <v>403</v>
      </c>
      <c r="C99" t="s">
        <v>12</v>
      </c>
      <c r="D99">
        <v>0.30273652326432621</v>
      </c>
      <c r="E99" t="s">
        <v>6</v>
      </c>
      <c r="G99" t="s">
        <v>404</v>
      </c>
      <c r="H99" t="s">
        <v>12</v>
      </c>
      <c r="I99">
        <v>9.6712313284185877E-2</v>
      </c>
      <c r="J99" t="s">
        <v>6</v>
      </c>
    </row>
    <row r="100" spans="2:10" x14ac:dyDescent="0.45">
      <c r="B100" t="s">
        <v>403</v>
      </c>
      <c r="C100" t="s">
        <v>13</v>
      </c>
      <c r="D100">
        <v>1.3607820748660602E-2</v>
      </c>
      <c r="E100" t="s">
        <v>6</v>
      </c>
      <c r="G100" t="s">
        <v>404</v>
      </c>
      <c r="H100" t="s">
        <v>13</v>
      </c>
      <c r="I100">
        <v>6.3457357842961817E-2</v>
      </c>
      <c r="J100" t="s">
        <v>6</v>
      </c>
    </row>
    <row r="101" spans="2:10" x14ac:dyDescent="0.45">
      <c r="B101" t="s">
        <v>403</v>
      </c>
      <c r="C101" t="s">
        <v>14</v>
      </c>
      <c r="D101">
        <v>5.3017963318444002E-3</v>
      </c>
      <c r="E101" t="s">
        <v>6</v>
      </c>
      <c r="G101" t="s">
        <v>404</v>
      </c>
      <c r="H101" t="s">
        <v>14</v>
      </c>
      <c r="I101">
        <v>5.7268274120382684E-2</v>
      </c>
      <c r="J101" t="s">
        <v>6</v>
      </c>
    </row>
    <row r="102" spans="2:10" x14ac:dyDescent="0.45">
      <c r="B102" t="s">
        <v>403</v>
      </c>
      <c r="C102" t="s">
        <v>15</v>
      </c>
      <c r="D102">
        <v>0.34111850964623713</v>
      </c>
      <c r="E102" t="s">
        <v>6</v>
      </c>
      <c r="G102" t="s">
        <v>404</v>
      </c>
      <c r="H102" t="s">
        <v>15</v>
      </c>
      <c r="I102">
        <v>6.592632073180521E-2</v>
      </c>
      <c r="J102" t="s">
        <v>6</v>
      </c>
    </row>
    <row r="103" spans="2:10" x14ac:dyDescent="0.45">
      <c r="B103" t="s">
        <v>403</v>
      </c>
      <c r="C103" t="s">
        <v>16</v>
      </c>
      <c r="D103">
        <v>2.4601113623574807E-2</v>
      </c>
      <c r="E103" t="s">
        <v>6</v>
      </c>
      <c r="G103" t="s">
        <v>404</v>
      </c>
      <c r="H103" t="s">
        <v>16</v>
      </c>
      <c r="I103">
        <v>4.37917755596509E-2</v>
      </c>
      <c r="J103" t="s">
        <v>6</v>
      </c>
    </row>
    <row r="104" spans="2:10" x14ac:dyDescent="0.45">
      <c r="B104" t="s">
        <v>403</v>
      </c>
      <c r="C104" t="s">
        <v>17</v>
      </c>
      <c r="D104">
        <v>9.9973128129151521E-5</v>
      </c>
      <c r="E104" t="s">
        <v>6</v>
      </c>
      <c r="G104" t="s">
        <v>404</v>
      </c>
      <c r="H104" t="s">
        <v>17</v>
      </c>
      <c r="I104">
        <v>9.1251121093368068E-2</v>
      </c>
      <c r="J104" t="s">
        <v>6</v>
      </c>
    </row>
    <row r="105" spans="2:10" x14ac:dyDescent="0.45">
      <c r="B105" t="s">
        <v>403</v>
      </c>
      <c r="C105" t="s">
        <v>18</v>
      </c>
      <c r="D105">
        <v>0.18894649000601033</v>
      </c>
      <c r="E105" t="s">
        <v>6</v>
      </c>
      <c r="G105" t="s">
        <v>404</v>
      </c>
      <c r="H105" t="s">
        <v>18</v>
      </c>
      <c r="I105">
        <v>0.1079064320453921</v>
      </c>
      <c r="J105" t="s">
        <v>6</v>
      </c>
    </row>
    <row r="106" spans="2:10" x14ac:dyDescent="0.45">
      <c r="B106" t="s">
        <v>403</v>
      </c>
      <c r="C106" t="s">
        <v>19</v>
      </c>
      <c r="D106">
        <v>2.1892402871964809E-3</v>
      </c>
      <c r="E106" t="s">
        <v>6</v>
      </c>
      <c r="G106" t="s">
        <v>404</v>
      </c>
      <c r="H106" t="s">
        <v>19</v>
      </c>
      <c r="I106">
        <v>6.942192652782983E-2</v>
      </c>
      <c r="J106" t="s">
        <v>6</v>
      </c>
    </row>
    <row r="107" spans="2:10" x14ac:dyDescent="0.45">
      <c r="B107" t="s">
        <v>405</v>
      </c>
      <c r="C107" t="s">
        <v>5</v>
      </c>
      <c r="D107">
        <v>0</v>
      </c>
      <c r="E107" t="s">
        <v>6</v>
      </c>
      <c r="G107" t="s">
        <v>406</v>
      </c>
      <c r="H107" t="s">
        <v>5</v>
      </c>
      <c r="I107">
        <v>0.10857616708125807</v>
      </c>
      <c r="J107" t="s">
        <v>6</v>
      </c>
    </row>
    <row r="108" spans="2:10" x14ac:dyDescent="0.45">
      <c r="B108" t="s">
        <v>405</v>
      </c>
      <c r="C108" t="s">
        <v>9</v>
      </c>
      <c r="D108">
        <v>0.12220205640307465</v>
      </c>
      <c r="E108" t="s">
        <v>6</v>
      </c>
      <c r="G108" t="s">
        <v>406</v>
      </c>
      <c r="H108" t="s">
        <v>9</v>
      </c>
      <c r="I108">
        <v>0.12582923311010655</v>
      </c>
      <c r="J108" t="s">
        <v>6</v>
      </c>
    </row>
    <row r="109" spans="2:10" x14ac:dyDescent="0.45">
      <c r="B109" t="s">
        <v>405</v>
      </c>
      <c r="C109" t="s">
        <v>10</v>
      </c>
      <c r="D109">
        <v>4.3780387854413442E-4</v>
      </c>
      <c r="E109" t="s">
        <v>6</v>
      </c>
      <c r="G109" t="s">
        <v>406</v>
      </c>
      <c r="H109" t="s">
        <v>10</v>
      </c>
      <c r="I109">
        <v>8.1631292005551276E-2</v>
      </c>
      <c r="J109" t="s">
        <v>6</v>
      </c>
    </row>
    <row r="110" spans="2:10" x14ac:dyDescent="0.45">
      <c r="B110" t="s">
        <v>405</v>
      </c>
      <c r="C110" t="s">
        <v>11</v>
      </c>
      <c r="D110">
        <v>1.9345918308733129E-3</v>
      </c>
      <c r="E110" t="s">
        <v>6</v>
      </c>
      <c r="G110" t="s">
        <v>406</v>
      </c>
      <c r="H110" t="s">
        <v>11</v>
      </c>
      <c r="I110">
        <v>8.4800229575527158E-2</v>
      </c>
      <c r="J110" t="s">
        <v>6</v>
      </c>
    </row>
    <row r="111" spans="2:10" x14ac:dyDescent="0.45">
      <c r="B111" t="s">
        <v>405</v>
      </c>
      <c r="C111" t="s">
        <v>12</v>
      </c>
      <c r="D111">
        <v>0.29675281313933921</v>
      </c>
      <c r="E111" t="s">
        <v>6</v>
      </c>
      <c r="G111" t="s">
        <v>406</v>
      </c>
      <c r="H111" t="s">
        <v>12</v>
      </c>
      <c r="I111">
        <v>9.9593735177452555E-2</v>
      </c>
      <c r="J111" t="s">
        <v>6</v>
      </c>
    </row>
    <row r="112" spans="2:10" x14ac:dyDescent="0.45">
      <c r="B112" t="s">
        <v>405</v>
      </c>
      <c r="C112" t="s">
        <v>13</v>
      </c>
      <c r="D112">
        <v>1.3756696151449983E-2</v>
      </c>
      <c r="E112" t="s">
        <v>6</v>
      </c>
      <c r="G112" t="s">
        <v>406</v>
      </c>
      <c r="H112" t="s">
        <v>13</v>
      </c>
      <c r="I112">
        <v>6.6236987283371823E-2</v>
      </c>
      <c r="J112" t="s">
        <v>6</v>
      </c>
    </row>
    <row r="113" spans="2:10" x14ac:dyDescent="0.45">
      <c r="B113" t="s">
        <v>405</v>
      </c>
      <c r="C113" t="s">
        <v>14</v>
      </c>
      <c r="D113">
        <v>4.7001537847461182E-3</v>
      </c>
      <c r="E113" t="s">
        <v>6</v>
      </c>
      <c r="G113" t="s">
        <v>406</v>
      </c>
      <c r="H113" t="s">
        <v>14</v>
      </c>
      <c r="I113">
        <v>5.9150041276118337E-2</v>
      </c>
      <c r="J113" t="s">
        <v>6</v>
      </c>
    </row>
    <row r="114" spans="2:10" x14ac:dyDescent="0.45">
      <c r="B114" t="s">
        <v>405</v>
      </c>
      <c r="C114" t="s">
        <v>15</v>
      </c>
      <c r="D114">
        <v>0.34154353134487137</v>
      </c>
      <c r="E114" t="s">
        <v>6</v>
      </c>
      <c r="G114" t="s">
        <v>406</v>
      </c>
      <c r="H114" t="s">
        <v>15</v>
      </c>
      <c r="I114">
        <v>6.4007880094837391E-2</v>
      </c>
      <c r="J114" t="s">
        <v>6</v>
      </c>
    </row>
    <row r="115" spans="2:10" x14ac:dyDescent="0.45">
      <c r="B115" t="s">
        <v>405</v>
      </c>
      <c r="C115" t="s">
        <v>16</v>
      </c>
      <c r="D115">
        <v>2.4259884094658898E-2</v>
      </c>
      <c r="E115" t="s">
        <v>6</v>
      </c>
      <c r="G115" t="s">
        <v>406</v>
      </c>
      <c r="H115" t="s">
        <v>16</v>
      </c>
      <c r="I115">
        <v>4.4991622678844469E-2</v>
      </c>
      <c r="J115" t="s">
        <v>6</v>
      </c>
    </row>
    <row r="116" spans="2:10" x14ac:dyDescent="0.45">
      <c r="B116" t="s">
        <v>405</v>
      </c>
      <c r="C116" t="s">
        <v>17</v>
      </c>
      <c r="D116">
        <v>8.1260080078374736E-5</v>
      </c>
      <c r="E116" t="s">
        <v>6</v>
      </c>
      <c r="G116" t="s">
        <v>406</v>
      </c>
      <c r="H116" t="s">
        <v>17</v>
      </c>
      <c r="I116">
        <v>8.76098734234739E-2</v>
      </c>
      <c r="J116" t="s">
        <v>6</v>
      </c>
    </row>
    <row r="117" spans="2:10" x14ac:dyDescent="0.45">
      <c r="B117" t="s">
        <v>405</v>
      </c>
      <c r="C117" t="s">
        <v>18</v>
      </c>
      <c r="D117">
        <v>0.19177526723053129</v>
      </c>
      <c r="E117" t="s">
        <v>6</v>
      </c>
      <c r="G117" t="s">
        <v>406</v>
      </c>
      <c r="H117" t="s">
        <v>18</v>
      </c>
      <c r="I117">
        <v>0.10646721524698707</v>
      </c>
      <c r="J117" t="s">
        <v>6</v>
      </c>
    </row>
    <row r="118" spans="2:10" x14ac:dyDescent="0.45">
      <c r="B118" t="s">
        <v>405</v>
      </c>
      <c r="C118" t="s">
        <v>19</v>
      </c>
      <c r="D118">
        <v>2.5559420618333911E-3</v>
      </c>
      <c r="E118" t="s">
        <v>6</v>
      </c>
      <c r="G118" t="s">
        <v>406</v>
      </c>
      <c r="H118" t="s">
        <v>19</v>
      </c>
      <c r="I118">
        <v>7.1105723046473487E-2</v>
      </c>
      <c r="J118" t="s">
        <v>6</v>
      </c>
    </row>
    <row r="119" spans="2:10" x14ac:dyDescent="0.45">
      <c r="B119" t="s">
        <v>407</v>
      </c>
      <c r="C119" t="s">
        <v>5</v>
      </c>
      <c r="D119">
        <v>0</v>
      </c>
      <c r="E119" t="s">
        <v>6</v>
      </c>
      <c r="G119" t="s">
        <v>408</v>
      </c>
      <c r="H119" t="s">
        <v>5</v>
      </c>
      <c r="I119">
        <v>0.10565963202271342</v>
      </c>
      <c r="J119" t="s">
        <v>6</v>
      </c>
    </row>
    <row r="120" spans="2:10" x14ac:dyDescent="0.45">
      <c r="B120" t="s">
        <v>407</v>
      </c>
      <c r="C120" t="s">
        <v>9</v>
      </c>
      <c r="D120">
        <v>0.12108123246509184</v>
      </c>
      <c r="E120" t="s">
        <v>6</v>
      </c>
      <c r="G120" t="s">
        <v>408</v>
      </c>
      <c r="H120" t="s">
        <v>9</v>
      </c>
      <c r="I120">
        <v>0.12353070919274768</v>
      </c>
      <c r="J120" t="s">
        <v>6</v>
      </c>
    </row>
    <row r="121" spans="2:10" x14ac:dyDescent="0.45">
      <c r="B121" t="s">
        <v>407</v>
      </c>
      <c r="C121" t="s">
        <v>10</v>
      </c>
      <c r="D121">
        <v>3.2479225993662731E-4</v>
      </c>
      <c r="E121" t="s">
        <v>6</v>
      </c>
      <c r="G121" t="s">
        <v>408</v>
      </c>
      <c r="H121" t="s">
        <v>10</v>
      </c>
      <c r="I121">
        <v>7.9636983106843112E-2</v>
      </c>
      <c r="J121" t="s">
        <v>6</v>
      </c>
    </row>
    <row r="122" spans="2:10" x14ac:dyDescent="0.45">
      <c r="B122" t="s">
        <v>407</v>
      </c>
      <c r="C122" t="s">
        <v>11</v>
      </c>
      <c r="D122">
        <v>2.2354860843393897E-3</v>
      </c>
      <c r="E122" t="s">
        <v>6</v>
      </c>
      <c r="G122" t="s">
        <v>408</v>
      </c>
      <c r="H122" t="s">
        <v>11</v>
      </c>
      <c r="I122">
        <v>8.5202530416143535E-2</v>
      </c>
      <c r="J122" t="s">
        <v>6</v>
      </c>
    </row>
    <row r="123" spans="2:10" x14ac:dyDescent="0.45">
      <c r="B123" t="s">
        <v>407</v>
      </c>
      <c r="C123" t="s">
        <v>12</v>
      </c>
      <c r="D123">
        <v>0.30337494721313996</v>
      </c>
      <c r="E123" t="s">
        <v>6</v>
      </c>
      <c r="G123" t="s">
        <v>408</v>
      </c>
      <c r="H123" t="s">
        <v>12</v>
      </c>
      <c r="I123">
        <v>0.10294374635595104</v>
      </c>
      <c r="J123" t="s">
        <v>6</v>
      </c>
    </row>
    <row r="124" spans="2:10" x14ac:dyDescent="0.45">
      <c r="B124" t="s">
        <v>407</v>
      </c>
      <c r="C124" t="s">
        <v>13</v>
      </c>
      <c r="D124">
        <v>1.3307338394002532E-2</v>
      </c>
      <c r="E124" t="s">
        <v>6</v>
      </c>
      <c r="G124" t="s">
        <v>408</v>
      </c>
      <c r="H124" t="s">
        <v>13</v>
      </c>
      <c r="I124">
        <v>6.4952056174010661E-2</v>
      </c>
      <c r="J124" t="s">
        <v>6</v>
      </c>
    </row>
    <row r="125" spans="2:10" x14ac:dyDescent="0.45">
      <c r="B125" t="s">
        <v>407</v>
      </c>
      <c r="C125" t="s">
        <v>14</v>
      </c>
      <c r="D125">
        <v>5.1159685465029534E-3</v>
      </c>
      <c r="E125" t="s">
        <v>6</v>
      </c>
      <c r="G125" t="s">
        <v>408</v>
      </c>
      <c r="H125" t="s">
        <v>14</v>
      </c>
      <c r="I125">
        <v>6.3248304224269497E-2</v>
      </c>
      <c r="J125" t="s">
        <v>6</v>
      </c>
    </row>
    <row r="126" spans="2:10" x14ac:dyDescent="0.45">
      <c r="B126" t="s">
        <v>407</v>
      </c>
      <c r="C126" t="s">
        <v>15</v>
      </c>
      <c r="D126">
        <v>0.33938458955115663</v>
      </c>
      <c r="E126" t="s">
        <v>6</v>
      </c>
      <c r="G126" t="s">
        <v>408</v>
      </c>
      <c r="H126" t="s">
        <v>15</v>
      </c>
      <c r="I126">
        <v>6.424263539021835E-2</v>
      </c>
      <c r="J126" t="s">
        <v>6</v>
      </c>
    </row>
    <row r="127" spans="2:10" x14ac:dyDescent="0.45">
      <c r="B127" t="s">
        <v>407</v>
      </c>
      <c r="C127" t="s">
        <v>16</v>
      </c>
      <c r="D127">
        <v>2.4078176056071144E-2</v>
      </c>
      <c r="E127" t="s">
        <v>6</v>
      </c>
      <c r="G127" t="s">
        <v>408</v>
      </c>
      <c r="H127" t="s">
        <v>16</v>
      </c>
      <c r="I127">
        <v>4.8076295826412582E-2</v>
      </c>
      <c r="J127" t="s">
        <v>6</v>
      </c>
    </row>
    <row r="128" spans="2:10" x14ac:dyDescent="0.45">
      <c r="B128" t="s">
        <v>407</v>
      </c>
      <c r="C128" t="s">
        <v>17</v>
      </c>
      <c r="D128">
        <v>9.9539262090204096E-5</v>
      </c>
      <c r="E128" t="s">
        <v>6</v>
      </c>
      <c r="G128" t="s">
        <v>408</v>
      </c>
      <c r="H128" t="s">
        <v>17</v>
      </c>
      <c r="I128">
        <v>8.7294966719031405E-2</v>
      </c>
      <c r="J128" t="s">
        <v>6</v>
      </c>
    </row>
    <row r="129" spans="2:10" x14ac:dyDescent="0.45">
      <c r="B129" t="s">
        <v>407</v>
      </c>
      <c r="C129" t="s">
        <v>18</v>
      </c>
      <c r="D129">
        <v>0.18881858062369974</v>
      </c>
      <c r="E129" t="s">
        <v>6</v>
      </c>
      <c r="G129" t="s">
        <v>408</v>
      </c>
      <c r="H129" t="s">
        <v>18</v>
      </c>
      <c r="I129">
        <v>0.10491149670459768</v>
      </c>
      <c r="J129" t="s">
        <v>6</v>
      </c>
    </row>
    <row r="130" spans="2:10" x14ac:dyDescent="0.45">
      <c r="B130" t="s">
        <v>407</v>
      </c>
      <c r="C130" t="s">
        <v>19</v>
      </c>
      <c r="D130">
        <v>2.1793495439689694E-3</v>
      </c>
      <c r="E130" t="s">
        <v>6</v>
      </c>
      <c r="G130" t="s">
        <v>408</v>
      </c>
      <c r="H130" t="s">
        <v>19</v>
      </c>
      <c r="I130">
        <v>7.0300643867061044E-2</v>
      </c>
      <c r="J130" t="s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41D2F-55C0-4763-A8A8-9225CEE53916}">
  <dimension ref="B9:BL35"/>
  <sheetViews>
    <sheetView workbookViewId="0"/>
  </sheetViews>
  <sheetFormatPr defaultRowHeight="14.25" x14ac:dyDescent="0.45"/>
  <sheetData>
    <row r="9" spans="2:64" x14ac:dyDescent="0.45">
      <c r="B9" t="str">
        <f>IF(A11="x","DeActivated","~TFM_DINS-TSL: attribute=FLO_EMIS; other_indexes=ACT; region=NLD")</f>
        <v>~TFM_DINS-TSL: attribute=FLO_EMIS; other_indexes=ACT; region=NLD</v>
      </c>
      <c r="Q9" t="str">
        <f>IF(A11="x","DeActivated","~TFM_INS-TSL: attribute=FLO_SHAR; limtype=FX; region=NLD")</f>
        <v>~TFM_INS-TSL: attribute=FLO_SHAR; limtype=FX; region=NLD</v>
      </c>
      <c r="AF9" t="str">
        <f>IF(A11="x","DeActivated","~TFM_INS-TSL: attribute=FLO_SHAR; limtype=FX; region=NLD")</f>
        <v>~TFM_INS-TSL: attribute=FLO_SHAR; limtype=FX; region=NLD</v>
      </c>
      <c r="AU9" t="str">
        <f>IF(A11="x","DeActivated","~TFM_DINS-TSL: attribute=NCAP_PKCNT; region=NLD")</f>
        <v>~TFM_DINS-TSL: attribute=NCAP_PKCNT; region=NLD</v>
      </c>
      <c r="BI9" t="str">
        <f>IF(A11="x","DeActivated","~TFM_DINS-AT: region=NLD")</f>
        <v>~TFM_DINS-AT: region=NLD</v>
      </c>
    </row>
    <row r="10" spans="2:64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Q10" t="s">
        <v>3</v>
      </c>
      <c r="R10" t="s">
        <v>0</v>
      </c>
      <c r="S10" t="s">
        <v>5</v>
      </c>
      <c r="T10" t="s">
        <v>9</v>
      </c>
      <c r="U10" t="s">
        <v>10</v>
      </c>
      <c r="V10" t="s">
        <v>11</v>
      </c>
      <c r="W10" t="s">
        <v>12</v>
      </c>
      <c r="X10" t="s">
        <v>13</v>
      </c>
      <c r="Y10" t="s">
        <v>14</v>
      </c>
      <c r="Z10" t="s">
        <v>15</v>
      </c>
      <c r="AA10" t="s">
        <v>16</v>
      </c>
      <c r="AB10" t="s">
        <v>17</v>
      </c>
      <c r="AC10" t="s">
        <v>18</v>
      </c>
      <c r="AD10" t="s">
        <v>19</v>
      </c>
      <c r="AF10" t="s">
        <v>3</v>
      </c>
      <c r="AG10" t="s">
        <v>0</v>
      </c>
      <c r="AH10" t="s">
        <v>5</v>
      </c>
      <c r="AI10" t="s">
        <v>9</v>
      </c>
      <c r="AJ10" t="s">
        <v>10</v>
      </c>
      <c r="AK10" t="s">
        <v>11</v>
      </c>
      <c r="AL10" t="s">
        <v>12</v>
      </c>
      <c r="AM10" t="s">
        <v>13</v>
      </c>
      <c r="AN10" t="s">
        <v>14</v>
      </c>
      <c r="AO10" t="s">
        <v>15</v>
      </c>
      <c r="AP10" t="s">
        <v>16</v>
      </c>
      <c r="AQ10" t="s">
        <v>17</v>
      </c>
      <c r="AR10" t="s">
        <v>18</v>
      </c>
      <c r="AS10" t="s">
        <v>19</v>
      </c>
      <c r="AU10" t="s">
        <v>3</v>
      </c>
      <c r="AV10" t="s">
        <v>5</v>
      </c>
      <c r="AW10" t="s">
        <v>9</v>
      </c>
      <c r="AX10" t="s">
        <v>10</v>
      </c>
      <c r="AY10" t="s">
        <v>11</v>
      </c>
      <c r="AZ10" t="s">
        <v>12</v>
      </c>
      <c r="BA10" t="s">
        <v>13</v>
      </c>
      <c r="BB10" t="s">
        <v>14</v>
      </c>
      <c r="BC10" t="s">
        <v>15</v>
      </c>
      <c r="BD10" t="s">
        <v>16</v>
      </c>
      <c r="BE10" t="s">
        <v>17</v>
      </c>
      <c r="BF10" t="s">
        <v>18</v>
      </c>
      <c r="BG10" t="s">
        <v>19</v>
      </c>
      <c r="BI10" t="s">
        <v>3</v>
      </c>
      <c r="BJ10" t="s">
        <v>0</v>
      </c>
      <c r="BK10" t="s">
        <v>92</v>
      </c>
      <c r="BL10" t="s">
        <v>93</v>
      </c>
    </row>
    <row r="11" spans="2:64" x14ac:dyDescent="0.45">
      <c r="B11" t="s">
        <v>409</v>
      </c>
      <c r="C11" t="s">
        <v>95</v>
      </c>
      <c r="D11">
        <v>0</v>
      </c>
      <c r="E11">
        <v>0.45098543015972342</v>
      </c>
      <c r="F11">
        <v>0.96518286584129309</v>
      </c>
      <c r="G11">
        <v>0.87290901252931608</v>
      </c>
      <c r="H11">
        <v>0.23537218928397791</v>
      </c>
      <c r="I11">
        <v>0.68993310197370483</v>
      </c>
      <c r="J11">
        <v>0.78613799598899314</v>
      </c>
      <c r="K11">
        <v>0.19116916243803045</v>
      </c>
      <c r="L11">
        <v>0.60089409056880438</v>
      </c>
      <c r="M11">
        <v>0.97800640059624799</v>
      </c>
      <c r="N11">
        <v>0.35293289895966573</v>
      </c>
      <c r="O11">
        <v>0.89646753800836299</v>
      </c>
      <c r="Q11" t="s">
        <v>96</v>
      </c>
      <c r="R11" t="s">
        <v>97</v>
      </c>
      <c r="S11">
        <v>0</v>
      </c>
      <c r="T11">
        <v>0.25731127661963021</v>
      </c>
      <c r="U11">
        <v>0.61221993768021921</v>
      </c>
      <c r="V11">
        <v>0.77691533459256734</v>
      </c>
      <c r="W11">
        <v>0.11376935224443074</v>
      </c>
      <c r="X11">
        <v>0.38077961166169455</v>
      </c>
      <c r="Y11">
        <v>0.63922310022359263</v>
      </c>
      <c r="Z11">
        <v>8.7179145615535983E-2</v>
      </c>
      <c r="AA11">
        <v>0.30215017395770338</v>
      </c>
      <c r="AB11">
        <v>0.9473967535374378</v>
      </c>
      <c r="AC11">
        <v>0.16322526940405424</v>
      </c>
      <c r="AD11">
        <v>0.43329786107233437</v>
      </c>
      <c r="AF11" t="s">
        <v>96</v>
      </c>
      <c r="AG11" t="s">
        <v>98</v>
      </c>
      <c r="AH11">
        <v>0</v>
      </c>
      <c r="AI11">
        <v>2.510012921880668E-2</v>
      </c>
      <c r="AJ11">
        <v>0.30086648207286726</v>
      </c>
      <c r="AK11">
        <v>0</v>
      </c>
      <c r="AL11">
        <v>3.0097001999474283E-2</v>
      </c>
      <c r="AM11">
        <v>0.14718542221643574</v>
      </c>
      <c r="AN11">
        <v>0</v>
      </c>
      <c r="AO11">
        <v>1.9667674081529817E-2</v>
      </c>
      <c r="AP11">
        <v>0.12755742239160534</v>
      </c>
      <c r="AQ11">
        <v>0</v>
      </c>
      <c r="AR11">
        <v>4.6615053454633321E-2</v>
      </c>
      <c r="AS11">
        <v>0.36256759431578955</v>
      </c>
      <c r="AU11" t="s">
        <v>409</v>
      </c>
      <c r="AV11">
        <v>0</v>
      </c>
      <c r="AW11">
        <v>0.13914130977188249</v>
      </c>
      <c r="AX11">
        <v>8.9032300408108426E-4</v>
      </c>
      <c r="AY11">
        <v>3.1426272424326172E-3</v>
      </c>
      <c r="AZ11">
        <v>0.3770425046097482</v>
      </c>
      <c r="BA11">
        <v>3.141940291934904E-2</v>
      </c>
      <c r="BB11">
        <v>6.8093242999193761E-3</v>
      </c>
      <c r="BC11">
        <v>0.40945836664707169</v>
      </c>
      <c r="BD11">
        <v>5.1492862642588524E-2</v>
      </c>
      <c r="BE11">
        <v>9.0025238721743809E-5</v>
      </c>
      <c r="BF11">
        <v>0.21851471800228858</v>
      </c>
      <c r="BG11">
        <v>5.348022465786151E-3</v>
      </c>
      <c r="BI11" t="s">
        <v>409</v>
      </c>
      <c r="BJ11" t="s">
        <v>99</v>
      </c>
      <c r="BK11" t="s">
        <v>100</v>
      </c>
      <c r="BL11">
        <v>0.39097824071955517</v>
      </c>
    </row>
    <row r="12" spans="2:64" x14ac:dyDescent="0.45">
      <c r="B12" t="s">
        <v>410</v>
      </c>
      <c r="C12" t="s">
        <v>95</v>
      </c>
      <c r="D12">
        <v>0</v>
      </c>
      <c r="E12">
        <v>0.45990726594548131</v>
      </c>
      <c r="F12">
        <v>0.96871919705675713</v>
      </c>
      <c r="G12">
        <v>0.86675251752502247</v>
      </c>
      <c r="H12">
        <v>0.23792744675125996</v>
      </c>
      <c r="I12">
        <v>0.69663583510984861</v>
      </c>
      <c r="J12">
        <v>0.78154472973165867</v>
      </c>
      <c r="K12">
        <v>0.1888281915217391</v>
      </c>
      <c r="L12">
        <v>0.60625460207747839</v>
      </c>
      <c r="M12">
        <v>0.97305825948720182</v>
      </c>
      <c r="N12">
        <v>0.35061426433431414</v>
      </c>
      <c r="O12">
        <v>0.90143975330219828</v>
      </c>
      <c r="Q12" t="s">
        <v>102</v>
      </c>
      <c r="R12" t="s">
        <v>97</v>
      </c>
      <c r="S12">
        <v>9.0288330680227021E-3</v>
      </c>
      <c r="T12">
        <v>4.3161650894596067E-3</v>
      </c>
      <c r="U12">
        <v>4.1474798278023344E-3</v>
      </c>
      <c r="V12">
        <v>1.3662943150985603E-2</v>
      </c>
      <c r="W12">
        <v>6.7721577655805816E-3</v>
      </c>
      <c r="X12">
        <v>1.6513693215040426E-2</v>
      </c>
      <c r="Y12">
        <v>2.2662419264235446E-2</v>
      </c>
      <c r="Z12">
        <v>1.5860786118905245E-2</v>
      </c>
      <c r="AA12">
        <v>3.3272779420363524E-2</v>
      </c>
      <c r="AB12">
        <v>9.173705726059753E-3</v>
      </c>
      <c r="AC12">
        <v>9.2792095295118667E-3</v>
      </c>
      <c r="AD12">
        <v>1.6186773090377988E-2</v>
      </c>
      <c r="AF12" t="s">
        <v>102</v>
      </c>
      <c r="AG12" t="s">
        <v>98</v>
      </c>
      <c r="AH12">
        <v>1.4702102765167079E-2</v>
      </c>
      <c r="AI12">
        <v>1.836868657280644E-2</v>
      </c>
      <c r="AJ12">
        <v>1.0010308191615304E-2</v>
      </c>
      <c r="AK12">
        <v>3.482266084695284E-2</v>
      </c>
      <c r="AL12">
        <v>2.0115884530037716E-2</v>
      </c>
      <c r="AM12">
        <v>1.6889560403103836E-2</v>
      </c>
      <c r="AN12">
        <v>3.3540257000347483E-2</v>
      </c>
      <c r="AO12">
        <v>2.9718789581703129E-2</v>
      </c>
      <c r="AP12">
        <v>2.8022202242869117E-2</v>
      </c>
      <c r="AQ12">
        <v>3.8507600652995577E-2</v>
      </c>
      <c r="AR12">
        <v>1.8600943260825439E-2</v>
      </c>
      <c r="AS12">
        <v>4.0687982040972771E-2</v>
      </c>
      <c r="AU12" t="s">
        <v>410</v>
      </c>
      <c r="AV12">
        <v>0</v>
      </c>
      <c r="AW12">
        <v>0.12077321537473372</v>
      </c>
      <c r="AX12">
        <v>5.1480544670055742E-4</v>
      </c>
      <c r="AY12">
        <v>3.7158949761419897E-3</v>
      </c>
      <c r="AZ12">
        <v>0.33685829693914426</v>
      </c>
      <c r="BA12">
        <v>2.4871944904074544E-2</v>
      </c>
      <c r="BB12">
        <v>7.9851054710523093E-3</v>
      </c>
      <c r="BC12">
        <v>0.38010654463349097</v>
      </c>
      <c r="BD12">
        <v>4.4588931758406405E-2</v>
      </c>
      <c r="BE12">
        <v>1.6976351775775723E-4</v>
      </c>
      <c r="BF12">
        <v>0.20361158632656948</v>
      </c>
      <c r="BG12">
        <v>4.054606397133966E-3</v>
      </c>
      <c r="BI12" t="s">
        <v>410</v>
      </c>
      <c r="BJ12" t="s">
        <v>99</v>
      </c>
      <c r="BK12" t="s">
        <v>100</v>
      </c>
      <c r="BL12">
        <v>0.37044183881901699</v>
      </c>
    </row>
    <row r="13" spans="2:64" x14ac:dyDescent="0.45">
      <c r="B13" t="s">
        <v>411</v>
      </c>
      <c r="C13" t="s">
        <v>95</v>
      </c>
      <c r="D13">
        <v>0</v>
      </c>
      <c r="E13">
        <v>0.43664414326256651</v>
      </c>
      <c r="F13">
        <v>0.95811302085957994</v>
      </c>
      <c r="G13">
        <v>0.88536774821544451</v>
      </c>
      <c r="H13">
        <v>0.26117764623921785</v>
      </c>
      <c r="I13">
        <v>0.68489913385543588</v>
      </c>
      <c r="J13">
        <v>0.79847407927648939</v>
      </c>
      <c r="K13">
        <v>0.20188479027493531</v>
      </c>
      <c r="L13">
        <v>0.60230724687961579</v>
      </c>
      <c r="M13">
        <v>0.98214285714285743</v>
      </c>
      <c r="N13">
        <v>0.35362611833549995</v>
      </c>
      <c r="O13">
        <v>0.89140546252767228</v>
      </c>
      <c r="Q13" t="s">
        <v>104</v>
      </c>
      <c r="R13" t="s">
        <v>97</v>
      </c>
      <c r="S13">
        <v>4.2376092499250926E-3</v>
      </c>
      <c r="T13">
        <v>7.8586902645419194E-3</v>
      </c>
      <c r="U13">
        <v>7.5702785801600231E-3</v>
      </c>
      <c r="V13">
        <v>1.5526299470079617E-3</v>
      </c>
      <c r="W13">
        <v>8.0361032291133023E-3</v>
      </c>
      <c r="X13">
        <v>8.591701767076982E-3</v>
      </c>
      <c r="Y13">
        <v>1.8248143153117444E-2</v>
      </c>
      <c r="Z13">
        <v>1.741066129258154E-2</v>
      </c>
      <c r="AA13">
        <v>1.0354859296626839E-2</v>
      </c>
      <c r="AB13">
        <v>1.1933786413938554E-2</v>
      </c>
      <c r="AC13">
        <v>8.5140809080725306E-3</v>
      </c>
      <c r="AD13">
        <v>6.1007612865060738E-3</v>
      </c>
      <c r="AF13" t="s">
        <v>104</v>
      </c>
      <c r="AG13" t="s">
        <v>98</v>
      </c>
      <c r="AH13">
        <v>1.2950252351453974E-2</v>
      </c>
      <c r="AI13">
        <v>1.1908164711150887E-2</v>
      </c>
      <c r="AJ13">
        <v>1.4622475956374786E-2</v>
      </c>
      <c r="AK13">
        <v>1.6142232530341354E-2</v>
      </c>
      <c r="AL13">
        <v>9.9812298530908145E-3</v>
      </c>
      <c r="AM13">
        <v>9.052634551909234E-3</v>
      </c>
      <c r="AN13">
        <v>2.3028425432009218E-2</v>
      </c>
      <c r="AO13">
        <v>2.295530949957646E-2</v>
      </c>
      <c r="AP13">
        <v>4.5739528209369384E-2</v>
      </c>
      <c r="AQ13">
        <v>1.3108897677019516E-2</v>
      </c>
      <c r="AR13">
        <v>2.0608782446210804E-2</v>
      </c>
      <c r="AS13">
        <v>1.7911712992199059E-2</v>
      </c>
      <c r="AU13" t="s">
        <v>411</v>
      </c>
      <c r="AV13">
        <v>0</v>
      </c>
      <c r="AW13">
        <v>0.15524999272922574</v>
      </c>
      <c r="AX13">
        <v>1.3728957700669257E-3</v>
      </c>
      <c r="AY13">
        <v>2.1656988435639472E-3</v>
      </c>
      <c r="AZ13">
        <v>0.33562949971975031</v>
      </c>
      <c r="BA13">
        <v>3.0353023955565089E-2</v>
      </c>
      <c r="BB13">
        <v>5.261408698640003E-3</v>
      </c>
      <c r="BC13">
        <v>0.38658408861151133</v>
      </c>
      <c r="BD13">
        <v>5.2647032221352849E-2</v>
      </c>
      <c r="BE13">
        <v>7.5107806246812379E-5</v>
      </c>
      <c r="BF13">
        <v>0.21406178524857458</v>
      </c>
      <c r="BG13">
        <v>6.098694963904432E-3</v>
      </c>
      <c r="BI13" t="s">
        <v>411</v>
      </c>
      <c r="BJ13" t="s">
        <v>99</v>
      </c>
      <c r="BK13" t="s">
        <v>100</v>
      </c>
      <c r="BL13">
        <v>0.37611762480191147</v>
      </c>
    </row>
    <row r="14" spans="2:64" x14ac:dyDescent="0.45">
      <c r="B14" t="s">
        <v>412</v>
      </c>
      <c r="C14" t="s">
        <v>95</v>
      </c>
      <c r="D14">
        <v>0</v>
      </c>
      <c r="E14">
        <v>0.43653028979152286</v>
      </c>
      <c r="F14">
        <v>0.95627845108214771</v>
      </c>
      <c r="G14">
        <v>0.88795969588131896</v>
      </c>
      <c r="H14">
        <v>0.27135167951264494</v>
      </c>
      <c r="I14">
        <v>0.68416563361185945</v>
      </c>
      <c r="J14">
        <v>0.79849150859838458</v>
      </c>
      <c r="K14">
        <v>0.20832721471831561</v>
      </c>
      <c r="L14">
        <v>0.60197764826814615</v>
      </c>
      <c r="M14">
        <v>0.98214285714285743</v>
      </c>
      <c r="N14">
        <v>0.36002004648886343</v>
      </c>
      <c r="O14">
        <v>0.8927819080145819</v>
      </c>
      <c r="AU14" t="s">
        <v>412</v>
      </c>
      <c r="AV14">
        <v>0</v>
      </c>
      <c r="AW14">
        <v>0.15018886969070586</v>
      </c>
      <c r="AX14">
        <v>1.4968681064029051E-3</v>
      </c>
      <c r="AY14">
        <v>2.1666539586595204E-3</v>
      </c>
      <c r="AZ14">
        <v>0.31431848256011702</v>
      </c>
      <c r="BA14">
        <v>2.8265394561878526E-2</v>
      </c>
      <c r="BB14">
        <v>5.1948279613142131E-3</v>
      </c>
      <c r="BC14">
        <v>0.37169573270695527</v>
      </c>
      <c r="BD14">
        <v>4.9991793807181974E-2</v>
      </c>
      <c r="BE14">
        <v>6.9299279807687479E-5</v>
      </c>
      <c r="BF14">
        <v>0.21433547423470434</v>
      </c>
      <c r="BG14">
        <v>5.9622401813662637E-3</v>
      </c>
      <c r="BI14" t="s">
        <v>412</v>
      </c>
      <c r="BJ14" t="s">
        <v>99</v>
      </c>
      <c r="BK14" t="s">
        <v>100</v>
      </c>
      <c r="BL14">
        <v>0.36097140890525897</v>
      </c>
    </row>
    <row r="15" spans="2:64" x14ac:dyDescent="0.45">
      <c r="B15" t="s">
        <v>413</v>
      </c>
      <c r="C15" t="s">
        <v>95</v>
      </c>
      <c r="D15">
        <v>0</v>
      </c>
      <c r="E15">
        <v>0.45375502864413569</v>
      </c>
      <c r="F15">
        <v>0.96091128981923657</v>
      </c>
      <c r="G15">
        <v>0.87946952330951744</v>
      </c>
      <c r="H15">
        <v>0.26358955812641488</v>
      </c>
      <c r="I15">
        <v>0.68991595955969842</v>
      </c>
      <c r="J15">
        <v>0.7935073604865357</v>
      </c>
      <c r="K15">
        <v>0.20526965853381321</v>
      </c>
      <c r="L15">
        <v>0.60201913083210323</v>
      </c>
      <c r="M15">
        <v>0.97839757452461373</v>
      </c>
      <c r="N15">
        <v>0.36001534523873313</v>
      </c>
      <c r="O15">
        <v>0.89792086819170824</v>
      </c>
      <c r="AU15" t="s">
        <v>413</v>
      </c>
      <c r="AV15">
        <v>0</v>
      </c>
      <c r="AW15">
        <v>0.14281527948388834</v>
      </c>
      <c r="AX15">
        <v>8.8556686388899491E-4</v>
      </c>
      <c r="AY15">
        <v>2.4988656475021286E-3</v>
      </c>
      <c r="AZ15">
        <v>0.31735966808943067</v>
      </c>
      <c r="BA15">
        <v>2.5643391973724422E-2</v>
      </c>
      <c r="BB15">
        <v>6.0135313215495933E-3</v>
      </c>
      <c r="BC15">
        <v>0.35899474738462234</v>
      </c>
      <c r="BD15">
        <v>4.5851045801237604E-2</v>
      </c>
      <c r="BE15">
        <v>9.3231876377740101E-5</v>
      </c>
      <c r="BF15">
        <v>0.20662595495002414</v>
      </c>
      <c r="BG15">
        <v>4.9866275318427369E-3</v>
      </c>
      <c r="BI15" t="s">
        <v>413</v>
      </c>
      <c r="BJ15" t="s">
        <v>99</v>
      </c>
      <c r="BK15" t="s">
        <v>100</v>
      </c>
      <c r="BL15">
        <v>0.34402241220598517</v>
      </c>
    </row>
    <row r="16" spans="2:64" x14ac:dyDescent="0.45">
      <c r="B16" t="s">
        <v>414</v>
      </c>
      <c r="C16" t="s">
        <v>95</v>
      </c>
      <c r="D16">
        <v>0</v>
      </c>
      <c r="E16">
        <v>0.44870841094157204</v>
      </c>
      <c r="F16">
        <v>0.96249009264400631</v>
      </c>
      <c r="G16">
        <v>0.87785351263386924</v>
      </c>
      <c r="H16">
        <v>0.24711459171876798</v>
      </c>
      <c r="I16">
        <v>0.68961345211266445</v>
      </c>
      <c r="J16">
        <v>0.79063770027177815</v>
      </c>
      <c r="K16">
        <v>0.19577325613763571</v>
      </c>
      <c r="L16">
        <v>0.60008264508778131</v>
      </c>
      <c r="M16">
        <v>0.97828928286060213</v>
      </c>
      <c r="N16">
        <v>0.35082858551367696</v>
      </c>
      <c r="O16">
        <v>0.89695742863035888</v>
      </c>
      <c r="AU16" t="s">
        <v>414</v>
      </c>
      <c r="AV16">
        <v>0</v>
      </c>
      <c r="AW16">
        <v>0.14329436541740076</v>
      </c>
      <c r="AX16">
        <v>8.2600794815480903E-4</v>
      </c>
      <c r="AY16">
        <v>2.828413497295615E-3</v>
      </c>
      <c r="AZ16">
        <v>0.33286932653856305</v>
      </c>
      <c r="BA16">
        <v>2.7474287174497576E-2</v>
      </c>
      <c r="BB16">
        <v>6.3114519059294157E-3</v>
      </c>
      <c r="BC16">
        <v>0.37606128478726336</v>
      </c>
      <c r="BD16">
        <v>4.8440820762424085E-2</v>
      </c>
      <c r="BE16">
        <v>9.3687980228716717E-5</v>
      </c>
      <c r="BF16">
        <v>0.20892676952561309</v>
      </c>
      <c r="BG16">
        <v>4.953901653471625E-3</v>
      </c>
      <c r="BI16" t="s">
        <v>414</v>
      </c>
      <c r="BJ16" t="s">
        <v>99</v>
      </c>
      <c r="BK16" t="s">
        <v>100</v>
      </c>
      <c r="BL16">
        <v>0.36290154442910277</v>
      </c>
    </row>
    <row r="17" spans="2:64" x14ac:dyDescent="0.45">
      <c r="B17" t="s">
        <v>415</v>
      </c>
      <c r="C17" t="s">
        <v>95</v>
      </c>
      <c r="D17">
        <v>0</v>
      </c>
      <c r="E17">
        <v>0.46923037929548495</v>
      </c>
      <c r="F17">
        <v>0.97037037037037022</v>
      </c>
      <c r="G17">
        <v>0.86869996075503375</v>
      </c>
      <c r="H17">
        <v>0.25004737158394724</v>
      </c>
      <c r="I17">
        <v>0.69714333082051483</v>
      </c>
      <c r="J17">
        <v>0.78551369089226453</v>
      </c>
      <c r="K17">
        <v>0.19127812268420172</v>
      </c>
      <c r="L17">
        <v>0.60881432238221489</v>
      </c>
      <c r="M17">
        <v>0.97252747252747263</v>
      </c>
      <c r="N17">
        <v>0.36212788175905664</v>
      </c>
      <c r="O17">
        <v>0.90221561889943092</v>
      </c>
      <c r="AU17" t="s">
        <v>415</v>
      </c>
      <c r="AV17">
        <v>0</v>
      </c>
      <c r="AW17">
        <v>0.12142513870151102</v>
      </c>
      <c r="AX17">
        <v>4.5780170430696239E-4</v>
      </c>
      <c r="AY17">
        <v>3.6569221112149482E-3</v>
      </c>
      <c r="AZ17">
        <v>0.32585048368294239</v>
      </c>
      <c r="BA17">
        <v>2.268148504565734E-2</v>
      </c>
      <c r="BB17">
        <v>7.7962346163470888E-3</v>
      </c>
      <c r="BC17">
        <v>0.36530708138640278</v>
      </c>
      <c r="BD17">
        <v>4.1755346912295335E-2</v>
      </c>
      <c r="BE17">
        <v>1.8385648266827035E-4</v>
      </c>
      <c r="BF17">
        <v>0.20017658937991784</v>
      </c>
      <c r="BG17">
        <v>3.5179749804281372E-3</v>
      </c>
      <c r="BI17" t="s">
        <v>415</v>
      </c>
      <c r="BJ17" t="s">
        <v>99</v>
      </c>
      <c r="BK17" t="s">
        <v>100</v>
      </c>
      <c r="BL17">
        <v>0.34878536098581431</v>
      </c>
    </row>
    <row r="18" spans="2:64" x14ac:dyDescent="0.45">
      <c r="B18" t="s">
        <v>416</v>
      </c>
      <c r="C18" t="s">
        <v>95</v>
      </c>
      <c r="D18">
        <v>0</v>
      </c>
      <c r="E18">
        <v>0.45802568364847879</v>
      </c>
      <c r="F18">
        <v>0.96726670661500347</v>
      </c>
      <c r="G18">
        <v>0.87303523715005593</v>
      </c>
      <c r="H18">
        <v>0.24898813715357121</v>
      </c>
      <c r="I18">
        <v>0.6944970581758021</v>
      </c>
      <c r="J18">
        <v>0.78925477686049084</v>
      </c>
      <c r="K18">
        <v>0.19591057864653755</v>
      </c>
      <c r="L18">
        <v>0.60396081020139436</v>
      </c>
      <c r="M18">
        <v>0.97625385913073448</v>
      </c>
      <c r="N18">
        <v>0.36125619644817836</v>
      </c>
      <c r="O18">
        <v>0.90018233348262389</v>
      </c>
      <c r="AU18" t="s">
        <v>416</v>
      </c>
      <c r="AV18">
        <v>0</v>
      </c>
      <c r="AW18">
        <v>0.12959823849116595</v>
      </c>
      <c r="AX18">
        <v>6.1263184587189367E-4</v>
      </c>
      <c r="AY18">
        <v>3.2443982310109819E-3</v>
      </c>
      <c r="AZ18">
        <v>0.32352798916975622</v>
      </c>
      <c r="BA18">
        <v>2.4237307281403015E-2</v>
      </c>
      <c r="BB18">
        <v>7.0823941547166697E-3</v>
      </c>
      <c r="BC18">
        <v>0.36454598970891983</v>
      </c>
      <c r="BD18">
        <v>4.3817798703586104E-2</v>
      </c>
      <c r="BE18">
        <v>1.3501647607868297E-4</v>
      </c>
      <c r="BF18">
        <v>0.20414197075110863</v>
      </c>
      <c r="BG18">
        <v>3.9421727871366856E-3</v>
      </c>
      <c r="BI18" t="s">
        <v>416</v>
      </c>
      <c r="BJ18" t="s">
        <v>99</v>
      </c>
      <c r="BK18" t="s">
        <v>100</v>
      </c>
      <c r="BL18">
        <v>0.35302534541956021</v>
      </c>
    </row>
    <row r="19" spans="2:64" x14ac:dyDescent="0.45">
      <c r="B19" t="s">
        <v>417</v>
      </c>
      <c r="C19" t="s">
        <v>95</v>
      </c>
      <c r="D19">
        <v>0</v>
      </c>
      <c r="E19">
        <v>0.44257296210943758</v>
      </c>
      <c r="F19">
        <v>0.96296296296296313</v>
      </c>
      <c r="G19">
        <v>0.87515676285579735</v>
      </c>
      <c r="H19">
        <v>0.26533339522695748</v>
      </c>
      <c r="I19">
        <v>0.69513618431562285</v>
      </c>
      <c r="J19">
        <v>0.79097309473790034</v>
      </c>
      <c r="K19">
        <v>0.20240730800363149</v>
      </c>
      <c r="L19">
        <v>0.6084499336161403</v>
      </c>
      <c r="M19">
        <v>0.97562290637203608</v>
      </c>
      <c r="N19">
        <v>0.36318920115075504</v>
      </c>
      <c r="O19">
        <v>0.89789036912670717</v>
      </c>
      <c r="AU19" t="s">
        <v>417</v>
      </c>
      <c r="AV19">
        <v>0</v>
      </c>
      <c r="AW19">
        <v>0.13406529478231891</v>
      </c>
      <c r="AX19">
        <v>8.0050897889234372E-4</v>
      </c>
      <c r="AY19">
        <v>2.5953258826180272E-3</v>
      </c>
      <c r="AZ19">
        <v>0.31848382460400154</v>
      </c>
      <c r="BA19">
        <v>2.460681646047122E-2</v>
      </c>
      <c r="BB19">
        <v>6.3054286569224627E-3</v>
      </c>
      <c r="BC19">
        <v>0.36655453736304056</v>
      </c>
      <c r="BD19">
        <v>4.3394032164231225E-2</v>
      </c>
      <c r="BE19">
        <v>1.1021132643343938E-4</v>
      </c>
      <c r="BF19">
        <v>0.20808058823686937</v>
      </c>
      <c r="BG19">
        <v>4.6220934830482818E-3</v>
      </c>
      <c r="BI19" t="s">
        <v>417</v>
      </c>
      <c r="BJ19" t="s">
        <v>99</v>
      </c>
      <c r="BK19" t="s">
        <v>100</v>
      </c>
      <c r="BL19">
        <v>0.35047612606327416</v>
      </c>
    </row>
    <row r="20" spans="2:64" x14ac:dyDescent="0.45">
      <c r="B20" t="s">
        <v>418</v>
      </c>
      <c r="C20" t="s">
        <v>95</v>
      </c>
      <c r="D20">
        <v>0</v>
      </c>
      <c r="E20">
        <v>0.45862605400384165</v>
      </c>
      <c r="F20">
        <v>0.96635540010951648</v>
      </c>
      <c r="G20">
        <v>0.87469821112578072</v>
      </c>
      <c r="H20">
        <v>0.26335037707493053</v>
      </c>
      <c r="I20">
        <v>0.69679264326950596</v>
      </c>
      <c r="J20">
        <v>0.79064926343607533</v>
      </c>
      <c r="K20">
        <v>0.2029240764685912</v>
      </c>
      <c r="L20">
        <v>0.6070404614668653</v>
      </c>
      <c r="M20">
        <v>0.97762557268151173</v>
      </c>
      <c r="N20">
        <v>0.37113081549529059</v>
      </c>
      <c r="O20">
        <v>0.90147920087790645</v>
      </c>
      <c r="AU20" t="s">
        <v>418</v>
      </c>
      <c r="AV20">
        <v>0</v>
      </c>
      <c r="AW20">
        <v>0.13184746218889712</v>
      </c>
      <c r="AX20">
        <v>5.8945324472679881E-4</v>
      </c>
      <c r="AY20">
        <v>2.9766762874477654E-3</v>
      </c>
      <c r="AZ20">
        <v>0.32316873467523533</v>
      </c>
      <c r="BA20">
        <v>2.3625965988019849E-2</v>
      </c>
      <c r="BB20">
        <v>6.8122017696228086E-3</v>
      </c>
      <c r="BC20">
        <v>0.36152783669531346</v>
      </c>
      <c r="BD20">
        <v>4.2748606198417118E-2</v>
      </c>
      <c r="BE20">
        <v>1.3399867035771891E-4</v>
      </c>
      <c r="BF20">
        <v>0.20334841316769206</v>
      </c>
      <c r="BG20">
        <v>3.911755488963416E-3</v>
      </c>
      <c r="BI20" t="s">
        <v>418</v>
      </c>
      <c r="BJ20" t="s">
        <v>99</v>
      </c>
      <c r="BK20" t="s">
        <v>100</v>
      </c>
      <c r="BL20">
        <v>0.3385162975639105</v>
      </c>
    </row>
    <row r="21" spans="2:64" x14ac:dyDescent="0.45">
      <c r="B21" t="s">
        <v>419</v>
      </c>
      <c r="C21" t="s">
        <v>95</v>
      </c>
      <c r="D21">
        <v>0.24496496825412847</v>
      </c>
      <c r="E21">
        <v>0.2646226720469711</v>
      </c>
      <c r="F21">
        <v>0.23951687463233517</v>
      </c>
      <c r="G21">
        <v>0.27959914315464129</v>
      </c>
      <c r="H21">
        <v>0.28082281065919334</v>
      </c>
      <c r="I21">
        <v>0.24466029824752394</v>
      </c>
      <c r="J21">
        <v>0.32975840988412286</v>
      </c>
      <c r="K21">
        <v>0.35189625688649384</v>
      </c>
      <c r="L21">
        <v>0.35285580934004851</v>
      </c>
      <c r="M21">
        <v>0.2780082999910839</v>
      </c>
      <c r="N21">
        <v>0.28768979407963119</v>
      </c>
      <c r="O21">
        <v>0.28796612402963462</v>
      </c>
      <c r="AU21" t="s">
        <v>419</v>
      </c>
      <c r="AV21">
        <v>0.63318234687645192</v>
      </c>
      <c r="AW21">
        <v>0.60564501609368659</v>
      </c>
      <c r="AX21">
        <v>0.6495062163953359</v>
      </c>
      <c r="AY21">
        <v>0.55428908756426687</v>
      </c>
      <c r="AZ21">
        <v>0.55288844616797694</v>
      </c>
      <c r="BA21">
        <v>0.59469596363234578</v>
      </c>
      <c r="BB21">
        <v>0.41386249428931321</v>
      </c>
      <c r="BC21">
        <v>0.37113697376575461</v>
      </c>
      <c r="BD21">
        <v>0.4186844444779706</v>
      </c>
      <c r="BE21">
        <v>0.57637665676708449</v>
      </c>
      <c r="BF21">
        <v>0.57513166541159455</v>
      </c>
      <c r="BG21">
        <v>0.59208705343093704</v>
      </c>
      <c r="BI21" t="s">
        <v>420</v>
      </c>
      <c r="BJ21" t="s">
        <v>99</v>
      </c>
      <c r="BK21" t="s">
        <v>100</v>
      </c>
      <c r="BL21">
        <v>0.41627753737346412</v>
      </c>
    </row>
    <row r="22" spans="2:64" x14ac:dyDescent="0.45">
      <c r="B22" t="s">
        <v>421</v>
      </c>
      <c r="C22" t="s">
        <v>95</v>
      </c>
      <c r="D22">
        <v>0.24547161521672903</v>
      </c>
      <c r="E22">
        <v>0.25330053077604198</v>
      </c>
      <c r="F22">
        <v>0.22798407542081886</v>
      </c>
      <c r="G22">
        <v>0.29283604607630365</v>
      </c>
      <c r="H22">
        <v>0.26268740818440778</v>
      </c>
      <c r="I22">
        <v>0.26129054904592763</v>
      </c>
      <c r="J22">
        <v>0.33187411996806443</v>
      </c>
      <c r="K22">
        <v>0.34950198616754047</v>
      </c>
      <c r="L22">
        <v>0.32618683826975953</v>
      </c>
      <c r="M22">
        <v>0.2500111970374635</v>
      </c>
      <c r="N22">
        <v>0.25400402214326417</v>
      </c>
      <c r="O22">
        <v>0.26308528563447686</v>
      </c>
      <c r="AU22" t="s">
        <v>421</v>
      </c>
      <c r="AV22">
        <v>0.64798134195637735</v>
      </c>
      <c r="AW22">
        <v>0.64275664731446236</v>
      </c>
      <c r="AX22">
        <v>0.66460566558547451</v>
      </c>
      <c r="AY22">
        <v>0.57209743645153532</v>
      </c>
      <c r="AZ22">
        <v>0.59130602624196482</v>
      </c>
      <c r="BA22">
        <v>0.60556650876094575</v>
      </c>
      <c r="BB22">
        <v>0.42076093459716346</v>
      </c>
      <c r="BC22">
        <v>0.37794536151012165</v>
      </c>
      <c r="BD22">
        <v>0.37990346472867281</v>
      </c>
      <c r="BE22">
        <v>0.62237070083834367</v>
      </c>
      <c r="BF22">
        <v>0.62336705229168365</v>
      </c>
      <c r="BG22">
        <v>0.62229563360957041</v>
      </c>
      <c r="BI22" t="s">
        <v>422</v>
      </c>
      <c r="BJ22" t="s">
        <v>99</v>
      </c>
      <c r="BK22" t="s">
        <v>100</v>
      </c>
      <c r="BL22">
        <v>0.41163172648190971</v>
      </c>
    </row>
    <row r="23" spans="2:64" x14ac:dyDescent="0.45">
      <c r="B23" t="s">
        <v>423</v>
      </c>
      <c r="C23" t="s">
        <v>95</v>
      </c>
      <c r="D23">
        <v>0.24274921704338995</v>
      </c>
      <c r="E23">
        <v>0.25173206779987006</v>
      </c>
      <c r="F23">
        <v>0.23169937238616931</v>
      </c>
      <c r="G23">
        <v>0.28696497183335251</v>
      </c>
      <c r="H23">
        <v>0.26223499161937613</v>
      </c>
      <c r="I23">
        <v>0.25842222424815786</v>
      </c>
      <c r="J23">
        <v>0.33705147070935743</v>
      </c>
      <c r="K23">
        <v>0.35516084524106761</v>
      </c>
      <c r="L23">
        <v>0.3395221418621337</v>
      </c>
      <c r="M23">
        <v>0.24655515103351403</v>
      </c>
      <c r="N23">
        <v>0.24746906383081682</v>
      </c>
      <c r="O23">
        <v>0.25583103484049313</v>
      </c>
      <c r="AU23" t="s">
        <v>423</v>
      </c>
      <c r="AV23">
        <v>0.65511516982029816</v>
      </c>
      <c r="AW23">
        <v>0.64791742798044449</v>
      </c>
      <c r="AX23">
        <v>0.66066130761712516</v>
      </c>
      <c r="AY23">
        <v>0.577911230953285</v>
      </c>
      <c r="AZ23">
        <v>0.59626849682333516</v>
      </c>
      <c r="BA23">
        <v>0.60680569141202245</v>
      </c>
      <c r="BB23">
        <v>0.42406975797047897</v>
      </c>
      <c r="BC23">
        <v>0.38130089544549423</v>
      </c>
      <c r="BD23">
        <v>0.38075695625920541</v>
      </c>
      <c r="BE23">
        <v>0.63231484069019439</v>
      </c>
      <c r="BF23">
        <v>0.63760430210495145</v>
      </c>
      <c r="BG23">
        <v>0.62625303672073962</v>
      </c>
      <c r="BI23" t="s">
        <v>424</v>
      </c>
      <c r="BJ23" t="s">
        <v>99</v>
      </c>
      <c r="BK23" t="s">
        <v>100</v>
      </c>
      <c r="BL23">
        <v>0.43819723649218284</v>
      </c>
    </row>
    <row r="24" spans="2:64" x14ac:dyDescent="0.45">
      <c r="B24" t="s">
        <v>425</v>
      </c>
      <c r="C24" t="s">
        <v>95</v>
      </c>
      <c r="D24">
        <v>0.24785314770016215</v>
      </c>
      <c r="E24">
        <v>0.24815281705040565</v>
      </c>
      <c r="F24">
        <v>0.23283254412281568</v>
      </c>
      <c r="G24">
        <v>0.28689268799923917</v>
      </c>
      <c r="H24">
        <v>0.27715610876160302</v>
      </c>
      <c r="I24">
        <v>0.26842745254060407</v>
      </c>
      <c r="J24">
        <v>0.32008414827543452</v>
      </c>
      <c r="K24">
        <v>0.32489258853050651</v>
      </c>
      <c r="L24">
        <v>0.31747473331340603</v>
      </c>
      <c r="M24">
        <v>0.24569160521305453</v>
      </c>
      <c r="N24">
        <v>0.25831438054334138</v>
      </c>
      <c r="O24">
        <v>0.25235003912097531</v>
      </c>
      <c r="AU24" t="s">
        <v>425</v>
      </c>
      <c r="AV24">
        <v>0.65329011423940153</v>
      </c>
      <c r="AW24">
        <v>0.65132355933717923</v>
      </c>
      <c r="AX24">
        <v>0.6516720054809142</v>
      </c>
      <c r="AY24">
        <v>0.5739202820528273</v>
      </c>
      <c r="AZ24">
        <v>0.57792649775940885</v>
      </c>
      <c r="BA24">
        <v>0.608251555546936</v>
      </c>
      <c r="BB24">
        <v>0.43705030920065602</v>
      </c>
      <c r="BC24">
        <v>0.41774151036794216</v>
      </c>
      <c r="BD24">
        <v>0.40083965989491105</v>
      </c>
      <c r="BE24">
        <v>0.62188850086665926</v>
      </c>
      <c r="BF24">
        <v>0.62277097687493643</v>
      </c>
      <c r="BG24">
        <v>0.62841417710808523</v>
      </c>
      <c r="BI24" t="s">
        <v>426</v>
      </c>
      <c r="BJ24" t="s">
        <v>99</v>
      </c>
      <c r="BK24" t="s">
        <v>100</v>
      </c>
      <c r="BL24">
        <v>0.43863869269294403</v>
      </c>
    </row>
    <row r="25" spans="2:64" x14ac:dyDescent="0.45">
      <c r="B25" t="s">
        <v>427</v>
      </c>
      <c r="C25" t="s">
        <v>95</v>
      </c>
      <c r="D25">
        <v>0.24971967186329949</v>
      </c>
      <c r="E25">
        <v>0.25261856600573196</v>
      </c>
      <c r="F25">
        <v>0.23758094832031018</v>
      </c>
      <c r="G25">
        <v>0.29262941226949135</v>
      </c>
      <c r="H25">
        <v>0.27642279168540534</v>
      </c>
      <c r="I25">
        <v>0.25503166627591867</v>
      </c>
      <c r="J25">
        <v>0.32945430613136767</v>
      </c>
      <c r="K25">
        <v>0.32432371416524808</v>
      </c>
      <c r="L25">
        <v>0.3248320346198838</v>
      </c>
      <c r="M25">
        <v>0.25246467991990307</v>
      </c>
      <c r="N25">
        <v>0.25825750174354811</v>
      </c>
      <c r="O25">
        <v>0.25590531271063433</v>
      </c>
      <c r="AU25" t="s">
        <v>427</v>
      </c>
      <c r="AV25">
        <v>0.65223398039363223</v>
      </c>
      <c r="AW25">
        <v>0.65450125939303694</v>
      </c>
      <c r="AX25">
        <v>0.6540735849334548</v>
      </c>
      <c r="AY25">
        <v>0.57500122948461108</v>
      </c>
      <c r="AZ25">
        <v>0.58717565567981778</v>
      </c>
      <c r="BA25">
        <v>0.61513864798378537</v>
      </c>
      <c r="BB25">
        <v>0.43606551272418786</v>
      </c>
      <c r="BC25">
        <v>0.42484888365079709</v>
      </c>
      <c r="BD25">
        <v>0.40222341826639435</v>
      </c>
      <c r="BE25">
        <v>0.62789943930980807</v>
      </c>
      <c r="BF25">
        <v>0.62884980557975101</v>
      </c>
      <c r="BG25">
        <v>0.63340372149917834</v>
      </c>
      <c r="BI25" t="s">
        <v>428</v>
      </c>
      <c r="BJ25" t="s">
        <v>99</v>
      </c>
      <c r="BK25" t="s">
        <v>100</v>
      </c>
      <c r="BL25">
        <v>0.57620092560336478</v>
      </c>
    </row>
    <row r="26" spans="2:64" x14ac:dyDescent="0.45">
      <c r="B26" t="s">
        <v>420</v>
      </c>
      <c r="C26" t="s">
        <v>95</v>
      </c>
      <c r="D26">
        <v>0.28969008654960732</v>
      </c>
      <c r="E26">
        <v>0.34299562206919637</v>
      </c>
      <c r="F26">
        <v>0.2938999961752074</v>
      </c>
      <c r="G26">
        <v>0.31508020455451741</v>
      </c>
      <c r="H26">
        <v>0.35942190503227922</v>
      </c>
      <c r="I26">
        <v>0.31125083506432849</v>
      </c>
      <c r="J26">
        <v>0.31207276721829719</v>
      </c>
      <c r="K26">
        <v>0.40702899812242477</v>
      </c>
      <c r="L26">
        <v>0.34000138721308015</v>
      </c>
      <c r="M26">
        <v>0.3344596963664781</v>
      </c>
      <c r="N26">
        <v>0.37574312084019074</v>
      </c>
      <c r="O26">
        <v>0.3249517973268975</v>
      </c>
      <c r="AU26" t="s">
        <v>420</v>
      </c>
      <c r="AV26">
        <v>0.43100670624428417</v>
      </c>
      <c r="AW26">
        <v>0.393201083586321</v>
      </c>
      <c r="AX26">
        <v>0.42536838341799521</v>
      </c>
      <c r="AY26">
        <v>0.30514008379970697</v>
      </c>
      <c r="AZ26">
        <v>0.28560275929392859</v>
      </c>
      <c r="BA26">
        <v>0.31204444825485528</v>
      </c>
      <c r="BB26">
        <v>0.21451161543975525</v>
      </c>
      <c r="BC26">
        <v>0.17405000251505712</v>
      </c>
      <c r="BD26">
        <v>0.2165650872264693</v>
      </c>
      <c r="BE26">
        <v>0.3457179778967191</v>
      </c>
      <c r="BF26">
        <v>0.31367938384591076</v>
      </c>
      <c r="BG26">
        <v>0.36089371746919274</v>
      </c>
      <c r="BI26" t="s">
        <v>429</v>
      </c>
      <c r="BJ26" t="s">
        <v>99</v>
      </c>
      <c r="BK26" t="s">
        <v>100</v>
      </c>
      <c r="BL26">
        <v>0.66318804576500345</v>
      </c>
    </row>
    <row r="27" spans="2:64" x14ac:dyDescent="0.45">
      <c r="B27" t="s">
        <v>422</v>
      </c>
      <c r="C27" t="s">
        <v>95</v>
      </c>
      <c r="D27">
        <v>0.31891829243000874</v>
      </c>
      <c r="E27">
        <v>0.35581003660878774</v>
      </c>
      <c r="F27">
        <v>0.31654220410101108</v>
      </c>
      <c r="G27">
        <v>0.325783124457522</v>
      </c>
      <c r="H27">
        <v>0.39825190633611929</v>
      </c>
      <c r="I27">
        <v>0.33274163372115639</v>
      </c>
      <c r="J27">
        <v>0.32890058559649932</v>
      </c>
      <c r="K27">
        <v>0.42332229160940738</v>
      </c>
      <c r="L27">
        <v>0.37557986259587273</v>
      </c>
      <c r="M27">
        <v>0.34763384479818576</v>
      </c>
      <c r="N27">
        <v>0.38595031152213455</v>
      </c>
      <c r="O27">
        <v>0.34126263066687867</v>
      </c>
      <c r="AU27" t="s">
        <v>422</v>
      </c>
      <c r="AV27">
        <v>0.41396347735406808</v>
      </c>
      <c r="AW27">
        <v>0.37194514305336723</v>
      </c>
      <c r="AX27">
        <v>0.39776590014856289</v>
      </c>
      <c r="AY27">
        <v>0.28255936100249301</v>
      </c>
      <c r="AZ27">
        <v>0.25453158338024889</v>
      </c>
      <c r="BA27">
        <v>0.28124366993527089</v>
      </c>
      <c r="BB27">
        <v>0.20146642871323997</v>
      </c>
      <c r="BC27">
        <v>0.15443614697925204</v>
      </c>
      <c r="BD27">
        <v>0.18664056663116624</v>
      </c>
      <c r="BE27">
        <v>0.33392012612047656</v>
      </c>
      <c r="BF27">
        <v>0.29541867493427854</v>
      </c>
      <c r="BG27">
        <v>0.35053253563684827</v>
      </c>
      <c r="BI27" t="s">
        <v>430</v>
      </c>
      <c r="BJ27" t="s">
        <v>99</v>
      </c>
      <c r="BK27" t="s">
        <v>100</v>
      </c>
      <c r="BL27">
        <v>0.59765532260795307</v>
      </c>
    </row>
    <row r="28" spans="2:64" x14ac:dyDescent="0.45">
      <c r="B28" t="s">
        <v>424</v>
      </c>
      <c r="C28" t="s">
        <v>95</v>
      </c>
      <c r="D28">
        <v>0.29745403524960862</v>
      </c>
      <c r="E28">
        <v>0.34259658787144703</v>
      </c>
      <c r="F28">
        <v>0.29204413521838746</v>
      </c>
      <c r="G28">
        <v>0.31890607694378137</v>
      </c>
      <c r="H28">
        <v>0.37113083702252847</v>
      </c>
      <c r="I28">
        <v>0.3269331411446289</v>
      </c>
      <c r="J28">
        <v>0.31673933218760952</v>
      </c>
      <c r="K28">
        <v>0.40409103828569215</v>
      </c>
      <c r="L28">
        <v>0.3537500530779622</v>
      </c>
      <c r="M28">
        <v>0.34137941670659699</v>
      </c>
      <c r="N28">
        <v>0.37327192146977328</v>
      </c>
      <c r="O28">
        <v>0.33231525830864883</v>
      </c>
      <c r="AU28" t="s">
        <v>424</v>
      </c>
      <c r="AV28">
        <v>0.44066143807216801</v>
      </c>
      <c r="AW28">
        <v>0.4025121495046306</v>
      </c>
      <c r="AX28">
        <v>0.43111663096436836</v>
      </c>
      <c r="AY28">
        <v>0.3161963080468585</v>
      </c>
      <c r="AZ28">
        <v>0.30587092653785547</v>
      </c>
      <c r="BA28">
        <v>0.32248868445009687</v>
      </c>
      <c r="BB28">
        <v>0.22726474872768263</v>
      </c>
      <c r="BC28">
        <v>0.17490504485162181</v>
      </c>
      <c r="BD28">
        <v>0.22701699623486979</v>
      </c>
      <c r="BE28">
        <v>0.34923015180973549</v>
      </c>
      <c r="BF28">
        <v>0.3201364350060184</v>
      </c>
      <c r="BG28">
        <v>0.37631497241143402</v>
      </c>
      <c r="BI28" t="s">
        <v>431</v>
      </c>
      <c r="BJ28" t="s">
        <v>99</v>
      </c>
      <c r="BK28" t="s">
        <v>100</v>
      </c>
      <c r="BL28">
        <v>0.46242450414746955</v>
      </c>
    </row>
    <row r="29" spans="2:64" x14ac:dyDescent="0.45">
      <c r="B29" t="s">
        <v>426</v>
      </c>
      <c r="C29" t="s">
        <v>95</v>
      </c>
      <c r="D29">
        <v>0.30409845691029286</v>
      </c>
      <c r="E29">
        <v>0.34080764022552018</v>
      </c>
      <c r="F29">
        <v>0.29433110548290981</v>
      </c>
      <c r="G29">
        <v>0.31792490387470806</v>
      </c>
      <c r="H29">
        <v>0.36338562849666628</v>
      </c>
      <c r="I29">
        <v>0.34130533990633832</v>
      </c>
      <c r="J29">
        <v>0.3089091260209777</v>
      </c>
      <c r="K29">
        <v>0.39249822376482163</v>
      </c>
      <c r="L29">
        <v>0.35228110601070328</v>
      </c>
      <c r="M29">
        <v>0.34546050036479226</v>
      </c>
      <c r="N29">
        <v>0.37113506059971613</v>
      </c>
      <c r="O29">
        <v>0.33099256609959876</v>
      </c>
      <c r="AU29" t="s">
        <v>426</v>
      </c>
      <c r="AV29">
        <v>0.43963312890296541</v>
      </c>
      <c r="AW29">
        <v>0.40563355279362034</v>
      </c>
      <c r="AX29">
        <v>0.43168860325995073</v>
      </c>
      <c r="AY29">
        <v>0.33851331660369632</v>
      </c>
      <c r="AZ29">
        <v>0.32013434695330467</v>
      </c>
      <c r="BA29">
        <v>0.32607126292271499</v>
      </c>
      <c r="BB29">
        <v>0.23987689241007698</v>
      </c>
      <c r="BC29">
        <v>0.18518126870723159</v>
      </c>
      <c r="BD29">
        <v>0.23948199430647629</v>
      </c>
      <c r="BE29">
        <v>0.35368785761446425</v>
      </c>
      <c r="BF29">
        <v>0.33260813022242186</v>
      </c>
      <c r="BG29">
        <v>0.38679415574800496</v>
      </c>
      <c r="BI29" t="s">
        <v>432</v>
      </c>
      <c r="BJ29" t="s">
        <v>99</v>
      </c>
      <c r="BK29" t="s">
        <v>100</v>
      </c>
      <c r="BL29">
        <v>0.50207199776428624</v>
      </c>
    </row>
    <row r="30" spans="2:64" x14ac:dyDescent="0.45">
      <c r="B30" t="s">
        <v>428</v>
      </c>
      <c r="C30" t="s">
        <v>95</v>
      </c>
      <c r="D30">
        <v>0.25397777004395949</v>
      </c>
      <c r="E30">
        <v>0.27703045733522963</v>
      </c>
      <c r="F30">
        <v>0.25316513878798586</v>
      </c>
      <c r="G30">
        <v>0.28855701701143166</v>
      </c>
      <c r="H30">
        <v>0.30188475028529277</v>
      </c>
      <c r="I30">
        <v>0.2782146525379558</v>
      </c>
      <c r="J30">
        <v>0.29989043523905146</v>
      </c>
      <c r="K30">
        <v>0.33264608498563486</v>
      </c>
      <c r="L30">
        <v>0.31833641201891011</v>
      </c>
      <c r="M30">
        <v>0.26132517053500443</v>
      </c>
      <c r="N30">
        <v>0.28500119672204166</v>
      </c>
      <c r="O30">
        <v>0.26696113884058753</v>
      </c>
      <c r="AU30" t="s">
        <v>428</v>
      </c>
      <c r="AV30">
        <v>0.58352772149580645</v>
      </c>
      <c r="AW30">
        <v>0.57166009489516301</v>
      </c>
      <c r="AX30">
        <v>0.58851987939742134</v>
      </c>
      <c r="AY30">
        <v>0.48984292630633103</v>
      </c>
      <c r="AZ30">
        <v>0.46184573050698768</v>
      </c>
      <c r="BA30">
        <v>0.5088710874557002</v>
      </c>
      <c r="BB30">
        <v>0.35984456329079001</v>
      </c>
      <c r="BC30">
        <v>0.35215034097336695</v>
      </c>
      <c r="BD30">
        <v>0.36590663653233396</v>
      </c>
      <c r="BE30">
        <v>0.52623643607203718</v>
      </c>
      <c r="BF30">
        <v>0.51570120926581975</v>
      </c>
      <c r="BG30">
        <v>0.53443562302369352</v>
      </c>
      <c r="BI30" t="s">
        <v>433</v>
      </c>
      <c r="BJ30" t="s">
        <v>99</v>
      </c>
      <c r="BK30" t="s">
        <v>100</v>
      </c>
      <c r="BL30">
        <v>0.52500252748830933</v>
      </c>
    </row>
    <row r="31" spans="2:64" x14ac:dyDescent="0.45">
      <c r="B31" t="s">
        <v>429</v>
      </c>
      <c r="C31" t="s">
        <v>95</v>
      </c>
      <c r="D31">
        <v>0.23012866678404434</v>
      </c>
      <c r="E31">
        <v>0.24732119908759928</v>
      </c>
      <c r="F31">
        <v>0.21415430762644624</v>
      </c>
      <c r="G31">
        <v>0.26559582221394551</v>
      </c>
      <c r="H31">
        <v>0.26333318353161245</v>
      </c>
      <c r="I31">
        <v>0.24195380670169553</v>
      </c>
      <c r="J31">
        <v>0.28710522312081815</v>
      </c>
      <c r="K31">
        <v>0.31072973195044717</v>
      </c>
      <c r="L31">
        <v>0.30369722303340518</v>
      </c>
      <c r="M31">
        <v>0.25411621500944392</v>
      </c>
      <c r="N31">
        <v>0.25298270045399074</v>
      </c>
      <c r="O31">
        <v>0.24568430174569275</v>
      </c>
      <c r="AU31" t="s">
        <v>429</v>
      </c>
      <c r="AV31">
        <v>0.66117465195347835</v>
      </c>
      <c r="AW31">
        <v>0.64455511549354072</v>
      </c>
      <c r="AX31">
        <v>0.66980485146765367</v>
      </c>
      <c r="AY31">
        <v>0.58432848443467411</v>
      </c>
      <c r="AZ31">
        <v>0.56800936169884131</v>
      </c>
      <c r="BA31">
        <v>0.62706366458868446</v>
      </c>
      <c r="BB31">
        <v>0.44882051327481226</v>
      </c>
      <c r="BC31">
        <v>0.42680059785205027</v>
      </c>
      <c r="BD31">
        <v>0.44349218319455586</v>
      </c>
      <c r="BE31">
        <v>0.60460321174703202</v>
      </c>
      <c r="BF31">
        <v>0.60764573323964244</v>
      </c>
      <c r="BG31">
        <v>0.62971182689295713</v>
      </c>
      <c r="BI31" t="s">
        <v>419</v>
      </c>
      <c r="BJ31" t="s">
        <v>99</v>
      </c>
      <c r="BK31" t="s">
        <v>100</v>
      </c>
      <c r="BL31">
        <v>0.64436823222010087</v>
      </c>
    </row>
    <row r="32" spans="2:64" x14ac:dyDescent="0.45">
      <c r="B32" t="s">
        <v>430</v>
      </c>
      <c r="C32" t="s">
        <v>95</v>
      </c>
      <c r="D32">
        <v>0.24687044227043126</v>
      </c>
      <c r="E32">
        <v>0.27747676305519992</v>
      </c>
      <c r="F32">
        <v>0.23431388347294343</v>
      </c>
      <c r="G32">
        <v>0.281986273736546</v>
      </c>
      <c r="H32">
        <v>0.28563170138064159</v>
      </c>
      <c r="I32">
        <v>0.25307861023948791</v>
      </c>
      <c r="J32">
        <v>0.30267808724920586</v>
      </c>
      <c r="K32">
        <v>0.34119714562528425</v>
      </c>
      <c r="L32">
        <v>0.32851799022221118</v>
      </c>
      <c r="M32">
        <v>0.29604515818340066</v>
      </c>
      <c r="N32">
        <v>0.29533929314575702</v>
      </c>
      <c r="O32">
        <v>0.27830537750754225</v>
      </c>
      <c r="AU32" t="s">
        <v>430</v>
      </c>
      <c r="AV32">
        <v>0.59141376768785614</v>
      </c>
      <c r="AW32">
        <v>0.56248863756475664</v>
      </c>
      <c r="AX32">
        <v>0.60282288744563284</v>
      </c>
      <c r="AY32">
        <v>0.49283193307622747</v>
      </c>
      <c r="AZ32">
        <v>0.46512276886788134</v>
      </c>
      <c r="BA32">
        <v>0.52976958069393199</v>
      </c>
      <c r="BB32">
        <v>0.35963770871171047</v>
      </c>
      <c r="BC32">
        <v>0.33018866750200038</v>
      </c>
      <c r="BD32">
        <v>0.3627059568554345</v>
      </c>
      <c r="BE32">
        <v>0.50243975682055986</v>
      </c>
      <c r="BF32">
        <v>0.50630452974218032</v>
      </c>
      <c r="BG32">
        <v>0.53657157209022111</v>
      </c>
      <c r="BI32" t="s">
        <v>421</v>
      </c>
      <c r="BJ32" t="s">
        <v>99</v>
      </c>
      <c r="BK32" t="s">
        <v>100</v>
      </c>
      <c r="BL32">
        <v>0.66108969562359288</v>
      </c>
    </row>
    <row r="33" spans="2:64" x14ac:dyDescent="0.45">
      <c r="B33" t="s">
        <v>431</v>
      </c>
      <c r="C33" t="s">
        <v>95</v>
      </c>
      <c r="D33">
        <v>0.28490882115959659</v>
      </c>
      <c r="E33">
        <v>0.32983397204392217</v>
      </c>
      <c r="F33">
        <v>0.29272329196853064</v>
      </c>
      <c r="G33">
        <v>0.31479841496142558</v>
      </c>
      <c r="H33">
        <v>0.34937928657598705</v>
      </c>
      <c r="I33">
        <v>0.29678359544174721</v>
      </c>
      <c r="J33">
        <v>0.30721052940170612</v>
      </c>
      <c r="K33">
        <v>0.38447429903199981</v>
      </c>
      <c r="L33">
        <v>0.31759318737297881</v>
      </c>
      <c r="M33">
        <v>0.31593101278942948</v>
      </c>
      <c r="N33">
        <v>0.34231061095490206</v>
      </c>
      <c r="O33">
        <v>0.30860969863756538</v>
      </c>
      <c r="AU33" t="s">
        <v>431</v>
      </c>
      <c r="AV33">
        <v>0.46635038577748894</v>
      </c>
      <c r="AW33">
        <v>0.44356605483539108</v>
      </c>
      <c r="AX33">
        <v>0.46924844717829067</v>
      </c>
      <c r="AY33">
        <v>0.35322032478667764</v>
      </c>
      <c r="AZ33">
        <v>0.32461108888309326</v>
      </c>
      <c r="BA33">
        <v>0.35498689063026501</v>
      </c>
      <c r="BB33">
        <v>0.2402733968068658</v>
      </c>
      <c r="BC33">
        <v>0.221279111543149</v>
      </c>
      <c r="BD33">
        <v>0.24497563040001499</v>
      </c>
      <c r="BE33">
        <v>0.38705816818571054</v>
      </c>
      <c r="BF33">
        <v>0.36616375051620742</v>
      </c>
      <c r="BG33">
        <v>0.39262091090791251</v>
      </c>
      <c r="BI33" t="s">
        <v>423</v>
      </c>
      <c r="BJ33" t="s">
        <v>99</v>
      </c>
      <c r="BK33" t="s">
        <v>100</v>
      </c>
      <c r="BL33">
        <v>0.65821420493259752</v>
      </c>
    </row>
    <row r="34" spans="2:64" x14ac:dyDescent="0.45">
      <c r="B34" t="s">
        <v>432</v>
      </c>
      <c r="C34" t="s">
        <v>95</v>
      </c>
      <c r="D34">
        <v>0.2719281207527659</v>
      </c>
      <c r="E34">
        <v>0.31752156372060364</v>
      </c>
      <c r="F34">
        <v>0.26862780298099542</v>
      </c>
      <c r="G34">
        <v>0.30319772154355101</v>
      </c>
      <c r="H34">
        <v>0.32255578983594768</v>
      </c>
      <c r="I34">
        <v>0.28835721163699651</v>
      </c>
      <c r="J34">
        <v>0.31653663199160587</v>
      </c>
      <c r="K34">
        <v>0.38102117988266093</v>
      </c>
      <c r="L34">
        <v>0.34045739777022538</v>
      </c>
      <c r="M34">
        <v>0.33490831325868209</v>
      </c>
      <c r="N34">
        <v>0.34441966761184351</v>
      </c>
      <c r="O34">
        <v>0.31286423683382575</v>
      </c>
      <c r="AU34" t="s">
        <v>432</v>
      </c>
      <c r="AV34">
        <v>0.50552507088314746</v>
      </c>
      <c r="AW34">
        <v>0.46868356986338117</v>
      </c>
      <c r="AX34">
        <v>0.50676148411717126</v>
      </c>
      <c r="AY34">
        <v>0.3862423604825917</v>
      </c>
      <c r="AZ34">
        <v>0.36289825682565224</v>
      </c>
      <c r="BA34">
        <v>0.40225567702107884</v>
      </c>
      <c r="BB34">
        <v>0.26941261455881682</v>
      </c>
      <c r="BC34">
        <v>0.23323101667122345</v>
      </c>
      <c r="BD34">
        <v>0.27323307389463464</v>
      </c>
      <c r="BE34">
        <v>0.40342458644406409</v>
      </c>
      <c r="BF34">
        <v>0.39220686529934995</v>
      </c>
      <c r="BG34">
        <v>0.4365687076565466</v>
      </c>
      <c r="BI34" t="s">
        <v>425</v>
      </c>
      <c r="BJ34" t="s">
        <v>99</v>
      </c>
      <c r="BK34" t="s">
        <v>100</v>
      </c>
      <c r="BL34">
        <v>0.65103187393804551</v>
      </c>
    </row>
    <row r="35" spans="2:64" x14ac:dyDescent="0.45">
      <c r="B35" t="s">
        <v>433</v>
      </c>
      <c r="C35" t="s">
        <v>95</v>
      </c>
      <c r="D35">
        <v>0.27132105088197145</v>
      </c>
      <c r="E35">
        <v>0.30397466714038224</v>
      </c>
      <c r="F35">
        <v>0.26585808194976851</v>
      </c>
      <c r="G35">
        <v>0.30868226935285276</v>
      </c>
      <c r="H35">
        <v>0.33086120684271342</v>
      </c>
      <c r="I35">
        <v>0.30513043211150898</v>
      </c>
      <c r="J35">
        <v>0.32547556407119221</v>
      </c>
      <c r="K35">
        <v>0.3800567891553539</v>
      </c>
      <c r="L35">
        <v>0.36131843113966594</v>
      </c>
      <c r="M35">
        <v>0.32699724328233654</v>
      </c>
      <c r="N35">
        <v>0.33381681574225402</v>
      </c>
      <c r="O35">
        <v>0.31715246948716802</v>
      </c>
      <c r="AU35" t="s">
        <v>433</v>
      </c>
      <c r="AV35">
        <v>0.52431589526531752</v>
      </c>
      <c r="AW35">
        <v>0.49039818249021966</v>
      </c>
      <c r="AX35">
        <v>0.52691124376832266</v>
      </c>
      <c r="AY35">
        <v>0.41361007143290329</v>
      </c>
      <c r="AZ35">
        <v>0.39978690844879528</v>
      </c>
      <c r="BA35">
        <v>0.4204073042218216</v>
      </c>
      <c r="BB35">
        <v>0.30703472655611974</v>
      </c>
      <c r="BC35">
        <v>0.24948931336200431</v>
      </c>
      <c r="BD35">
        <v>0.31117761493500229</v>
      </c>
      <c r="BE35">
        <v>0.42842445316645161</v>
      </c>
      <c r="BF35">
        <v>0.41190599912782661</v>
      </c>
      <c r="BG35">
        <v>0.46002675049883679</v>
      </c>
      <c r="BI35" t="s">
        <v>427</v>
      </c>
      <c r="BJ35" t="s">
        <v>99</v>
      </c>
      <c r="BK35" t="s">
        <v>100</v>
      </c>
      <c r="BL35">
        <v>0.65448878994055126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17DF2-0548-437A-A1E0-4C3E1817ADA0}">
  <dimension ref="A9:S1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region=NLD")</f>
        <v>~TFM_DINS-AT: region=NLD</v>
      </c>
      <c r="H9" t="str">
        <f>IF(A11="x","DeActivated","~TFM_DINS-AT: region=NLD")</f>
        <v>~TFM_DINS-AT: region=NLD</v>
      </c>
      <c r="L9" t="str">
        <f>IF(A11="x","DeActivated","~TFM_DINS-AT: region=NLD")</f>
        <v>~TFM_DINS-AT: region=NLD</v>
      </c>
      <c r="P9" t="str">
        <f>IF(A11="x","DeActivated","~TFM_INS-AT: region=NLD")</f>
        <v>~TFM_INS-AT: region=NLD</v>
      </c>
    </row>
    <row r="10" spans="1:19" x14ac:dyDescent="0.45">
      <c r="A10" t="s">
        <v>177</v>
      </c>
      <c r="C10" t="s">
        <v>178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179</v>
      </c>
      <c r="P10" t="s">
        <v>180</v>
      </c>
      <c r="Q10" t="s">
        <v>1</v>
      </c>
      <c r="R10" t="s">
        <v>181</v>
      </c>
      <c r="S10" t="s">
        <v>182</v>
      </c>
    </row>
    <row r="11" spans="1:19" x14ac:dyDescent="0.45">
      <c r="C11">
        <v>8.2191780821917804E-2</v>
      </c>
      <c r="D11">
        <v>4.555602515973449E-2</v>
      </c>
      <c r="E11" t="s">
        <v>5</v>
      </c>
      <c r="F11" t="s">
        <v>183</v>
      </c>
      <c r="H11" t="s">
        <v>184</v>
      </c>
      <c r="I11" t="s">
        <v>5</v>
      </c>
      <c r="L11" t="s">
        <v>185</v>
      </c>
      <c r="M11" t="s">
        <v>5</v>
      </c>
      <c r="N11">
        <v>0.3449856552501267</v>
      </c>
      <c r="P11">
        <v>2020</v>
      </c>
      <c r="Q11" t="s">
        <v>186</v>
      </c>
      <c r="R11">
        <v>0.224</v>
      </c>
      <c r="S11" t="s">
        <v>187</v>
      </c>
    </row>
    <row r="12" spans="1:19" x14ac:dyDescent="0.45">
      <c r="C12">
        <v>0.10273972602739725</v>
      </c>
      <c r="D12">
        <v>0.14672202471222937</v>
      </c>
      <c r="E12" t="s">
        <v>9</v>
      </c>
      <c r="F12" t="s">
        <v>183</v>
      </c>
      <c r="H12" t="s">
        <v>184</v>
      </c>
      <c r="I12" t="s">
        <v>9</v>
      </c>
      <c r="L12" t="s">
        <v>185</v>
      </c>
      <c r="M12" t="s">
        <v>9</v>
      </c>
      <c r="N12">
        <v>9.3535733456153958E-2</v>
      </c>
      <c r="P12">
        <v>2020</v>
      </c>
      <c r="Q12" t="s">
        <v>188</v>
      </c>
      <c r="R12">
        <v>0.22773333333333334</v>
      </c>
      <c r="S12" t="s">
        <v>187</v>
      </c>
    </row>
    <row r="13" spans="1:19" x14ac:dyDescent="0.45">
      <c r="C13">
        <v>6.1643835616438353E-2</v>
      </c>
      <c r="D13">
        <v>5.4297292593789633E-2</v>
      </c>
      <c r="E13" t="s">
        <v>10</v>
      </c>
      <c r="F13" t="s">
        <v>183</v>
      </c>
      <c r="H13" t="s">
        <v>184</v>
      </c>
      <c r="I13" t="s">
        <v>10</v>
      </c>
      <c r="L13" t="s">
        <v>185</v>
      </c>
      <c r="M13" t="s">
        <v>10</v>
      </c>
      <c r="N13">
        <v>0.15657759078887556</v>
      </c>
      <c r="P13">
        <v>2020</v>
      </c>
      <c r="Q13" t="s">
        <v>189</v>
      </c>
      <c r="R13">
        <v>0</v>
      </c>
      <c r="S13" t="s">
        <v>187</v>
      </c>
    </row>
    <row r="14" spans="1:19" x14ac:dyDescent="0.45">
      <c r="C14">
        <v>8.4018264840182655E-2</v>
      </c>
      <c r="D14">
        <v>4.6568381274395249E-2</v>
      </c>
      <c r="E14" t="s">
        <v>11</v>
      </c>
      <c r="F14" t="s">
        <v>183</v>
      </c>
      <c r="H14" t="s">
        <v>184</v>
      </c>
      <c r="I14" t="s">
        <v>11</v>
      </c>
      <c r="L14" t="s">
        <v>185</v>
      </c>
      <c r="M14" t="s">
        <v>11</v>
      </c>
      <c r="N14">
        <v>0.36201578392516631</v>
      </c>
      <c r="P14">
        <v>2020</v>
      </c>
      <c r="Q14" t="s">
        <v>190</v>
      </c>
      <c r="R14">
        <v>0</v>
      </c>
      <c r="S14" t="s">
        <v>187</v>
      </c>
    </row>
    <row r="15" spans="1:19" x14ac:dyDescent="0.45">
      <c r="C15">
        <v>0.1050228310502283</v>
      </c>
      <c r="D15">
        <v>0.14998251415027888</v>
      </c>
      <c r="E15" t="s">
        <v>12</v>
      </c>
      <c r="F15" t="s">
        <v>183</v>
      </c>
      <c r="H15" t="s">
        <v>184</v>
      </c>
      <c r="I15" t="s">
        <v>12</v>
      </c>
      <c r="L15" t="s">
        <v>185</v>
      </c>
      <c r="M15" t="s">
        <v>12</v>
      </c>
      <c r="N15">
        <v>0.12321329048280827</v>
      </c>
      <c r="P15">
        <v>2021</v>
      </c>
      <c r="Q15" t="s">
        <v>186</v>
      </c>
      <c r="R15">
        <v>0.112</v>
      </c>
      <c r="S15" t="s">
        <v>187</v>
      </c>
    </row>
    <row r="16" spans="1:19" x14ac:dyDescent="0.45">
      <c r="C16">
        <v>6.3013698630136991E-2</v>
      </c>
      <c r="D16">
        <v>5.5503899095873853E-2</v>
      </c>
      <c r="E16" t="s">
        <v>13</v>
      </c>
      <c r="F16" t="s">
        <v>183</v>
      </c>
      <c r="H16" t="s">
        <v>184</v>
      </c>
      <c r="I16" t="s">
        <v>13</v>
      </c>
      <c r="L16" t="s">
        <v>185</v>
      </c>
      <c r="M16" t="s">
        <v>13</v>
      </c>
      <c r="N16">
        <v>0.20555137468269513</v>
      </c>
      <c r="P16">
        <v>2021</v>
      </c>
      <c r="Q16" t="s">
        <v>188</v>
      </c>
      <c r="R16">
        <v>0.33973333333333339</v>
      </c>
      <c r="S16" t="s">
        <v>187</v>
      </c>
    </row>
    <row r="17" spans="3:19" x14ac:dyDescent="0.45">
      <c r="C17">
        <v>8.4018264840182655E-2</v>
      </c>
      <c r="D17">
        <v>4.6568381274395249E-2</v>
      </c>
      <c r="E17" t="s">
        <v>14</v>
      </c>
      <c r="F17" t="s">
        <v>183</v>
      </c>
      <c r="H17" t="s">
        <v>184</v>
      </c>
      <c r="I17" t="s">
        <v>14</v>
      </c>
      <c r="L17" t="s">
        <v>185</v>
      </c>
      <c r="M17" t="s">
        <v>14</v>
      </c>
      <c r="N17">
        <v>0.26511560349058816</v>
      </c>
      <c r="P17">
        <v>2021</v>
      </c>
      <c r="Q17" t="s">
        <v>189</v>
      </c>
      <c r="R17">
        <v>0.33973333333333339</v>
      </c>
      <c r="S17" t="s">
        <v>187</v>
      </c>
    </row>
    <row r="18" spans="3:19" x14ac:dyDescent="0.45">
      <c r="C18">
        <v>0.1050228310502283</v>
      </c>
      <c r="D18">
        <v>0.14998251415027888</v>
      </c>
      <c r="E18" t="s">
        <v>15</v>
      </c>
      <c r="F18" t="s">
        <v>183</v>
      </c>
      <c r="H18" t="s">
        <v>184</v>
      </c>
      <c r="I18" t="s">
        <v>15</v>
      </c>
      <c r="L18" t="s">
        <v>185</v>
      </c>
      <c r="M18" t="s">
        <v>15</v>
      </c>
      <c r="N18">
        <v>0.10810298948550212</v>
      </c>
      <c r="P18">
        <v>2021</v>
      </c>
      <c r="Q18" t="s">
        <v>190</v>
      </c>
      <c r="R18">
        <v>0</v>
      </c>
      <c r="S18" t="s">
        <v>187</v>
      </c>
    </row>
    <row r="19" spans="3:19" x14ac:dyDescent="0.45">
      <c r="C19">
        <v>6.3013698630136991E-2</v>
      </c>
      <c r="D19">
        <v>5.5503899095873853E-2</v>
      </c>
      <c r="E19" t="s">
        <v>16</v>
      </c>
      <c r="F19" t="s">
        <v>183</v>
      </c>
      <c r="H19" t="s">
        <v>184</v>
      </c>
      <c r="I19" t="s">
        <v>16</v>
      </c>
      <c r="L19" t="s">
        <v>185</v>
      </c>
      <c r="M19" t="s">
        <v>16</v>
      </c>
      <c r="N19">
        <v>0.13927479396661169</v>
      </c>
      <c r="P19">
        <v>2022</v>
      </c>
      <c r="Q19" t="s">
        <v>186</v>
      </c>
      <c r="R19">
        <v>0.23599999999999999</v>
      </c>
      <c r="S19" t="s">
        <v>187</v>
      </c>
    </row>
    <row r="20" spans="3:19" x14ac:dyDescent="0.45">
      <c r="C20">
        <v>8.3105022831050229E-2</v>
      </c>
      <c r="D20">
        <v>4.6062203217064869E-2</v>
      </c>
      <c r="E20" t="s">
        <v>17</v>
      </c>
      <c r="F20" t="s">
        <v>183</v>
      </c>
      <c r="H20" t="s">
        <v>184</v>
      </c>
      <c r="I20" t="s">
        <v>17</v>
      </c>
      <c r="L20" t="s">
        <v>185</v>
      </c>
      <c r="M20" t="s">
        <v>17</v>
      </c>
      <c r="N20">
        <v>0.36096409439554922</v>
      </c>
      <c r="P20">
        <v>2022</v>
      </c>
      <c r="Q20" t="s">
        <v>188</v>
      </c>
      <c r="R20">
        <v>0.22773333333333334</v>
      </c>
      <c r="S20" t="s">
        <v>187</v>
      </c>
    </row>
    <row r="21" spans="3:19" x14ac:dyDescent="0.45">
      <c r="C21">
        <v>0.10388127853881278</v>
      </c>
      <c r="D21">
        <v>0.14835226943125412</v>
      </c>
      <c r="E21" t="s">
        <v>18</v>
      </c>
      <c r="F21" t="s">
        <v>183</v>
      </c>
      <c r="H21" t="s">
        <v>184</v>
      </c>
      <c r="I21" t="s">
        <v>18</v>
      </c>
      <c r="L21" t="s">
        <v>185</v>
      </c>
      <c r="M21" t="s">
        <v>18</v>
      </c>
      <c r="N21">
        <v>0.16283081918356523</v>
      </c>
      <c r="P21">
        <v>2022</v>
      </c>
      <c r="Q21" t="s">
        <v>189</v>
      </c>
      <c r="R21">
        <v>0</v>
      </c>
      <c r="S21" t="s">
        <v>187</v>
      </c>
    </row>
    <row r="22" spans="3:19" x14ac:dyDescent="0.45">
      <c r="C22">
        <v>6.2328767123287672E-2</v>
      </c>
      <c r="D22">
        <v>5.4900595844831736E-2</v>
      </c>
      <c r="E22" t="s">
        <v>19</v>
      </c>
      <c r="F22" t="s">
        <v>183</v>
      </c>
      <c r="H22" t="s">
        <v>184</v>
      </c>
      <c r="I22" t="s">
        <v>19</v>
      </c>
      <c r="L22" t="s">
        <v>185</v>
      </c>
      <c r="M22" t="s">
        <v>19</v>
      </c>
      <c r="N22">
        <v>0.2097512168843787</v>
      </c>
      <c r="P22">
        <v>2022</v>
      </c>
      <c r="Q22" t="s">
        <v>190</v>
      </c>
      <c r="R22">
        <v>0</v>
      </c>
      <c r="S22" t="s">
        <v>187</v>
      </c>
    </row>
    <row r="23" spans="3:19" x14ac:dyDescent="0.45">
      <c r="H23" t="s">
        <v>191</v>
      </c>
      <c r="I23" t="s">
        <v>5</v>
      </c>
      <c r="P23">
        <v>2025</v>
      </c>
      <c r="Q23" t="s">
        <v>186</v>
      </c>
      <c r="R23">
        <v>0.37153333333333333</v>
      </c>
      <c r="S23" t="s">
        <v>187</v>
      </c>
    </row>
    <row r="24" spans="3:19" x14ac:dyDescent="0.45">
      <c r="H24" t="s">
        <v>191</v>
      </c>
      <c r="I24" t="s">
        <v>9</v>
      </c>
      <c r="P24">
        <v>2025</v>
      </c>
      <c r="Q24" t="s">
        <v>188</v>
      </c>
      <c r="R24">
        <v>0.44846666666666674</v>
      </c>
      <c r="S24" t="s">
        <v>187</v>
      </c>
    </row>
    <row r="25" spans="3:19" x14ac:dyDescent="0.45">
      <c r="H25" t="s">
        <v>191</v>
      </c>
      <c r="I25" t="s">
        <v>10</v>
      </c>
      <c r="P25">
        <v>2025</v>
      </c>
      <c r="Q25" t="s">
        <v>189</v>
      </c>
      <c r="R25">
        <v>0.16653333333333334</v>
      </c>
      <c r="S25" t="s">
        <v>187</v>
      </c>
    </row>
    <row r="26" spans="3:19" x14ac:dyDescent="0.45">
      <c r="H26" t="s">
        <v>191</v>
      </c>
      <c r="I26" t="s">
        <v>11</v>
      </c>
      <c r="P26">
        <v>2025</v>
      </c>
      <c r="Q26" t="s">
        <v>190</v>
      </c>
      <c r="R26">
        <v>6.8699999999999997E-2</v>
      </c>
      <c r="S26" t="s">
        <v>187</v>
      </c>
    </row>
    <row r="27" spans="3:19" x14ac:dyDescent="0.45">
      <c r="H27" t="s">
        <v>191</v>
      </c>
      <c r="I27" t="s">
        <v>12</v>
      </c>
      <c r="P27">
        <v>2026</v>
      </c>
      <c r="Q27" t="s">
        <v>186</v>
      </c>
      <c r="R27">
        <v>0.32670000000000005</v>
      </c>
      <c r="S27" t="s">
        <v>187</v>
      </c>
    </row>
    <row r="28" spans="3:19" x14ac:dyDescent="0.45">
      <c r="H28" t="s">
        <v>191</v>
      </c>
      <c r="I28" t="s">
        <v>13</v>
      </c>
      <c r="P28">
        <v>2026</v>
      </c>
      <c r="Q28" t="s">
        <v>188</v>
      </c>
      <c r="R28">
        <v>0.41173333333333328</v>
      </c>
      <c r="S28" t="s">
        <v>187</v>
      </c>
    </row>
    <row r="29" spans="3:19" x14ac:dyDescent="0.45">
      <c r="H29" t="s">
        <v>191</v>
      </c>
      <c r="I29" t="s">
        <v>14</v>
      </c>
      <c r="P29">
        <v>2026</v>
      </c>
      <c r="Q29" t="s">
        <v>189</v>
      </c>
      <c r="R29">
        <v>0.11769999999999999</v>
      </c>
      <c r="S29" t="s">
        <v>187</v>
      </c>
    </row>
    <row r="30" spans="3:19" x14ac:dyDescent="0.45">
      <c r="H30" t="s">
        <v>191</v>
      </c>
      <c r="I30" t="s">
        <v>15</v>
      </c>
      <c r="P30">
        <v>2026</v>
      </c>
      <c r="Q30" t="s">
        <v>190</v>
      </c>
      <c r="R30">
        <v>0.1123</v>
      </c>
      <c r="S30" t="s">
        <v>187</v>
      </c>
    </row>
    <row r="31" spans="3:19" x14ac:dyDescent="0.45">
      <c r="H31" t="s">
        <v>191</v>
      </c>
      <c r="I31" t="s">
        <v>16</v>
      </c>
      <c r="P31">
        <v>2027</v>
      </c>
      <c r="Q31" t="s">
        <v>186</v>
      </c>
      <c r="R31">
        <v>0.31303333333333333</v>
      </c>
      <c r="S31" t="s">
        <v>187</v>
      </c>
    </row>
    <row r="32" spans="3:19" x14ac:dyDescent="0.45">
      <c r="H32" t="s">
        <v>191</v>
      </c>
      <c r="I32" t="s">
        <v>17</v>
      </c>
      <c r="P32">
        <v>2027</v>
      </c>
      <c r="Q32" t="s">
        <v>188</v>
      </c>
      <c r="R32">
        <v>0.4456</v>
      </c>
      <c r="S32" t="s">
        <v>187</v>
      </c>
    </row>
    <row r="33" spans="8:19" x14ac:dyDescent="0.45">
      <c r="H33" t="s">
        <v>191</v>
      </c>
      <c r="I33" t="s">
        <v>18</v>
      </c>
      <c r="P33">
        <v>2027</v>
      </c>
      <c r="Q33" t="s">
        <v>189</v>
      </c>
      <c r="R33">
        <v>8.3799999999999999E-2</v>
      </c>
      <c r="S33" t="s">
        <v>187</v>
      </c>
    </row>
    <row r="34" spans="8:19" x14ac:dyDescent="0.45">
      <c r="H34" t="s">
        <v>191</v>
      </c>
      <c r="I34" t="s">
        <v>19</v>
      </c>
      <c r="P34">
        <v>2027</v>
      </c>
      <c r="Q34" t="s">
        <v>190</v>
      </c>
      <c r="R34">
        <v>8.3966666666666676E-2</v>
      </c>
      <c r="S34" t="s">
        <v>187</v>
      </c>
    </row>
    <row r="35" spans="8:19" x14ac:dyDescent="0.45">
      <c r="P35">
        <v>2028</v>
      </c>
      <c r="Q35" t="s">
        <v>186</v>
      </c>
      <c r="R35">
        <v>0.4291666666666667</v>
      </c>
      <c r="S35" t="s">
        <v>187</v>
      </c>
    </row>
    <row r="36" spans="8:19" x14ac:dyDescent="0.45">
      <c r="P36">
        <v>2028</v>
      </c>
      <c r="Q36" t="s">
        <v>188</v>
      </c>
      <c r="R36">
        <v>0.53203333333333325</v>
      </c>
      <c r="S36" t="s">
        <v>187</v>
      </c>
    </row>
    <row r="37" spans="8:19" x14ac:dyDescent="0.45">
      <c r="P37">
        <v>2028</v>
      </c>
      <c r="Q37" t="s">
        <v>189</v>
      </c>
      <c r="R37">
        <v>0.18000000000000002</v>
      </c>
      <c r="S37" t="s">
        <v>187</v>
      </c>
    </row>
    <row r="38" spans="8:19" x14ac:dyDescent="0.45">
      <c r="P38">
        <v>2028</v>
      </c>
      <c r="Q38" t="s">
        <v>190</v>
      </c>
      <c r="R38">
        <v>0.111</v>
      </c>
      <c r="S38" t="s">
        <v>187</v>
      </c>
    </row>
    <row r="39" spans="8:19" x14ac:dyDescent="0.45">
      <c r="P39">
        <v>2029</v>
      </c>
      <c r="Q39" t="s">
        <v>186</v>
      </c>
      <c r="R39">
        <v>0.441</v>
      </c>
      <c r="S39" t="s">
        <v>187</v>
      </c>
    </row>
    <row r="40" spans="8:19" x14ac:dyDescent="0.45">
      <c r="P40">
        <v>2029</v>
      </c>
      <c r="Q40" t="s">
        <v>188</v>
      </c>
      <c r="R40">
        <v>0.55983333333333329</v>
      </c>
      <c r="S40" t="s">
        <v>187</v>
      </c>
    </row>
    <row r="41" spans="8:19" x14ac:dyDescent="0.45">
      <c r="P41">
        <v>2029</v>
      </c>
      <c r="Q41" t="s">
        <v>189</v>
      </c>
      <c r="R41">
        <v>0.11813333333333333</v>
      </c>
      <c r="S41" t="s">
        <v>187</v>
      </c>
    </row>
    <row r="42" spans="8:19" x14ac:dyDescent="0.45">
      <c r="P42">
        <v>2029</v>
      </c>
      <c r="Q42" t="s">
        <v>190</v>
      </c>
      <c r="R42">
        <v>0.13226666666666667</v>
      </c>
      <c r="S42" t="s">
        <v>187</v>
      </c>
    </row>
    <row r="43" spans="8:19" x14ac:dyDescent="0.45">
      <c r="P43">
        <v>2030</v>
      </c>
      <c r="Q43" t="s">
        <v>186</v>
      </c>
      <c r="R43">
        <v>0.37813333333333338</v>
      </c>
      <c r="S43" t="s">
        <v>187</v>
      </c>
    </row>
    <row r="44" spans="8:19" x14ac:dyDescent="0.45">
      <c r="P44">
        <v>2030</v>
      </c>
      <c r="Q44" t="s">
        <v>188</v>
      </c>
      <c r="R44">
        <v>0.58243333333333336</v>
      </c>
      <c r="S44" t="s">
        <v>187</v>
      </c>
    </row>
    <row r="45" spans="8:19" x14ac:dyDescent="0.45">
      <c r="P45">
        <v>2030</v>
      </c>
      <c r="Q45" t="s">
        <v>189</v>
      </c>
      <c r="R45">
        <v>0.13123333333333334</v>
      </c>
      <c r="S45" t="s">
        <v>187</v>
      </c>
    </row>
    <row r="46" spans="8:19" x14ac:dyDescent="0.45">
      <c r="P46">
        <v>2030</v>
      </c>
      <c r="Q46" t="s">
        <v>190</v>
      </c>
      <c r="R46">
        <v>7.1900000000000006E-2</v>
      </c>
      <c r="S46" t="s">
        <v>187</v>
      </c>
    </row>
    <row r="47" spans="8:19" x14ac:dyDescent="0.45">
      <c r="P47">
        <v>2031</v>
      </c>
      <c r="Q47" t="s">
        <v>186</v>
      </c>
      <c r="R47">
        <v>0.41473333333333334</v>
      </c>
      <c r="S47" t="s">
        <v>187</v>
      </c>
    </row>
    <row r="48" spans="8:19" x14ac:dyDescent="0.45">
      <c r="P48">
        <v>2031</v>
      </c>
      <c r="Q48" t="s">
        <v>188</v>
      </c>
      <c r="R48">
        <v>0.50856666666666672</v>
      </c>
      <c r="S48" t="s">
        <v>187</v>
      </c>
    </row>
    <row r="49" spans="16:19" x14ac:dyDescent="0.45">
      <c r="P49">
        <v>2031</v>
      </c>
      <c r="Q49" t="s">
        <v>189</v>
      </c>
      <c r="R49">
        <v>0.13770000000000002</v>
      </c>
      <c r="S49" t="s">
        <v>187</v>
      </c>
    </row>
    <row r="50" spans="16:19" x14ac:dyDescent="0.45">
      <c r="P50">
        <v>2031</v>
      </c>
      <c r="Q50" t="s">
        <v>190</v>
      </c>
      <c r="R50">
        <v>7.640000000000001E-2</v>
      </c>
      <c r="S50" t="s">
        <v>187</v>
      </c>
    </row>
    <row r="51" spans="16:19" x14ac:dyDescent="0.45">
      <c r="P51">
        <v>2032</v>
      </c>
      <c r="Q51" t="s">
        <v>186</v>
      </c>
      <c r="R51">
        <v>0.36906666666666671</v>
      </c>
      <c r="S51" t="s">
        <v>187</v>
      </c>
    </row>
    <row r="52" spans="16:19" x14ac:dyDescent="0.45">
      <c r="P52">
        <v>2032</v>
      </c>
      <c r="Q52" t="s">
        <v>188</v>
      </c>
      <c r="R52">
        <v>0.54470000000000007</v>
      </c>
      <c r="S52" t="s">
        <v>187</v>
      </c>
    </row>
    <row r="53" spans="16:19" x14ac:dyDescent="0.45">
      <c r="P53">
        <v>2032</v>
      </c>
      <c r="Q53" t="s">
        <v>189</v>
      </c>
      <c r="R53">
        <v>0.1870333333333333</v>
      </c>
      <c r="S53" t="s">
        <v>187</v>
      </c>
    </row>
    <row r="54" spans="16:19" x14ac:dyDescent="0.45">
      <c r="P54">
        <v>2032</v>
      </c>
      <c r="Q54" t="s">
        <v>190</v>
      </c>
      <c r="R54">
        <v>0.13753333333333331</v>
      </c>
      <c r="S54" t="s">
        <v>187</v>
      </c>
    </row>
    <row r="55" spans="16:19" x14ac:dyDescent="0.45">
      <c r="P55">
        <v>2033</v>
      </c>
      <c r="Q55" t="s">
        <v>186</v>
      </c>
      <c r="R55">
        <v>0.42533333333333334</v>
      </c>
      <c r="S55" t="s">
        <v>187</v>
      </c>
    </row>
    <row r="56" spans="16:19" x14ac:dyDescent="0.45">
      <c r="P56">
        <v>2033</v>
      </c>
      <c r="Q56" t="s">
        <v>188</v>
      </c>
      <c r="R56">
        <v>0.55076666666666663</v>
      </c>
      <c r="S56" t="s">
        <v>187</v>
      </c>
    </row>
    <row r="57" spans="16:19" x14ac:dyDescent="0.45">
      <c r="P57">
        <v>2033</v>
      </c>
      <c r="Q57" t="s">
        <v>189</v>
      </c>
      <c r="R57">
        <v>0.12659999999999999</v>
      </c>
      <c r="S57" t="s">
        <v>187</v>
      </c>
    </row>
    <row r="58" spans="16:19" x14ac:dyDescent="0.45">
      <c r="P58">
        <v>2033</v>
      </c>
      <c r="Q58" t="s">
        <v>190</v>
      </c>
      <c r="R58">
        <v>0.12563333333333335</v>
      </c>
      <c r="S58" t="s">
        <v>187</v>
      </c>
    </row>
    <row r="59" spans="16:19" x14ac:dyDescent="0.45">
      <c r="P59">
        <v>2034</v>
      </c>
      <c r="Q59" t="s">
        <v>186</v>
      </c>
      <c r="R59">
        <v>0.36053333333333332</v>
      </c>
      <c r="S59" t="s">
        <v>187</v>
      </c>
    </row>
    <row r="60" spans="16:19" x14ac:dyDescent="0.45">
      <c r="P60">
        <v>2034</v>
      </c>
      <c r="Q60" t="s">
        <v>188</v>
      </c>
      <c r="R60">
        <v>0.42663333333333336</v>
      </c>
      <c r="S60" t="s">
        <v>187</v>
      </c>
    </row>
    <row r="61" spans="16:19" x14ac:dyDescent="0.45">
      <c r="P61">
        <v>2034</v>
      </c>
      <c r="Q61" t="s">
        <v>189</v>
      </c>
      <c r="R61">
        <v>0.18853333333333336</v>
      </c>
      <c r="S61" t="s">
        <v>187</v>
      </c>
    </row>
    <row r="62" spans="16:19" x14ac:dyDescent="0.45">
      <c r="P62">
        <v>2034</v>
      </c>
      <c r="Q62" t="s">
        <v>190</v>
      </c>
      <c r="R62">
        <v>7.7100000000000002E-2</v>
      </c>
      <c r="S62" t="s">
        <v>187</v>
      </c>
    </row>
    <row r="63" spans="16:19" x14ac:dyDescent="0.45">
      <c r="P63">
        <v>2035</v>
      </c>
      <c r="Q63" t="s">
        <v>186</v>
      </c>
      <c r="R63">
        <v>0.37273333333333336</v>
      </c>
      <c r="S63" t="s">
        <v>187</v>
      </c>
    </row>
    <row r="64" spans="16:19" x14ac:dyDescent="0.45">
      <c r="P64">
        <v>2035</v>
      </c>
      <c r="Q64" t="s">
        <v>188</v>
      </c>
      <c r="R64">
        <v>0.47283333333333327</v>
      </c>
      <c r="S64" t="s">
        <v>187</v>
      </c>
    </row>
    <row r="65" spans="16:19" x14ac:dyDescent="0.45">
      <c r="P65">
        <v>2035</v>
      </c>
      <c r="Q65" t="s">
        <v>189</v>
      </c>
      <c r="R65">
        <v>0.1394</v>
      </c>
      <c r="S65" t="s">
        <v>187</v>
      </c>
    </row>
    <row r="66" spans="16:19" x14ac:dyDescent="0.45">
      <c r="P66">
        <v>2035</v>
      </c>
      <c r="Q66" t="s">
        <v>190</v>
      </c>
      <c r="R66">
        <v>9.4433333333333327E-2</v>
      </c>
      <c r="S66" t="s">
        <v>187</v>
      </c>
    </row>
    <row r="67" spans="16:19" x14ac:dyDescent="0.45">
      <c r="P67">
        <v>2036</v>
      </c>
      <c r="Q67" t="s">
        <v>186</v>
      </c>
      <c r="R67">
        <v>0.35660000000000003</v>
      </c>
      <c r="S67" t="s">
        <v>187</v>
      </c>
    </row>
    <row r="68" spans="16:19" x14ac:dyDescent="0.45">
      <c r="P68">
        <v>2036</v>
      </c>
      <c r="Q68" t="s">
        <v>188</v>
      </c>
      <c r="R68">
        <v>0.47696666666666659</v>
      </c>
      <c r="S68" t="s">
        <v>187</v>
      </c>
    </row>
    <row r="69" spans="16:19" x14ac:dyDescent="0.45">
      <c r="P69">
        <v>2036</v>
      </c>
      <c r="Q69" t="s">
        <v>189</v>
      </c>
      <c r="R69">
        <v>0.14306666666666668</v>
      </c>
      <c r="S69" t="s">
        <v>187</v>
      </c>
    </row>
    <row r="70" spans="16:19" x14ac:dyDescent="0.45">
      <c r="P70">
        <v>2036</v>
      </c>
      <c r="Q70" t="s">
        <v>190</v>
      </c>
      <c r="R70">
        <v>7.1533333333333338E-2</v>
      </c>
      <c r="S70" t="s">
        <v>187</v>
      </c>
    </row>
    <row r="71" spans="16:19" x14ac:dyDescent="0.45">
      <c r="P71">
        <v>2037</v>
      </c>
      <c r="Q71" t="s">
        <v>186</v>
      </c>
      <c r="R71">
        <v>0.35949999999999999</v>
      </c>
      <c r="S71" t="s">
        <v>187</v>
      </c>
    </row>
    <row r="72" spans="16:19" x14ac:dyDescent="0.45">
      <c r="P72">
        <v>2037</v>
      </c>
      <c r="Q72" t="s">
        <v>188</v>
      </c>
      <c r="R72">
        <v>0.57289999999999996</v>
      </c>
      <c r="S72" t="s">
        <v>187</v>
      </c>
    </row>
    <row r="73" spans="16:19" x14ac:dyDescent="0.45">
      <c r="P73">
        <v>2037</v>
      </c>
      <c r="Q73" t="s">
        <v>189</v>
      </c>
      <c r="R73">
        <v>0.15173333333333336</v>
      </c>
      <c r="S73" t="s">
        <v>187</v>
      </c>
    </row>
    <row r="74" spans="16:19" x14ac:dyDescent="0.45">
      <c r="P74">
        <v>2037</v>
      </c>
      <c r="Q74" t="s">
        <v>190</v>
      </c>
      <c r="R74">
        <v>9.3533333333333343E-2</v>
      </c>
      <c r="S74" t="s">
        <v>187</v>
      </c>
    </row>
    <row r="75" spans="16:19" x14ac:dyDescent="0.45">
      <c r="P75">
        <v>2038</v>
      </c>
      <c r="Q75" t="s">
        <v>186</v>
      </c>
      <c r="R75">
        <v>0.34949999999999998</v>
      </c>
      <c r="S75" t="s">
        <v>187</v>
      </c>
    </row>
    <row r="76" spans="16:19" x14ac:dyDescent="0.45">
      <c r="P76">
        <v>2038</v>
      </c>
      <c r="Q76" t="s">
        <v>188</v>
      </c>
      <c r="R76">
        <v>0.51013333333333333</v>
      </c>
      <c r="S76" t="s">
        <v>187</v>
      </c>
    </row>
    <row r="77" spans="16:19" x14ac:dyDescent="0.45">
      <c r="P77">
        <v>2038</v>
      </c>
      <c r="Q77" t="s">
        <v>189</v>
      </c>
      <c r="R77">
        <v>6.6333333333333341E-2</v>
      </c>
      <c r="S77" t="s">
        <v>187</v>
      </c>
    </row>
    <row r="78" spans="16:19" x14ac:dyDescent="0.45">
      <c r="P78">
        <v>2038</v>
      </c>
      <c r="Q78" t="s">
        <v>190</v>
      </c>
      <c r="R78">
        <v>5.9533333333333327E-2</v>
      </c>
      <c r="S78" t="s">
        <v>187</v>
      </c>
    </row>
    <row r="79" spans="16:19" x14ac:dyDescent="0.45">
      <c r="P79">
        <v>2039</v>
      </c>
      <c r="Q79" t="s">
        <v>186</v>
      </c>
      <c r="R79">
        <v>0.29619999999999996</v>
      </c>
      <c r="S79" t="s">
        <v>187</v>
      </c>
    </row>
    <row r="80" spans="16:19" x14ac:dyDescent="0.45">
      <c r="P80">
        <v>2039</v>
      </c>
      <c r="Q80" t="s">
        <v>188</v>
      </c>
      <c r="R80">
        <v>0.4201333333333333</v>
      </c>
      <c r="S80" t="s">
        <v>187</v>
      </c>
    </row>
    <row r="81" spans="16:19" x14ac:dyDescent="0.45">
      <c r="P81">
        <v>2039</v>
      </c>
      <c r="Q81" t="s">
        <v>189</v>
      </c>
      <c r="R81">
        <v>0.12473333333333332</v>
      </c>
      <c r="S81" t="s">
        <v>187</v>
      </c>
    </row>
    <row r="82" spans="16:19" x14ac:dyDescent="0.45">
      <c r="P82">
        <v>2039</v>
      </c>
      <c r="Q82" t="s">
        <v>190</v>
      </c>
      <c r="R82">
        <v>0.13643333333333332</v>
      </c>
      <c r="S82" t="s">
        <v>187</v>
      </c>
    </row>
    <row r="83" spans="16:19" x14ac:dyDescent="0.45">
      <c r="P83">
        <v>2040</v>
      </c>
      <c r="Q83" t="s">
        <v>186</v>
      </c>
      <c r="R83">
        <v>0.31906666666666667</v>
      </c>
      <c r="S83" t="s">
        <v>187</v>
      </c>
    </row>
    <row r="84" spans="16:19" x14ac:dyDescent="0.45">
      <c r="P84">
        <v>2040</v>
      </c>
      <c r="Q84" t="s">
        <v>188</v>
      </c>
      <c r="R84">
        <v>0.49083333333333329</v>
      </c>
      <c r="S84" t="s">
        <v>187</v>
      </c>
    </row>
    <row r="85" spans="16:19" x14ac:dyDescent="0.45">
      <c r="P85">
        <v>2040</v>
      </c>
      <c r="Q85" t="s">
        <v>189</v>
      </c>
      <c r="R85">
        <v>9.693333333333333E-2</v>
      </c>
      <c r="S85" t="s">
        <v>187</v>
      </c>
    </row>
    <row r="86" spans="16:19" x14ac:dyDescent="0.45">
      <c r="P86">
        <v>2040</v>
      </c>
      <c r="Q86" t="s">
        <v>190</v>
      </c>
      <c r="R86">
        <v>0.10993333333333333</v>
      </c>
      <c r="S86" t="s">
        <v>187</v>
      </c>
    </row>
    <row r="87" spans="16:19" x14ac:dyDescent="0.45">
      <c r="P87">
        <v>2041</v>
      </c>
      <c r="Q87" t="s">
        <v>186</v>
      </c>
      <c r="R87">
        <v>0.31129999999999997</v>
      </c>
      <c r="S87" t="s">
        <v>187</v>
      </c>
    </row>
    <row r="88" spans="16:19" x14ac:dyDescent="0.45">
      <c r="P88">
        <v>2041</v>
      </c>
      <c r="Q88" t="s">
        <v>188</v>
      </c>
      <c r="R88">
        <v>0.46950000000000003</v>
      </c>
      <c r="S88" t="s">
        <v>187</v>
      </c>
    </row>
    <row r="89" spans="16:19" x14ac:dyDescent="0.45">
      <c r="P89">
        <v>2041</v>
      </c>
      <c r="Q89" t="s">
        <v>189</v>
      </c>
      <c r="R89">
        <v>0.12169999999999999</v>
      </c>
      <c r="S89" t="s">
        <v>187</v>
      </c>
    </row>
    <row r="90" spans="16:19" x14ac:dyDescent="0.45">
      <c r="P90">
        <v>2041</v>
      </c>
      <c r="Q90" t="s">
        <v>190</v>
      </c>
      <c r="R90">
        <v>5.5766666666666666E-2</v>
      </c>
      <c r="S90" t="s">
        <v>187</v>
      </c>
    </row>
    <row r="91" spans="16:19" x14ac:dyDescent="0.45">
      <c r="P91">
        <v>2042</v>
      </c>
      <c r="Q91" t="s">
        <v>186</v>
      </c>
      <c r="R91">
        <v>0.2484666666666667</v>
      </c>
      <c r="S91" t="s">
        <v>187</v>
      </c>
    </row>
    <row r="92" spans="16:19" x14ac:dyDescent="0.45">
      <c r="P92">
        <v>2042</v>
      </c>
      <c r="Q92" t="s">
        <v>188</v>
      </c>
      <c r="R92">
        <v>0.5440666666666667</v>
      </c>
      <c r="S92" t="s">
        <v>187</v>
      </c>
    </row>
    <row r="93" spans="16:19" x14ac:dyDescent="0.45">
      <c r="P93">
        <v>2042</v>
      </c>
      <c r="Q93" t="s">
        <v>189</v>
      </c>
      <c r="R93">
        <v>0.12173333333333332</v>
      </c>
      <c r="S93" t="s">
        <v>187</v>
      </c>
    </row>
    <row r="94" spans="16:19" x14ac:dyDescent="0.45">
      <c r="P94">
        <v>2042</v>
      </c>
      <c r="Q94" t="s">
        <v>190</v>
      </c>
      <c r="R94">
        <v>0.1321</v>
      </c>
      <c r="S94" t="s">
        <v>187</v>
      </c>
    </row>
    <row r="95" spans="16:19" x14ac:dyDescent="0.45">
      <c r="P95">
        <v>2043</v>
      </c>
      <c r="Q95" t="s">
        <v>186</v>
      </c>
      <c r="R95">
        <v>0.43206666666666665</v>
      </c>
      <c r="S95" t="s">
        <v>187</v>
      </c>
    </row>
    <row r="96" spans="16:19" x14ac:dyDescent="0.45">
      <c r="P96">
        <v>2043</v>
      </c>
      <c r="Q96" t="s">
        <v>188</v>
      </c>
      <c r="R96">
        <v>0.52539999999999998</v>
      </c>
      <c r="S96" t="s">
        <v>187</v>
      </c>
    </row>
    <row r="97" spans="16:19" x14ac:dyDescent="0.45">
      <c r="P97">
        <v>2043</v>
      </c>
      <c r="Q97" t="s">
        <v>189</v>
      </c>
      <c r="R97">
        <v>0.10453333333333333</v>
      </c>
      <c r="S97" t="s">
        <v>187</v>
      </c>
    </row>
    <row r="98" spans="16:19" x14ac:dyDescent="0.45">
      <c r="P98">
        <v>2043</v>
      </c>
      <c r="Q98" t="s">
        <v>190</v>
      </c>
      <c r="R98">
        <v>8.0266666666666667E-2</v>
      </c>
      <c r="S98" t="s">
        <v>187</v>
      </c>
    </row>
    <row r="99" spans="16:19" x14ac:dyDescent="0.45">
      <c r="P99">
        <v>2044</v>
      </c>
      <c r="Q99" t="s">
        <v>186</v>
      </c>
      <c r="R99">
        <v>0.30886666666666668</v>
      </c>
      <c r="S99" t="s">
        <v>187</v>
      </c>
    </row>
    <row r="100" spans="16:19" x14ac:dyDescent="0.45">
      <c r="P100">
        <v>2044</v>
      </c>
      <c r="Q100" t="s">
        <v>188</v>
      </c>
      <c r="R100">
        <v>0.43483333333333335</v>
      </c>
      <c r="S100" t="s">
        <v>187</v>
      </c>
    </row>
    <row r="101" spans="16:19" x14ac:dyDescent="0.45">
      <c r="P101">
        <v>2044</v>
      </c>
      <c r="Q101" t="s">
        <v>189</v>
      </c>
      <c r="R101">
        <v>0.16993333333333335</v>
      </c>
      <c r="S101" t="s">
        <v>187</v>
      </c>
    </row>
    <row r="102" spans="16:19" x14ac:dyDescent="0.45">
      <c r="P102">
        <v>2044</v>
      </c>
      <c r="Q102" t="s">
        <v>190</v>
      </c>
      <c r="R102">
        <v>8.1866666666666671E-2</v>
      </c>
      <c r="S102" t="s">
        <v>187</v>
      </c>
    </row>
    <row r="103" spans="16:19" x14ac:dyDescent="0.45">
      <c r="P103">
        <v>2045</v>
      </c>
      <c r="Q103" t="s">
        <v>186</v>
      </c>
      <c r="R103">
        <v>0.36143333333333327</v>
      </c>
      <c r="S103" t="s">
        <v>187</v>
      </c>
    </row>
    <row r="104" spans="16:19" x14ac:dyDescent="0.45">
      <c r="P104">
        <v>2045</v>
      </c>
      <c r="Q104" t="s">
        <v>188</v>
      </c>
      <c r="R104">
        <v>0.47136666666666666</v>
      </c>
      <c r="S104" t="s">
        <v>187</v>
      </c>
    </row>
    <row r="105" spans="16:19" x14ac:dyDescent="0.45">
      <c r="P105">
        <v>2045</v>
      </c>
      <c r="Q105" t="s">
        <v>189</v>
      </c>
      <c r="R105">
        <v>0.15036666666666668</v>
      </c>
      <c r="S105" t="s">
        <v>187</v>
      </c>
    </row>
    <row r="106" spans="16:19" x14ac:dyDescent="0.45">
      <c r="P106">
        <v>2045</v>
      </c>
      <c r="Q106" t="s">
        <v>190</v>
      </c>
      <c r="R106">
        <v>9.2399999999999996E-2</v>
      </c>
      <c r="S106" t="s">
        <v>187</v>
      </c>
    </row>
    <row r="107" spans="16:19" x14ac:dyDescent="0.45">
      <c r="P107">
        <v>2046</v>
      </c>
      <c r="Q107" t="s">
        <v>186</v>
      </c>
      <c r="R107">
        <v>0.35603333333333337</v>
      </c>
      <c r="S107" t="s">
        <v>187</v>
      </c>
    </row>
    <row r="108" spans="16:19" x14ac:dyDescent="0.45">
      <c r="P108">
        <v>2046</v>
      </c>
      <c r="Q108" t="s">
        <v>188</v>
      </c>
      <c r="R108">
        <v>0.53710000000000002</v>
      </c>
      <c r="S108" t="s">
        <v>187</v>
      </c>
    </row>
    <row r="109" spans="16:19" x14ac:dyDescent="0.45">
      <c r="P109">
        <v>2046</v>
      </c>
      <c r="Q109" t="s">
        <v>189</v>
      </c>
      <c r="R109">
        <v>0.15909999999999999</v>
      </c>
      <c r="S109" t="s">
        <v>187</v>
      </c>
    </row>
    <row r="110" spans="16:19" x14ac:dyDescent="0.45">
      <c r="P110">
        <v>2046</v>
      </c>
      <c r="Q110" t="s">
        <v>190</v>
      </c>
      <c r="R110">
        <v>0.12123333333333335</v>
      </c>
      <c r="S110" t="s">
        <v>187</v>
      </c>
    </row>
    <row r="111" spans="16:19" x14ac:dyDescent="0.45">
      <c r="P111">
        <v>2047</v>
      </c>
      <c r="Q111" t="s">
        <v>186</v>
      </c>
      <c r="R111">
        <v>0.24523333333333333</v>
      </c>
      <c r="S111" t="s">
        <v>187</v>
      </c>
    </row>
    <row r="112" spans="16:19" x14ac:dyDescent="0.45">
      <c r="P112">
        <v>2047</v>
      </c>
      <c r="Q112" t="s">
        <v>188</v>
      </c>
      <c r="R112">
        <v>0.51663333333333339</v>
      </c>
      <c r="S112" t="s">
        <v>187</v>
      </c>
    </row>
    <row r="113" spans="16:19" x14ac:dyDescent="0.45">
      <c r="P113">
        <v>2047</v>
      </c>
      <c r="Q113" t="s">
        <v>189</v>
      </c>
      <c r="R113">
        <v>0.16643333333333332</v>
      </c>
      <c r="S113" t="s">
        <v>187</v>
      </c>
    </row>
    <row r="114" spans="16:19" x14ac:dyDescent="0.45">
      <c r="P114">
        <v>2047</v>
      </c>
      <c r="Q114" t="s">
        <v>190</v>
      </c>
      <c r="R114">
        <v>0.12833333333333333</v>
      </c>
      <c r="S114" t="s">
        <v>187</v>
      </c>
    </row>
    <row r="115" spans="16:19" x14ac:dyDescent="0.45">
      <c r="P115">
        <v>2048</v>
      </c>
      <c r="Q115" t="s">
        <v>186</v>
      </c>
      <c r="R115">
        <v>0.3948666666666667</v>
      </c>
      <c r="S115" t="s">
        <v>187</v>
      </c>
    </row>
    <row r="116" spans="16:19" x14ac:dyDescent="0.45">
      <c r="P116">
        <v>2048</v>
      </c>
      <c r="Q116" t="s">
        <v>188</v>
      </c>
      <c r="R116">
        <v>0.50356666666666661</v>
      </c>
      <c r="S116" t="s">
        <v>187</v>
      </c>
    </row>
    <row r="117" spans="16:19" x14ac:dyDescent="0.45">
      <c r="P117">
        <v>2048</v>
      </c>
      <c r="Q117" t="s">
        <v>189</v>
      </c>
      <c r="R117">
        <v>0.11</v>
      </c>
      <c r="S117" t="s">
        <v>187</v>
      </c>
    </row>
    <row r="118" spans="16:19" x14ac:dyDescent="0.45">
      <c r="P118">
        <v>2048</v>
      </c>
      <c r="Q118" t="s">
        <v>190</v>
      </c>
      <c r="R118">
        <v>0.10013333333333334</v>
      </c>
      <c r="S118" t="s">
        <v>187</v>
      </c>
    </row>
    <row r="119" spans="16:19" x14ac:dyDescent="0.45">
      <c r="P119">
        <v>2049</v>
      </c>
      <c r="Q119" t="s">
        <v>186</v>
      </c>
      <c r="R119">
        <v>0.44046666666666662</v>
      </c>
      <c r="S119" t="s">
        <v>187</v>
      </c>
    </row>
    <row r="120" spans="16:19" x14ac:dyDescent="0.45">
      <c r="P120">
        <v>2049</v>
      </c>
      <c r="Q120" t="s">
        <v>188</v>
      </c>
      <c r="R120">
        <v>0.44623333333333326</v>
      </c>
      <c r="S120" t="s">
        <v>187</v>
      </c>
    </row>
    <row r="121" spans="16:19" x14ac:dyDescent="0.45">
      <c r="P121">
        <v>2049</v>
      </c>
      <c r="Q121" t="s">
        <v>189</v>
      </c>
      <c r="R121">
        <v>0.15939999999999999</v>
      </c>
      <c r="S121" t="s">
        <v>187</v>
      </c>
    </row>
    <row r="122" spans="16:19" x14ac:dyDescent="0.45">
      <c r="P122">
        <v>2049</v>
      </c>
      <c r="Q122" t="s">
        <v>190</v>
      </c>
      <c r="R122">
        <v>0.10663333333333334</v>
      </c>
      <c r="S122" t="s">
        <v>187</v>
      </c>
    </row>
    <row r="123" spans="16:19" x14ac:dyDescent="0.45">
      <c r="P123">
        <v>2050</v>
      </c>
      <c r="Q123" t="s">
        <v>186</v>
      </c>
      <c r="R123">
        <v>0.3523</v>
      </c>
      <c r="S123" t="s">
        <v>187</v>
      </c>
    </row>
    <row r="124" spans="16:19" x14ac:dyDescent="0.45">
      <c r="P124">
        <v>2050</v>
      </c>
      <c r="Q124" t="s">
        <v>188</v>
      </c>
      <c r="R124">
        <v>0.44573333333333331</v>
      </c>
      <c r="S124" t="s">
        <v>187</v>
      </c>
    </row>
    <row r="125" spans="16:19" x14ac:dyDescent="0.45">
      <c r="P125">
        <v>2050</v>
      </c>
      <c r="Q125" t="s">
        <v>189</v>
      </c>
      <c r="R125">
        <v>0.11106666666666666</v>
      </c>
      <c r="S125" t="s">
        <v>187</v>
      </c>
    </row>
    <row r="126" spans="16:19" x14ac:dyDescent="0.45">
      <c r="P126">
        <v>2050</v>
      </c>
      <c r="Q126" t="s">
        <v>190</v>
      </c>
      <c r="R126">
        <v>0.11996666666666667</v>
      </c>
      <c r="S126" t="s">
        <v>187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2027A-5FC0-4B73-828E-3C0A59996C26}">
  <dimension ref="B9:O286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region=DEU")</f>
        <v>~TFM_DINS-AT: region=DEU</v>
      </c>
      <c r="G9" t="str">
        <f>IF(A11="x","DeActivated","~TFM_DINS-AT: region=DEU")</f>
        <v>~TFM_DINS-AT: region=DEU</v>
      </c>
      <c r="L9" t="str">
        <f>IF(A11="x","DeActivated","~TFM_DINS-AT: region=DEU")</f>
        <v>~TFM_DINS-AT: region=DEU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434</v>
      </c>
      <c r="C11" t="s">
        <v>5</v>
      </c>
      <c r="D11">
        <v>0</v>
      </c>
      <c r="E11" t="s">
        <v>6</v>
      </c>
      <c r="G11" t="s">
        <v>435</v>
      </c>
      <c r="H11" t="s">
        <v>5</v>
      </c>
      <c r="I11">
        <v>0.12210481869318605</v>
      </c>
      <c r="J11" t="s">
        <v>6</v>
      </c>
      <c r="L11" t="s">
        <v>436</v>
      </c>
      <c r="M11" t="s">
        <v>5</v>
      </c>
      <c r="N11">
        <v>9.318492928688904E-2</v>
      </c>
      <c r="O11" t="s">
        <v>6</v>
      </c>
    </row>
    <row r="12" spans="2:15" x14ac:dyDescent="0.45">
      <c r="B12" t="s">
        <v>434</v>
      </c>
      <c r="C12" t="s">
        <v>9</v>
      </c>
      <c r="D12">
        <v>9.7076135629944993E-2</v>
      </c>
      <c r="E12" t="s">
        <v>6</v>
      </c>
      <c r="G12" t="s">
        <v>435</v>
      </c>
      <c r="H12" t="s">
        <v>9</v>
      </c>
      <c r="I12">
        <v>0.12832646349508373</v>
      </c>
      <c r="J12" t="s">
        <v>6</v>
      </c>
      <c r="L12" t="s">
        <v>436</v>
      </c>
      <c r="M12" t="s">
        <v>9</v>
      </c>
      <c r="N12">
        <v>0.11613190738704419</v>
      </c>
      <c r="O12" t="s">
        <v>6</v>
      </c>
    </row>
    <row r="13" spans="2:15" x14ac:dyDescent="0.45">
      <c r="B13" t="s">
        <v>434</v>
      </c>
      <c r="C13" t="s">
        <v>10</v>
      </c>
      <c r="D13">
        <v>1.0915839156459372E-4</v>
      </c>
      <c r="E13" t="s">
        <v>6</v>
      </c>
      <c r="G13" t="s">
        <v>435</v>
      </c>
      <c r="H13" t="s">
        <v>10</v>
      </c>
      <c r="I13">
        <v>9.3002835378388507E-2</v>
      </c>
      <c r="J13" t="s">
        <v>6</v>
      </c>
      <c r="L13" t="s">
        <v>436</v>
      </c>
      <c r="M13" t="s">
        <v>10</v>
      </c>
      <c r="N13">
        <v>7.0425879257997176E-2</v>
      </c>
      <c r="O13" t="s">
        <v>6</v>
      </c>
    </row>
    <row r="14" spans="2:15" x14ac:dyDescent="0.45">
      <c r="B14" t="s">
        <v>434</v>
      </c>
      <c r="C14" t="s">
        <v>11</v>
      </c>
      <c r="D14">
        <v>4.2374057881608522E-3</v>
      </c>
      <c r="E14" t="s">
        <v>6</v>
      </c>
      <c r="G14" t="s">
        <v>435</v>
      </c>
      <c r="H14" t="s">
        <v>11</v>
      </c>
      <c r="I14">
        <v>8.2634542154331525E-2</v>
      </c>
      <c r="J14" t="s">
        <v>6</v>
      </c>
      <c r="L14" t="s">
        <v>436</v>
      </c>
      <c r="M14" t="s">
        <v>11</v>
      </c>
      <c r="N14">
        <v>8.3459814232370103E-2</v>
      </c>
      <c r="O14" t="s">
        <v>6</v>
      </c>
    </row>
    <row r="15" spans="2:15" x14ac:dyDescent="0.45">
      <c r="B15" t="s">
        <v>434</v>
      </c>
      <c r="C15" t="s">
        <v>12</v>
      </c>
      <c r="D15">
        <v>0.30261484223282747</v>
      </c>
      <c r="E15" t="s">
        <v>6</v>
      </c>
      <c r="G15" t="s">
        <v>435</v>
      </c>
      <c r="H15" t="s">
        <v>12</v>
      </c>
      <c r="I15">
        <v>9.8571830371620484E-2</v>
      </c>
      <c r="J15" t="s">
        <v>6</v>
      </c>
      <c r="L15" t="s">
        <v>436</v>
      </c>
      <c r="M15" t="s">
        <v>12</v>
      </c>
      <c r="N15">
        <v>0.10509972211278744</v>
      </c>
      <c r="O15" t="s">
        <v>6</v>
      </c>
    </row>
    <row r="16" spans="2:15" x14ac:dyDescent="0.45">
      <c r="B16" t="s">
        <v>434</v>
      </c>
      <c r="C16" t="s">
        <v>13</v>
      </c>
      <c r="D16">
        <v>9.2286946298601735E-3</v>
      </c>
      <c r="E16" t="s">
        <v>6</v>
      </c>
      <c r="G16" t="s">
        <v>435</v>
      </c>
      <c r="H16" t="s">
        <v>13</v>
      </c>
      <c r="I16">
        <v>6.6437668024857052E-2</v>
      </c>
      <c r="J16" t="s">
        <v>6</v>
      </c>
      <c r="L16" t="s">
        <v>436</v>
      </c>
      <c r="M16" t="s">
        <v>13</v>
      </c>
      <c r="N16">
        <v>6.6851827041825615E-2</v>
      </c>
      <c r="O16" t="s">
        <v>6</v>
      </c>
    </row>
    <row r="17" spans="2:15" x14ac:dyDescent="0.45">
      <c r="B17" t="s">
        <v>434</v>
      </c>
      <c r="C17" t="s">
        <v>14</v>
      </c>
      <c r="D17">
        <v>9.1319159183114937E-3</v>
      </c>
      <c r="E17" t="s">
        <v>6</v>
      </c>
      <c r="G17" t="s">
        <v>435</v>
      </c>
      <c r="H17" t="s">
        <v>14</v>
      </c>
      <c r="I17">
        <v>5.3429727674715863E-2</v>
      </c>
      <c r="J17" t="s">
        <v>6</v>
      </c>
      <c r="L17" t="s">
        <v>436</v>
      </c>
      <c r="M17" t="s">
        <v>14</v>
      </c>
      <c r="N17">
        <v>6.2934697466436998E-2</v>
      </c>
      <c r="O17" t="s">
        <v>6</v>
      </c>
    </row>
    <row r="18" spans="2:15" x14ac:dyDescent="0.45">
      <c r="B18" t="s">
        <v>434</v>
      </c>
      <c r="C18" t="s">
        <v>15</v>
      </c>
      <c r="D18">
        <v>0.37521077359695049</v>
      </c>
      <c r="E18" t="s">
        <v>6</v>
      </c>
      <c r="G18" t="s">
        <v>435</v>
      </c>
      <c r="H18" t="s">
        <v>15</v>
      </c>
      <c r="I18">
        <v>5.8986016502998034E-2</v>
      </c>
      <c r="J18" t="s">
        <v>6</v>
      </c>
      <c r="L18" t="s">
        <v>436</v>
      </c>
      <c r="M18" t="s">
        <v>15</v>
      </c>
      <c r="N18">
        <v>8.1417884256395665E-2</v>
      </c>
      <c r="O18" t="s">
        <v>6</v>
      </c>
    </row>
    <row r="19" spans="2:15" x14ac:dyDescent="0.45">
      <c r="B19" t="s">
        <v>434</v>
      </c>
      <c r="C19" t="s">
        <v>16</v>
      </c>
      <c r="D19">
        <v>1.8243659731150615E-2</v>
      </c>
      <c r="E19" t="s">
        <v>6</v>
      </c>
      <c r="G19" t="s">
        <v>435</v>
      </c>
      <c r="H19" t="s">
        <v>16</v>
      </c>
      <c r="I19">
        <v>4.8973459803634226E-2</v>
      </c>
      <c r="J19" t="s">
        <v>6</v>
      </c>
      <c r="L19" t="s">
        <v>436</v>
      </c>
      <c r="M19" t="s">
        <v>16</v>
      </c>
      <c r="N19">
        <v>4.6918343725302861E-2</v>
      </c>
      <c r="O19" t="s">
        <v>6</v>
      </c>
    </row>
    <row r="20" spans="2:15" x14ac:dyDescent="0.45">
      <c r="B20" t="s">
        <v>434</v>
      </c>
      <c r="C20" t="s">
        <v>17</v>
      </c>
      <c r="D20">
        <v>3.6434468115889096E-4</v>
      </c>
      <c r="E20" t="s">
        <v>6</v>
      </c>
      <c r="G20" t="s">
        <v>435</v>
      </c>
      <c r="H20" t="s">
        <v>17</v>
      </c>
      <c r="I20">
        <v>9.2505522202667598E-2</v>
      </c>
      <c r="J20" t="s">
        <v>6</v>
      </c>
      <c r="L20" t="s">
        <v>436</v>
      </c>
      <c r="M20" t="s">
        <v>17</v>
      </c>
      <c r="N20">
        <v>9.0978270846015147E-2</v>
      </c>
      <c r="O20" t="s">
        <v>6</v>
      </c>
    </row>
    <row r="21" spans="2:15" x14ac:dyDescent="0.45">
      <c r="B21" t="s">
        <v>434</v>
      </c>
      <c r="C21" t="s">
        <v>18</v>
      </c>
      <c r="D21">
        <v>0.18239622248114823</v>
      </c>
      <c r="E21" t="s">
        <v>6</v>
      </c>
      <c r="G21" t="s">
        <v>435</v>
      </c>
      <c r="H21" t="s">
        <v>18</v>
      </c>
      <c r="I21">
        <v>9.2144644721569538E-2</v>
      </c>
      <c r="J21" t="s">
        <v>6</v>
      </c>
      <c r="L21" t="s">
        <v>436</v>
      </c>
      <c r="M21" t="s">
        <v>18</v>
      </c>
      <c r="N21">
        <v>0.11274437740127088</v>
      </c>
      <c r="O21" t="s">
        <v>6</v>
      </c>
    </row>
    <row r="22" spans="2:15" x14ac:dyDescent="0.45">
      <c r="B22" t="s">
        <v>434</v>
      </c>
      <c r="C22" t="s">
        <v>19</v>
      </c>
      <c r="D22">
        <v>1.3868469189229763E-3</v>
      </c>
      <c r="E22" t="s">
        <v>6</v>
      </c>
      <c r="G22" t="s">
        <v>435</v>
      </c>
      <c r="H22" t="s">
        <v>19</v>
      </c>
      <c r="I22">
        <v>6.2882470976946658E-2</v>
      </c>
      <c r="J22" t="s">
        <v>6</v>
      </c>
      <c r="L22" t="s">
        <v>436</v>
      </c>
      <c r="M22" t="s">
        <v>19</v>
      </c>
      <c r="N22">
        <v>6.985234698566295E-2</v>
      </c>
      <c r="O22" t="s">
        <v>6</v>
      </c>
    </row>
    <row r="23" spans="2:15" x14ac:dyDescent="0.45">
      <c r="B23" t="s">
        <v>437</v>
      </c>
      <c r="C23" t="s">
        <v>5</v>
      </c>
      <c r="D23">
        <v>0</v>
      </c>
      <c r="E23" t="s">
        <v>6</v>
      </c>
      <c r="G23" t="s">
        <v>438</v>
      </c>
      <c r="H23" t="s">
        <v>5</v>
      </c>
      <c r="I23">
        <v>0.11264911727054636</v>
      </c>
      <c r="J23" t="s">
        <v>6</v>
      </c>
      <c r="L23" t="s">
        <v>439</v>
      </c>
      <c r="M23" t="s">
        <v>5</v>
      </c>
      <c r="N23">
        <v>9.3740992595799211E-2</v>
      </c>
      <c r="O23" t="s">
        <v>6</v>
      </c>
    </row>
    <row r="24" spans="2:15" x14ac:dyDescent="0.45">
      <c r="B24" t="s">
        <v>437</v>
      </c>
      <c r="C24" t="s">
        <v>9</v>
      </c>
      <c r="D24">
        <v>9.4364603864121432E-2</v>
      </c>
      <c r="E24" t="s">
        <v>6</v>
      </c>
      <c r="G24" t="s">
        <v>438</v>
      </c>
      <c r="H24" t="s">
        <v>9</v>
      </c>
      <c r="I24">
        <v>0.12333852913517965</v>
      </c>
      <c r="J24" t="s">
        <v>6</v>
      </c>
      <c r="L24" t="s">
        <v>439</v>
      </c>
      <c r="M24" t="s">
        <v>9</v>
      </c>
      <c r="N24">
        <v>0.11672560744287949</v>
      </c>
      <c r="O24" t="s">
        <v>6</v>
      </c>
    </row>
    <row r="25" spans="2:15" x14ac:dyDescent="0.45">
      <c r="B25" t="s">
        <v>437</v>
      </c>
      <c r="C25" t="s">
        <v>10</v>
      </c>
      <c r="D25">
        <v>4.108872919019758E-5</v>
      </c>
      <c r="E25" t="s">
        <v>6</v>
      </c>
      <c r="G25" t="s">
        <v>438</v>
      </c>
      <c r="H25" t="s">
        <v>10</v>
      </c>
      <c r="I25">
        <v>8.3730344884165919E-2</v>
      </c>
      <c r="J25" t="s">
        <v>6</v>
      </c>
      <c r="L25" t="s">
        <v>439</v>
      </c>
      <c r="M25" t="s">
        <v>10</v>
      </c>
      <c r="N25">
        <v>7.0928399884486376E-2</v>
      </c>
      <c r="O25" t="s">
        <v>6</v>
      </c>
    </row>
    <row r="26" spans="2:15" x14ac:dyDescent="0.45">
      <c r="B26" t="s">
        <v>437</v>
      </c>
      <c r="C26" t="s">
        <v>11</v>
      </c>
      <c r="D26">
        <v>5.895017543229646E-3</v>
      </c>
      <c r="E26" t="s">
        <v>6</v>
      </c>
      <c r="G26" t="s">
        <v>438</v>
      </c>
      <c r="H26" t="s">
        <v>11</v>
      </c>
      <c r="I26">
        <v>8.3180139790908533E-2</v>
      </c>
      <c r="J26" t="s">
        <v>6</v>
      </c>
      <c r="L26" t="s">
        <v>439</v>
      </c>
      <c r="M26" t="s">
        <v>11</v>
      </c>
      <c r="N26">
        <v>8.2840076432269358E-2</v>
      </c>
      <c r="O26" t="s">
        <v>6</v>
      </c>
    </row>
    <row r="27" spans="2:15" x14ac:dyDescent="0.45">
      <c r="B27" t="s">
        <v>437</v>
      </c>
      <c r="C27" t="s">
        <v>12</v>
      </c>
      <c r="D27">
        <v>0.31119251937495657</v>
      </c>
      <c r="E27" t="s">
        <v>6</v>
      </c>
      <c r="G27" t="s">
        <v>438</v>
      </c>
      <c r="H27" t="s">
        <v>12</v>
      </c>
      <c r="I27">
        <v>0.10292438046464242</v>
      </c>
      <c r="J27" t="s">
        <v>6</v>
      </c>
      <c r="L27" t="s">
        <v>439</v>
      </c>
      <c r="M27" t="s">
        <v>12</v>
      </c>
      <c r="N27">
        <v>0.10129929166538952</v>
      </c>
      <c r="O27" t="s">
        <v>6</v>
      </c>
    </row>
    <row r="28" spans="2:15" x14ac:dyDescent="0.45">
      <c r="B28" t="s">
        <v>437</v>
      </c>
      <c r="C28" t="s">
        <v>13</v>
      </c>
      <c r="D28">
        <v>8.1966723566239651E-3</v>
      </c>
      <c r="E28" t="s">
        <v>6</v>
      </c>
      <c r="G28" t="s">
        <v>438</v>
      </c>
      <c r="H28" t="s">
        <v>13</v>
      </c>
      <c r="I28">
        <v>6.8298512554875346E-2</v>
      </c>
      <c r="J28" t="s">
        <v>6</v>
      </c>
      <c r="L28" t="s">
        <v>439</v>
      </c>
      <c r="M28" t="s">
        <v>13</v>
      </c>
      <c r="N28">
        <v>6.4296887990893031E-2</v>
      </c>
      <c r="O28" t="s">
        <v>6</v>
      </c>
    </row>
    <row r="29" spans="2:15" x14ac:dyDescent="0.45">
      <c r="B29" t="s">
        <v>437</v>
      </c>
      <c r="C29" t="s">
        <v>14</v>
      </c>
      <c r="D29">
        <v>1.0611141765286602E-2</v>
      </c>
      <c r="E29" t="s">
        <v>6</v>
      </c>
      <c r="G29" t="s">
        <v>438</v>
      </c>
      <c r="H29" t="s">
        <v>14</v>
      </c>
      <c r="I29">
        <v>4.9973240857065573E-2</v>
      </c>
      <c r="J29" t="s">
        <v>6</v>
      </c>
      <c r="L29" t="s">
        <v>439</v>
      </c>
      <c r="M29" t="s">
        <v>14</v>
      </c>
      <c r="N29">
        <v>6.2745011232981179E-2</v>
      </c>
      <c r="O29" t="s">
        <v>6</v>
      </c>
    </row>
    <row r="30" spans="2:15" x14ac:dyDescent="0.45">
      <c r="B30" t="s">
        <v>437</v>
      </c>
      <c r="C30" t="s">
        <v>15</v>
      </c>
      <c r="D30">
        <v>0.37513556449115082</v>
      </c>
      <c r="E30" t="s">
        <v>6</v>
      </c>
      <c r="G30" t="s">
        <v>438</v>
      </c>
      <c r="H30" t="s">
        <v>15</v>
      </c>
      <c r="I30">
        <v>5.0681328661647984E-2</v>
      </c>
      <c r="J30" t="s">
        <v>6</v>
      </c>
      <c r="L30" t="s">
        <v>439</v>
      </c>
      <c r="M30" t="s">
        <v>15</v>
      </c>
      <c r="N30">
        <v>8.3509851413265265E-2</v>
      </c>
      <c r="O30" t="s">
        <v>6</v>
      </c>
    </row>
    <row r="31" spans="2:15" x14ac:dyDescent="0.45">
      <c r="B31" t="s">
        <v>437</v>
      </c>
      <c r="C31" t="s">
        <v>16</v>
      </c>
      <c r="D31">
        <v>1.6009495769808792E-2</v>
      </c>
      <c r="E31" t="s">
        <v>6</v>
      </c>
      <c r="G31" t="s">
        <v>438</v>
      </c>
      <c r="H31" t="s">
        <v>16</v>
      </c>
      <c r="I31">
        <v>4.4078639779362223E-2</v>
      </c>
      <c r="J31" t="s">
        <v>6</v>
      </c>
      <c r="L31" t="s">
        <v>439</v>
      </c>
      <c r="M31" t="s">
        <v>16</v>
      </c>
      <c r="N31">
        <v>4.9891797981074848E-2</v>
      </c>
      <c r="O31" t="s">
        <v>6</v>
      </c>
    </row>
    <row r="32" spans="2:15" x14ac:dyDescent="0.45">
      <c r="B32" t="s">
        <v>437</v>
      </c>
      <c r="C32" t="s">
        <v>17</v>
      </c>
      <c r="D32">
        <v>6.6223299085406634E-4</v>
      </c>
      <c r="E32" t="s">
        <v>6</v>
      </c>
      <c r="G32" t="s">
        <v>438</v>
      </c>
      <c r="H32" t="s">
        <v>17</v>
      </c>
      <c r="I32">
        <v>9.8565953446273141E-2</v>
      </c>
      <c r="J32" t="s">
        <v>6</v>
      </c>
      <c r="L32" t="s">
        <v>439</v>
      </c>
      <c r="M32" t="s">
        <v>17</v>
      </c>
      <c r="N32">
        <v>9.2100614844828205E-2</v>
      </c>
      <c r="O32" t="s">
        <v>6</v>
      </c>
    </row>
    <row r="33" spans="2:15" x14ac:dyDescent="0.45">
      <c r="B33" t="s">
        <v>437</v>
      </c>
      <c r="C33" t="s">
        <v>18</v>
      </c>
      <c r="D33">
        <v>0.17679316317368898</v>
      </c>
      <c r="E33" t="s">
        <v>6</v>
      </c>
      <c r="G33" t="s">
        <v>438</v>
      </c>
      <c r="H33" t="s">
        <v>18</v>
      </c>
      <c r="I33">
        <v>0.11252460295675183</v>
      </c>
      <c r="J33" t="s">
        <v>6</v>
      </c>
      <c r="L33" t="s">
        <v>439</v>
      </c>
      <c r="M33" t="s">
        <v>18</v>
      </c>
      <c r="N33">
        <v>0.11202722350530768</v>
      </c>
      <c r="O33" t="s">
        <v>6</v>
      </c>
    </row>
    <row r="34" spans="2:15" x14ac:dyDescent="0.45">
      <c r="B34" t="s">
        <v>437</v>
      </c>
      <c r="C34" t="s">
        <v>19</v>
      </c>
      <c r="D34">
        <v>1.098499941087791E-3</v>
      </c>
      <c r="E34" t="s">
        <v>6</v>
      </c>
      <c r="G34" t="s">
        <v>438</v>
      </c>
      <c r="H34" t="s">
        <v>19</v>
      </c>
      <c r="I34">
        <v>7.0055210198575121E-2</v>
      </c>
      <c r="J34" t="s">
        <v>6</v>
      </c>
      <c r="L34" t="s">
        <v>439</v>
      </c>
      <c r="M34" t="s">
        <v>19</v>
      </c>
      <c r="N34">
        <v>6.9894245010822698E-2</v>
      </c>
      <c r="O34" t="s">
        <v>6</v>
      </c>
    </row>
    <row r="35" spans="2:15" x14ac:dyDescent="0.45">
      <c r="B35" t="s">
        <v>440</v>
      </c>
      <c r="C35" t="s">
        <v>5</v>
      </c>
      <c r="D35">
        <v>0</v>
      </c>
      <c r="E35" t="s">
        <v>6</v>
      </c>
      <c r="G35" t="s">
        <v>441</v>
      </c>
      <c r="H35" t="s">
        <v>5</v>
      </c>
      <c r="I35">
        <v>0.11929612913387516</v>
      </c>
      <c r="J35" t="s">
        <v>6</v>
      </c>
      <c r="L35" t="s">
        <v>442</v>
      </c>
      <c r="M35" t="s">
        <v>5</v>
      </c>
      <c r="N35">
        <v>9.5716048376113902E-2</v>
      </c>
      <c r="O35" t="s">
        <v>6</v>
      </c>
    </row>
    <row r="36" spans="2:15" x14ac:dyDescent="0.45">
      <c r="B36" t="s">
        <v>440</v>
      </c>
      <c r="C36" t="s">
        <v>9</v>
      </c>
      <c r="D36">
        <v>0.10327975274722055</v>
      </c>
      <c r="E36" t="s">
        <v>6</v>
      </c>
      <c r="G36" t="s">
        <v>441</v>
      </c>
      <c r="H36" t="s">
        <v>9</v>
      </c>
      <c r="I36">
        <v>0.11995643309030327</v>
      </c>
      <c r="J36" t="s">
        <v>6</v>
      </c>
      <c r="L36" t="s">
        <v>442</v>
      </c>
      <c r="M36" t="s">
        <v>9</v>
      </c>
      <c r="N36">
        <v>0.12033414281922362</v>
      </c>
      <c r="O36" t="s">
        <v>6</v>
      </c>
    </row>
    <row r="37" spans="2:15" x14ac:dyDescent="0.45">
      <c r="B37" t="s">
        <v>440</v>
      </c>
      <c r="C37" t="s">
        <v>10</v>
      </c>
      <c r="D37">
        <v>4.4346766129693118E-6</v>
      </c>
      <c r="E37" t="s">
        <v>6</v>
      </c>
      <c r="G37" t="s">
        <v>441</v>
      </c>
      <c r="H37" t="s">
        <v>10</v>
      </c>
      <c r="I37">
        <v>9.0181586097116823E-2</v>
      </c>
      <c r="J37" t="s">
        <v>6</v>
      </c>
      <c r="L37" t="s">
        <v>442</v>
      </c>
      <c r="M37" t="s">
        <v>10</v>
      </c>
      <c r="N37">
        <v>7.2848083808914846E-2</v>
      </c>
      <c r="O37" t="s">
        <v>6</v>
      </c>
    </row>
    <row r="38" spans="2:15" x14ac:dyDescent="0.45">
      <c r="B38" t="s">
        <v>440</v>
      </c>
      <c r="C38" t="s">
        <v>11</v>
      </c>
      <c r="D38">
        <v>6.4886837897217544E-3</v>
      </c>
      <c r="E38" t="s">
        <v>6</v>
      </c>
      <c r="G38" t="s">
        <v>441</v>
      </c>
      <c r="H38" t="s">
        <v>11</v>
      </c>
      <c r="I38">
        <v>8.8648696634800031E-2</v>
      </c>
      <c r="J38" t="s">
        <v>6</v>
      </c>
      <c r="L38" t="s">
        <v>442</v>
      </c>
      <c r="M38" t="s">
        <v>11</v>
      </c>
      <c r="N38">
        <v>8.2454510837062733E-2</v>
      </c>
      <c r="O38" t="s">
        <v>6</v>
      </c>
    </row>
    <row r="39" spans="2:15" x14ac:dyDescent="0.45">
      <c r="B39" t="s">
        <v>440</v>
      </c>
      <c r="C39" t="s">
        <v>12</v>
      </c>
      <c r="D39">
        <v>0.30483919305498314</v>
      </c>
      <c r="E39" t="s">
        <v>6</v>
      </c>
      <c r="G39" t="s">
        <v>441</v>
      </c>
      <c r="H39" t="s">
        <v>12</v>
      </c>
      <c r="I39">
        <v>8.7243996516513267E-2</v>
      </c>
      <c r="J39" t="s">
        <v>6</v>
      </c>
      <c r="L39" t="s">
        <v>442</v>
      </c>
      <c r="M39" t="s">
        <v>12</v>
      </c>
      <c r="N39">
        <v>9.7314950963447583E-2</v>
      </c>
      <c r="O39" t="s">
        <v>6</v>
      </c>
    </row>
    <row r="40" spans="2:15" x14ac:dyDescent="0.45">
      <c r="B40" t="s">
        <v>440</v>
      </c>
      <c r="C40" t="s">
        <v>13</v>
      </c>
      <c r="D40">
        <v>6.6427848379671381E-3</v>
      </c>
      <c r="E40" t="s">
        <v>6</v>
      </c>
      <c r="G40" t="s">
        <v>441</v>
      </c>
      <c r="H40" t="s">
        <v>13</v>
      </c>
      <c r="I40">
        <v>6.7595064129775673E-2</v>
      </c>
      <c r="J40" t="s">
        <v>6</v>
      </c>
      <c r="L40" t="s">
        <v>442</v>
      </c>
      <c r="M40" t="s">
        <v>13</v>
      </c>
      <c r="N40">
        <v>6.2098238818267544E-2</v>
      </c>
      <c r="O40" t="s">
        <v>6</v>
      </c>
    </row>
    <row r="41" spans="2:15" x14ac:dyDescent="0.45">
      <c r="B41" t="s">
        <v>440</v>
      </c>
      <c r="C41" t="s">
        <v>14</v>
      </c>
      <c r="D41">
        <v>1.1391239039575205E-2</v>
      </c>
      <c r="E41" t="s">
        <v>6</v>
      </c>
      <c r="G41" t="s">
        <v>441</v>
      </c>
      <c r="H41" t="s">
        <v>14</v>
      </c>
      <c r="I41">
        <v>5.9174395742773084E-2</v>
      </c>
      <c r="J41" t="s">
        <v>6</v>
      </c>
      <c r="L41" t="s">
        <v>442</v>
      </c>
      <c r="M41" t="s">
        <v>14</v>
      </c>
      <c r="N41">
        <v>6.4568864988453614E-2</v>
      </c>
      <c r="O41" t="s">
        <v>6</v>
      </c>
    </row>
    <row r="42" spans="2:15" x14ac:dyDescent="0.45">
      <c r="B42" t="s">
        <v>440</v>
      </c>
      <c r="C42" t="s">
        <v>15</v>
      </c>
      <c r="D42">
        <v>0.36791854991040673</v>
      </c>
      <c r="E42" t="s">
        <v>6</v>
      </c>
      <c r="G42" t="s">
        <v>441</v>
      </c>
      <c r="H42" t="s">
        <v>15</v>
      </c>
      <c r="I42">
        <v>4.4500193089069384E-2</v>
      </c>
      <c r="J42" t="s">
        <v>6</v>
      </c>
      <c r="L42" t="s">
        <v>442</v>
      </c>
      <c r="M42" t="s">
        <v>15</v>
      </c>
      <c r="N42">
        <v>8.3863382046859086E-2</v>
      </c>
      <c r="O42" t="s">
        <v>6</v>
      </c>
    </row>
    <row r="43" spans="2:15" x14ac:dyDescent="0.45">
      <c r="B43" t="s">
        <v>440</v>
      </c>
      <c r="C43" t="s">
        <v>16</v>
      </c>
      <c r="D43">
        <v>1.3817514657906276E-2</v>
      </c>
      <c r="E43" t="s">
        <v>6</v>
      </c>
      <c r="G43" t="s">
        <v>441</v>
      </c>
      <c r="H43" t="s">
        <v>16</v>
      </c>
      <c r="I43">
        <v>4.621969203318909E-2</v>
      </c>
      <c r="J43" t="s">
        <v>6</v>
      </c>
      <c r="L43" t="s">
        <v>442</v>
      </c>
      <c r="M43" t="s">
        <v>16</v>
      </c>
      <c r="N43">
        <v>5.0923191916414381E-2</v>
      </c>
      <c r="O43" t="s">
        <v>6</v>
      </c>
    </row>
    <row r="44" spans="2:15" x14ac:dyDescent="0.45">
      <c r="B44" t="s">
        <v>440</v>
      </c>
      <c r="C44" t="s">
        <v>17</v>
      </c>
      <c r="D44">
        <v>1.0746659784829592E-3</v>
      </c>
      <c r="E44" t="s">
        <v>6</v>
      </c>
      <c r="G44" t="s">
        <v>441</v>
      </c>
      <c r="H44" t="s">
        <v>17</v>
      </c>
      <c r="I44">
        <v>0.10383713406439837</v>
      </c>
      <c r="J44" t="s">
        <v>6</v>
      </c>
      <c r="L44" t="s">
        <v>442</v>
      </c>
      <c r="M44" t="s">
        <v>17</v>
      </c>
      <c r="N44">
        <v>9.1946885351316787E-2</v>
      </c>
      <c r="O44" t="s">
        <v>6</v>
      </c>
    </row>
    <row r="45" spans="2:15" x14ac:dyDescent="0.45">
      <c r="B45" t="s">
        <v>440</v>
      </c>
      <c r="C45" t="s">
        <v>18</v>
      </c>
      <c r="D45">
        <v>0.18376940241437997</v>
      </c>
      <c r="E45" t="s">
        <v>6</v>
      </c>
      <c r="G45" t="s">
        <v>441</v>
      </c>
      <c r="H45" t="s">
        <v>18</v>
      </c>
      <c r="I45">
        <v>9.8992022070439514E-2</v>
      </c>
      <c r="J45" t="s">
        <v>6</v>
      </c>
      <c r="L45" t="s">
        <v>442</v>
      </c>
      <c r="M45" t="s">
        <v>18</v>
      </c>
      <c r="N45">
        <v>0.10935694557702463</v>
      </c>
      <c r="O45" t="s">
        <v>6</v>
      </c>
    </row>
    <row r="46" spans="2:15" x14ac:dyDescent="0.45">
      <c r="B46" t="s">
        <v>440</v>
      </c>
      <c r="C46" t="s">
        <v>19</v>
      </c>
      <c r="D46">
        <v>7.7377889274099271E-4</v>
      </c>
      <c r="E46" t="s">
        <v>6</v>
      </c>
      <c r="G46" t="s">
        <v>441</v>
      </c>
      <c r="H46" t="s">
        <v>19</v>
      </c>
      <c r="I46">
        <v>7.4354657397749144E-2</v>
      </c>
      <c r="J46" t="s">
        <v>6</v>
      </c>
      <c r="L46" t="s">
        <v>442</v>
      </c>
      <c r="M46" t="s">
        <v>19</v>
      </c>
      <c r="N46">
        <v>6.8574754496898024E-2</v>
      </c>
      <c r="O46" t="s">
        <v>6</v>
      </c>
    </row>
    <row r="47" spans="2:15" x14ac:dyDescent="0.45">
      <c r="B47" t="s">
        <v>443</v>
      </c>
      <c r="C47" t="s">
        <v>5</v>
      </c>
      <c r="D47">
        <v>0</v>
      </c>
      <c r="E47" t="s">
        <v>6</v>
      </c>
      <c r="G47" t="s">
        <v>444</v>
      </c>
      <c r="H47" t="s">
        <v>5</v>
      </c>
      <c r="I47">
        <v>0.11373501013749097</v>
      </c>
      <c r="J47" t="s">
        <v>6</v>
      </c>
      <c r="L47" t="s">
        <v>445</v>
      </c>
      <c r="M47" t="s">
        <v>5</v>
      </c>
      <c r="N47">
        <v>9.6255799558497598E-2</v>
      </c>
      <c r="O47" t="s">
        <v>6</v>
      </c>
    </row>
    <row r="48" spans="2:15" x14ac:dyDescent="0.45">
      <c r="B48" t="s">
        <v>443</v>
      </c>
      <c r="C48" t="s">
        <v>9</v>
      </c>
      <c r="D48">
        <v>0.10675852988398032</v>
      </c>
      <c r="E48" t="s">
        <v>6</v>
      </c>
      <c r="G48" t="s">
        <v>444</v>
      </c>
      <c r="H48" t="s">
        <v>9</v>
      </c>
      <c r="I48">
        <v>0.12659270987835658</v>
      </c>
      <c r="J48" t="s">
        <v>6</v>
      </c>
      <c r="L48" t="s">
        <v>445</v>
      </c>
      <c r="M48" t="s">
        <v>9</v>
      </c>
      <c r="N48">
        <v>0.11936512420292218</v>
      </c>
      <c r="O48" t="s">
        <v>6</v>
      </c>
    </row>
    <row r="49" spans="2:15" x14ac:dyDescent="0.45">
      <c r="B49" t="s">
        <v>443</v>
      </c>
      <c r="C49" t="s">
        <v>10</v>
      </c>
      <c r="D49">
        <v>5.6470673833985429E-5</v>
      </c>
      <c r="E49" t="s">
        <v>6</v>
      </c>
      <c r="G49" t="s">
        <v>444</v>
      </c>
      <c r="H49" t="s">
        <v>10</v>
      </c>
      <c r="I49">
        <v>8.5708023970213529E-2</v>
      </c>
      <c r="J49" t="s">
        <v>6</v>
      </c>
      <c r="L49" t="s">
        <v>445</v>
      </c>
      <c r="M49" t="s">
        <v>10</v>
      </c>
      <c r="N49">
        <v>7.2110376889214248E-2</v>
      </c>
      <c r="O49" t="s">
        <v>6</v>
      </c>
    </row>
    <row r="50" spans="2:15" x14ac:dyDescent="0.45">
      <c r="B50" t="s">
        <v>443</v>
      </c>
      <c r="C50" t="s">
        <v>11</v>
      </c>
      <c r="D50">
        <v>4.5439752439342014E-3</v>
      </c>
      <c r="E50" t="s">
        <v>6</v>
      </c>
      <c r="G50" t="s">
        <v>444</v>
      </c>
      <c r="H50" t="s">
        <v>11</v>
      </c>
      <c r="I50">
        <v>8.3326722647636298E-2</v>
      </c>
      <c r="J50" t="s">
        <v>6</v>
      </c>
      <c r="L50" t="s">
        <v>445</v>
      </c>
      <c r="M50" t="s">
        <v>11</v>
      </c>
      <c r="N50">
        <v>8.3541292698756944E-2</v>
      </c>
      <c r="O50" t="s">
        <v>6</v>
      </c>
    </row>
    <row r="51" spans="2:15" x14ac:dyDescent="0.45">
      <c r="B51" t="s">
        <v>443</v>
      </c>
      <c r="C51" t="s">
        <v>12</v>
      </c>
      <c r="D51">
        <v>0.29604592836734167</v>
      </c>
      <c r="E51" t="s">
        <v>6</v>
      </c>
      <c r="G51" t="s">
        <v>444</v>
      </c>
      <c r="H51" t="s">
        <v>12</v>
      </c>
      <c r="I51">
        <v>9.3148096135627065E-2</v>
      </c>
      <c r="J51" t="s">
        <v>6</v>
      </c>
      <c r="L51" t="s">
        <v>445</v>
      </c>
      <c r="M51" t="s">
        <v>12</v>
      </c>
      <c r="N51">
        <v>9.9218372699674484E-2</v>
      </c>
      <c r="O51" t="s">
        <v>6</v>
      </c>
    </row>
    <row r="52" spans="2:15" x14ac:dyDescent="0.45">
      <c r="B52" t="s">
        <v>443</v>
      </c>
      <c r="C52" t="s">
        <v>13</v>
      </c>
      <c r="D52">
        <v>8.1697909150965798E-3</v>
      </c>
      <c r="E52" t="s">
        <v>6</v>
      </c>
      <c r="G52" t="s">
        <v>444</v>
      </c>
      <c r="H52" t="s">
        <v>13</v>
      </c>
      <c r="I52">
        <v>6.6461367778975863E-2</v>
      </c>
      <c r="J52" t="s">
        <v>6</v>
      </c>
      <c r="L52" t="s">
        <v>445</v>
      </c>
      <c r="M52" t="s">
        <v>13</v>
      </c>
      <c r="N52">
        <v>6.4141196745709339E-2</v>
      </c>
      <c r="O52" t="s">
        <v>6</v>
      </c>
    </row>
    <row r="53" spans="2:15" x14ac:dyDescent="0.45">
      <c r="B53" t="s">
        <v>443</v>
      </c>
      <c r="C53" t="s">
        <v>14</v>
      </c>
      <c r="D53">
        <v>9.901032401348861E-3</v>
      </c>
      <c r="E53" t="s">
        <v>6</v>
      </c>
      <c r="G53" t="s">
        <v>444</v>
      </c>
      <c r="H53" t="s">
        <v>14</v>
      </c>
      <c r="I53">
        <v>5.14442744582677E-2</v>
      </c>
      <c r="J53" t="s">
        <v>6</v>
      </c>
      <c r="L53" t="s">
        <v>445</v>
      </c>
      <c r="M53" t="s">
        <v>14</v>
      </c>
      <c r="N53">
        <v>6.2735485402208066E-2</v>
      </c>
      <c r="O53" t="s">
        <v>6</v>
      </c>
    </row>
    <row r="54" spans="2:15" x14ac:dyDescent="0.45">
      <c r="B54" t="s">
        <v>443</v>
      </c>
      <c r="C54" t="s">
        <v>15</v>
      </c>
      <c r="D54">
        <v>0.37380469723377385</v>
      </c>
      <c r="E54" t="s">
        <v>6</v>
      </c>
      <c r="G54" t="s">
        <v>444</v>
      </c>
      <c r="H54" t="s">
        <v>15</v>
      </c>
      <c r="I54">
        <v>4.6741603359113156E-2</v>
      </c>
      <c r="J54" t="s">
        <v>6</v>
      </c>
      <c r="L54" t="s">
        <v>445</v>
      </c>
      <c r="M54" t="s">
        <v>15</v>
      </c>
      <c r="N54">
        <v>8.0065112637099103E-2</v>
      </c>
      <c r="O54" t="s">
        <v>6</v>
      </c>
    </row>
    <row r="55" spans="2:15" x14ac:dyDescent="0.45">
      <c r="B55" t="s">
        <v>443</v>
      </c>
      <c r="C55" t="s">
        <v>16</v>
      </c>
      <c r="D55">
        <v>1.656226544553796E-2</v>
      </c>
      <c r="E55" t="s">
        <v>6</v>
      </c>
      <c r="G55" t="s">
        <v>444</v>
      </c>
      <c r="H55" t="s">
        <v>16</v>
      </c>
      <c r="I55">
        <v>4.2203660681697681E-2</v>
      </c>
      <c r="J55" t="s">
        <v>6</v>
      </c>
      <c r="L55" t="s">
        <v>445</v>
      </c>
      <c r="M55" t="s">
        <v>16</v>
      </c>
      <c r="N55">
        <v>4.8430154300318294E-2</v>
      </c>
      <c r="O55" t="s">
        <v>6</v>
      </c>
    </row>
    <row r="56" spans="2:15" x14ac:dyDescent="0.45">
      <c r="B56" t="s">
        <v>443</v>
      </c>
      <c r="C56" t="s">
        <v>17</v>
      </c>
      <c r="D56">
        <v>5.9680510927248803E-4</v>
      </c>
      <c r="E56" t="s">
        <v>6</v>
      </c>
      <c r="G56" t="s">
        <v>444</v>
      </c>
      <c r="H56" t="s">
        <v>17</v>
      </c>
      <c r="I56">
        <v>0.10304765825429503</v>
      </c>
      <c r="J56" t="s">
        <v>6</v>
      </c>
      <c r="L56" t="s">
        <v>445</v>
      </c>
      <c r="M56" t="s">
        <v>17</v>
      </c>
      <c r="N56">
        <v>9.2573916537580417E-2</v>
      </c>
      <c r="O56" t="s">
        <v>6</v>
      </c>
    </row>
    <row r="57" spans="2:15" x14ac:dyDescent="0.45">
      <c r="B57" t="s">
        <v>443</v>
      </c>
      <c r="C57" t="s">
        <v>18</v>
      </c>
      <c r="D57">
        <v>0.18230617118794157</v>
      </c>
      <c r="E57" t="s">
        <v>6</v>
      </c>
      <c r="G57" t="s">
        <v>444</v>
      </c>
      <c r="H57" t="s">
        <v>18</v>
      </c>
      <c r="I57">
        <v>0.11297829120650892</v>
      </c>
      <c r="J57" t="s">
        <v>6</v>
      </c>
      <c r="L57" t="s">
        <v>445</v>
      </c>
      <c r="M57" t="s">
        <v>18</v>
      </c>
      <c r="N57">
        <v>0.11200860835169404</v>
      </c>
      <c r="O57" t="s">
        <v>6</v>
      </c>
    </row>
    <row r="58" spans="2:15" x14ac:dyDescent="0.45">
      <c r="B58" t="s">
        <v>443</v>
      </c>
      <c r="C58" t="s">
        <v>19</v>
      </c>
      <c r="D58">
        <v>1.2543335379400402E-3</v>
      </c>
      <c r="E58" t="s">
        <v>6</v>
      </c>
      <c r="G58" t="s">
        <v>444</v>
      </c>
      <c r="H58" t="s">
        <v>19</v>
      </c>
      <c r="I58">
        <v>7.4612581491814725E-2</v>
      </c>
      <c r="J58" t="s">
        <v>6</v>
      </c>
      <c r="L58" t="s">
        <v>445</v>
      </c>
      <c r="M58" t="s">
        <v>19</v>
      </c>
      <c r="N58">
        <v>6.9554559976325744E-2</v>
      </c>
      <c r="O58" t="s">
        <v>6</v>
      </c>
    </row>
    <row r="59" spans="2:15" x14ac:dyDescent="0.45">
      <c r="B59" t="s">
        <v>446</v>
      </c>
      <c r="C59" t="s">
        <v>5</v>
      </c>
      <c r="D59">
        <v>0</v>
      </c>
      <c r="E59" t="s">
        <v>6</v>
      </c>
      <c r="G59" t="s">
        <v>447</v>
      </c>
      <c r="H59" t="s">
        <v>5</v>
      </c>
      <c r="I59">
        <v>0.11095905476839166</v>
      </c>
      <c r="J59" t="s">
        <v>6</v>
      </c>
      <c r="L59" t="s">
        <v>448</v>
      </c>
      <c r="M59" t="s">
        <v>5</v>
      </c>
      <c r="N59">
        <v>0.10128172631406698</v>
      </c>
      <c r="O59" t="s">
        <v>6</v>
      </c>
    </row>
    <row r="60" spans="2:15" x14ac:dyDescent="0.45">
      <c r="B60" t="s">
        <v>446</v>
      </c>
      <c r="C60" t="s">
        <v>9</v>
      </c>
      <c r="D60">
        <v>0.11285738790830814</v>
      </c>
      <c r="E60" t="s">
        <v>6</v>
      </c>
      <c r="G60" t="s">
        <v>447</v>
      </c>
      <c r="H60" t="s">
        <v>9</v>
      </c>
      <c r="I60">
        <v>0.12986608550521453</v>
      </c>
      <c r="J60" t="s">
        <v>6</v>
      </c>
      <c r="L60" t="s">
        <v>448</v>
      </c>
      <c r="M60" t="s">
        <v>9</v>
      </c>
      <c r="N60">
        <v>0.12660942078739609</v>
      </c>
      <c r="O60" t="s">
        <v>6</v>
      </c>
    </row>
    <row r="61" spans="2:15" x14ac:dyDescent="0.45">
      <c r="B61" t="s">
        <v>446</v>
      </c>
      <c r="C61" t="s">
        <v>10</v>
      </c>
      <c r="D61">
        <v>1.956343287965301E-5</v>
      </c>
      <c r="E61" t="s">
        <v>6</v>
      </c>
      <c r="G61" t="s">
        <v>447</v>
      </c>
      <c r="H61" t="s">
        <v>10</v>
      </c>
      <c r="I61">
        <v>8.9093293982180577E-2</v>
      </c>
      <c r="J61" t="s">
        <v>6</v>
      </c>
      <c r="L61" t="s">
        <v>448</v>
      </c>
      <c r="M61" t="s">
        <v>10</v>
      </c>
      <c r="N61">
        <v>7.6423531873893405E-2</v>
      </c>
      <c r="O61" t="s">
        <v>6</v>
      </c>
    </row>
    <row r="62" spans="2:15" x14ac:dyDescent="0.45">
      <c r="B62" t="s">
        <v>446</v>
      </c>
      <c r="C62" t="s">
        <v>11</v>
      </c>
      <c r="D62">
        <v>5.0587834648526909E-3</v>
      </c>
      <c r="E62" t="s">
        <v>6</v>
      </c>
      <c r="G62" t="s">
        <v>447</v>
      </c>
      <c r="H62" t="s">
        <v>11</v>
      </c>
      <c r="I62">
        <v>7.8506902638402071E-2</v>
      </c>
      <c r="J62" t="s">
        <v>6</v>
      </c>
      <c r="L62" t="s">
        <v>448</v>
      </c>
      <c r="M62" t="s">
        <v>11</v>
      </c>
      <c r="N62">
        <v>8.2905957652314274E-2</v>
      </c>
      <c r="O62" t="s">
        <v>6</v>
      </c>
    </row>
    <row r="63" spans="2:15" x14ac:dyDescent="0.45">
      <c r="B63" t="s">
        <v>446</v>
      </c>
      <c r="C63" t="s">
        <v>12</v>
      </c>
      <c r="D63">
        <v>0.29282565212767553</v>
      </c>
      <c r="E63" t="s">
        <v>6</v>
      </c>
      <c r="G63" t="s">
        <v>447</v>
      </c>
      <c r="H63" t="s">
        <v>12</v>
      </c>
      <c r="I63">
        <v>8.804730454229566E-2</v>
      </c>
      <c r="J63" t="s">
        <v>6</v>
      </c>
      <c r="L63" t="s">
        <v>448</v>
      </c>
      <c r="M63" t="s">
        <v>12</v>
      </c>
      <c r="N63">
        <v>9.5564601611518543E-2</v>
      </c>
      <c r="O63" t="s">
        <v>6</v>
      </c>
    </row>
    <row r="64" spans="2:15" x14ac:dyDescent="0.45">
      <c r="B64" t="s">
        <v>446</v>
      </c>
      <c r="C64" t="s">
        <v>13</v>
      </c>
      <c r="D64">
        <v>7.2456469217385055E-3</v>
      </c>
      <c r="E64" t="s">
        <v>6</v>
      </c>
      <c r="G64" t="s">
        <v>447</v>
      </c>
      <c r="H64" t="s">
        <v>13</v>
      </c>
      <c r="I64">
        <v>5.9704829211621284E-2</v>
      </c>
      <c r="J64" t="s">
        <v>6</v>
      </c>
      <c r="L64" t="s">
        <v>448</v>
      </c>
      <c r="M64" t="s">
        <v>13</v>
      </c>
      <c r="N64">
        <v>6.1572013666465655E-2</v>
      </c>
      <c r="O64" t="s">
        <v>6</v>
      </c>
    </row>
    <row r="65" spans="2:15" x14ac:dyDescent="0.45">
      <c r="B65" t="s">
        <v>446</v>
      </c>
      <c r="C65" t="s">
        <v>14</v>
      </c>
      <c r="D65">
        <v>1.0375940630269356E-2</v>
      </c>
      <c r="E65" t="s">
        <v>6</v>
      </c>
      <c r="G65" t="s">
        <v>447</v>
      </c>
      <c r="H65" t="s">
        <v>14</v>
      </c>
      <c r="I65">
        <v>4.6298685216914243E-2</v>
      </c>
      <c r="J65" t="s">
        <v>6</v>
      </c>
      <c r="L65" t="s">
        <v>448</v>
      </c>
      <c r="M65" t="s">
        <v>14</v>
      </c>
      <c r="N65">
        <v>6.1570310933973013E-2</v>
      </c>
      <c r="O65" t="s">
        <v>6</v>
      </c>
    </row>
    <row r="66" spans="2:15" x14ac:dyDescent="0.45">
      <c r="B66" t="s">
        <v>446</v>
      </c>
      <c r="C66" t="s">
        <v>15</v>
      </c>
      <c r="D66">
        <v>0.36717437837810474</v>
      </c>
      <c r="E66" t="s">
        <v>6</v>
      </c>
      <c r="G66" t="s">
        <v>447</v>
      </c>
      <c r="H66" t="s">
        <v>15</v>
      </c>
      <c r="I66">
        <v>5.0339396754963427E-2</v>
      </c>
      <c r="J66" t="s">
        <v>6</v>
      </c>
      <c r="L66" t="s">
        <v>448</v>
      </c>
      <c r="M66" t="s">
        <v>15</v>
      </c>
      <c r="N66">
        <v>7.6189982326949124E-2</v>
      </c>
      <c r="O66" t="s">
        <v>6</v>
      </c>
    </row>
    <row r="67" spans="2:15" x14ac:dyDescent="0.45">
      <c r="B67" t="s">
        <v>446</v>
      </c>
      <c r="C67" t="s">
        <v>16</v>
      </c>
      <c r="D67">
        <v>1.4858781241089847E-2</v>
      </c>
      <c r="E67" t="s">
        <v>6</v>
      </c>
      <c r="G67" t="s">
        <v>447</v>
      </c>
      <c r="H67" t="s">
        <v>16</v>
      </c>
      <c r="I67">
        <v>4.1517343209761873E-2</v>
      </c>
      <c r="J67" t="s">
        <v>6</v>
      </c>
      <c r="L67" t="s">
        <v>448</v>
      </c>
      <c r="M67" t="s">
        <v>16</v>
      </c>
      <c r="N67">
        <v>4.7546438229068684E-2</v>
      </c>
      <c r="O67" t="s">
        <v>6</v>
      </c>
    </row>
    <row r="68" spans="2:15" x14ac:dyDescent="0.45">
      <c r="B68" t="s">
        <v>446</v>
      </c>
      <c r="C68" t="s">
        <v>17</v>
      </c>
      <c r="D68">
        <v>8.2680534877539106E-4</v>
      </c>
      <c r="E68" t="s">
        <v>6</v>
      </c>
      <c r="G68" t="s">
        <v>447</v>
      </c>
      <c r="H68" t="s">
        <v>17</v>
      </c>
      <c r="I68">
        <v>0.10917666404674768</v>
      </c>
      <c r="J68" t="s">
        <v>6</v>
      </c>
      <c r="L68" t="s">
        <v>448</v>
      </c>
      <c r="M68" t="s">
        <v>17</v>
      </c>
      <c r="N68">
        <v>9.1920108704359585E-2</v>
      </c>
      <c r="O68" t="s">
        <v>6</v>
      </c>
    </row>
    <row r="69" spans="2:15" x14ac:dyDescent="0.45">
      <c r="B69" t="s">
        <v>446</v>
      </c>
      <c r="C69" t="s">
        <v>18</v>
      </c>
      <c r="D69">
        <v>0.18772280115335355</v>
      </c>
      <c r="E69" t="s">
        <v>6</v>
      </c>
      <c r="G69" t="s">
        <v>447</v>
      </c>
      <c r="H69" t="s">
        <v>18</v>
      </c>
      <c r="I69">
        <v>0.1181916286004074</v>
      </c>
      <c r="J69" t="s">
        <v>6</v>
      </c>
      <c r="L69" t="s">
        <v>448</v>
      </c>
      <c r="M69" t="s">
        <v>18</v>
      </c>
      <c r="N69">
        <v>0.11099038460744769</v>
      </c>
      <c r="O69" t="s">
        <v>6</v>
      </c>
    </row>
    <row r="70" spans="2:15" x14ac:dyDescent="0.45">
      <c r="B70" t="s">
        <v>446</v>
      </c>
      <c r="C70" t="s">
        <v>19</v>
      </c>
      <c r="D70">
        <v>1.0342593929538577E-3</v>
      </c>
      <c r="E70" t="s">
        <v>6</v>
      </c>
      <c r="G70" t="s">
        <v>447</v>
      </c>
      <c r="H70" t="s">
        <v>19</v>
      </c>
      <c r="I70">
        <v>7.8298811523097742E-2</v>
      </c>
      <c r="J70" t="s">
        <v>6</v>
      </c>
      <c r="L70" t="s">
        <v>448</v>
      </c>
      <c r="M70" t="s">
        <v>19</v>
      </c>
      <c r="N70">
        <v>6.7425523292549458E-2</v>
      </c>
      <c r="O70" t="s">
        <v>6</v>
      </c>
    </row>
    <row r="71" spans="2:15" x14ac:dyDescent="0.45">
      <c r="B71" t="s">
        <v>449</v>
      </c>
      <c r="C71" t="s">
        <v>5</v>
      </c>
      <c r="D71">
        <v>0</v>
      </c>
      <c r="E71" t="s">
        <v>6</v>
      </c>
      <c r="G71" t="s">
        <v>450</v>
      </c>
      <c r="H71" t="s">
        <v>5</v>
      </c>
      <c r="I71">
        <v>0.10179278147386375</v>
      </c>
      <c r="J71" t="s">
        <v>6</v>
      </c>
      <c r="L71" t="s">
        <v>451</v>
      </c>
      <c r="M71" t="s">
        <v>5</v>
      </c>
      <c r="N71">
        <v>9.5136314649314796E-2</v>
      </c>
      <c r="O71" t="s">
        <v>6</v>
      </c>
    </row>
    <row r="72" spans="2:15" x14ac:dyDescent="0.45">
      <c r="B72" t="s">
        <v>449</v>
      </c>
      <c r="C72" t="s">
        <v>9</v>
      </c>
      <c r="D72">
        <v>8.9508597817951438E-2</v>
      </c>
      <c r="E72" t="s">
        <v>6</v>
      </c>
      <c r="G72" t="s">
        <v>450</v>
      </c>
      <c r="H72" t="s">
        <v>9</v>
      </c>
      <c r="I72">
        <v>0.11997255262942712</v>
      </c>
      <c r="J72" t="s">
        <v>6</v>
      </c>
      <c r="L72" t="s">
        <v>451</v>
      </c>
      <c r="M72" t="s">
        <v>9</v>
      </c>
      <c r="N72">
        <v>0.12422546327802476</v>
      </c>
      <c r="O72" t="s">
        <v>6</v>
      </c>
    </row>
    <row r="73" spans="2:15" x14ac:dyDescent="0.45">
      <c r="B73" t="s">
        <v>449</v>
      </c>
      <c r="C73" t="s">
        <v>10</v>
      </c>
      <c r="D73">
        <v>5.6019481695531754E-6</v>
      </c>
      <c r="E73" t="s">
        <v>6</v>
      </c>
      <c r="G73" t="s">
        <v>450</v>
      </c>
      <c r="H73" t="s">
        <v>10</v>
      </c>
      <c r="I73">
        <v>8.7838412055823947E-2</v>
      </c>
      <c r="J73" t="s">
        <v>6</v>
      </c>
      <c r="L73" t="s">
        <v>451</v>
      </c>
      <c r="M73" t="s">
        <v>10</v>
      </c>
      <c r="N73">
        <v>7.6793826929078129E-2</v>
      </c>
      <c r="O73" t="s">
        <v>6</v>
      </c>
    </row>
    <row r="74" spans="2:15" x14ac:dyDescent="0.45">
      <c r="B74" t="s">
        <v>449</v>
      </c>
      <c r="C74" t="s">
        <v>11</v>
      </c>
      <c r="D74">
        <v>7.1343146525700346E-3</v>
      </c>
      <c r="E74" t="s">
        <v>6</v>
      </c>
      <c r="G74" t="s">
        <v>450</v>
      </c>
      <c r="H74" t="s">
        <v>11</v>
      </c>
      <c r="I74">
        <v>7.7581314764488027E-2</v>
      </c>
      <c r="J74" t="s">
        <v>6</v>
      </c>
      <c r="L74" t="s">
        <v>451</v>
      </c>
      <c r="M74" t="s">
        <v>11</v>
      </c>
      <c r="N74">
        <v>8.6116558180402189E-2</v>
      </c>
      <c r="O74" t="s">
        <v>6</v>
      </c>
    </row>
    <row r="75" spans="2:15" x14ac:dyDescent="0.45">
      <c r="B75" t="s">
        <v>449</v>
      </c>
      <c r="C75" t="s">
        <v>12</v>
      </c>
      <c r="D75">
        <v>0.3330598024989771</v>
      </c>
      <c r="E75" t="s">
        <v>6</v>
      </c>
      <c r="G75" t="s">
        <v>450</v>
      </c>
      <c r="H75" t="s">
        <v>12</v>
      </c>
      <c r="I75">
        <v>9.6076742621891378E-2</v>
      </c>
      <c r="J75" t="s">
        <v>6</v>
      </c>
      <c r="L75" t="s">
        <v>451</v>
      </c>
      <c r="M75" t="s">
        <v>12</v>
      </c>
      <c r="N75">
        <v>0.10341635434468126</v>
      </c>
      <c r="O75" t="s">
        <v>6</v>
      </c>
    </row>
    <row r="76" spans="2:15" x14ac:dyDescent="0.45">
      <c r="B76" t="s">
        <v>449</v>
      </c>
      <c r="C76" t="s">
        <v>13</v>
      </c>
      <c r="D76">
        <v>7.3437116159877878E-3</v>
      </c>
      <c r="E76" t="s">
        <v>6</v>
      </c>
      <c r="G76" t="s">
        <v>450</v>
      </c>
      <c r="H76" t="s">
        <v>13</v>
      </c>
      <c r="I76">
        <v>6.503137174682945E-2</v>
      </c>
      <c r="J76" t="s">
        <v>6</v>
      </c>
      <c r="L76" t="s">
        <v>451</v>
      </c>
      <c r="M76" t="s">
        <v>13</v>
      </c>
      <c r="N76">
        <v>6.9425059543412895E-2</v>
      </c>
      <c r="O76" t="s">
        <v>6</v>
      </c>
    </row>
    <row r="77" spans="2:15" x14ac:dyDescent="0.45">
      <c r="B77" t="s">
        <v>449</v>
      </c>
      <c r="C77" t="s">
        <v>14</v>
      </c>
      <c r="D77">
        <v>1.1858953903627161E-2</v>
      </c>
      <c r="E77" t="s">
        <v>6</v>
      </c>
      <c r="G77" t="s">
        <v>450</v>
      </c>
      <c r="H77" t="s">
        <v>14</v>
      </c>
      <c r="I77">
        <v>5.2177493492170199E-2</v>
      </c>
      <c r="J77" t="s">
        <v>6</v>
      </c>
      <c r="L77" t="s">
        <v>451</v>
      </c>
      <c r="M77" t="s">
        <v>14</v>
      </c>
      <c r="N77">
        <v>6.0453023072789366E-2</v>
      </c>
      <c r="O77" t="s">
        <v>6</v>
      </c>
    </row>
    <row r="78" spans="2:15" x14ac:dyDescent="0.45">
      <c r="B78" t="s">
        <v>449</v>
      </c>
      <c r="C78" t="s">
        <v>15</v>
      </c>
      <c r="D78">
        <v>0.36373095186071586</v>
      </c>
      <c r="E78" t="s">
        <v>6</v>
      </c>
      <c r="G78" t="s">
        <v>450</v>
      </c>
      <c r="H78" t="s">
        <v>15</v>
      </c>
      <c r="I78">
        <v>6.2287060444315596E-2</v>
      </c>
      <c r="J78" t="s">
        <v>6</v>
      </c>
      <c r="L78" t="s">
        <v>451</v>
      </c>
      <c r="M78" t="s">
        <v>15</v>
      </c>
      <c r="N78">
        <v>7.0015230445191104E-2</v>
      </c>
      <c r="O78" t="s">
        <v>6</v>
      </c>
    </row>
    <row r="79" spans="2:15" x14ac:dyDescent="0.45">
      <c r="B79" t="s">
        <v>449</v>
      </c>
      <c r="C79" t="s">
        <v>16</v>
      </c>
      <c r="D79">
        <v>1.4385879425166292E-2</v>
      </c>
      <c r="E79" t="s">
        <v>6</v>
      </c>
      <c r="G79" t="s">
        <v>450</v>
      </c>
      <c r="H79" t="s">
        <v>16</v>
      </c>
      <c r="I79">
        <v>4.33401491086138E-2</v>
      </c>
      <c r="J79" t="s">
        <v>6</v>
      </c>
      <c r="L79" t="s">
        <v>451</v>
      </c>
      <c r="M79" t="s">
        <v>16</v>
      </c>
      <c r="N79">
        <v>5.0108592086029968E-2</v>
      </c>
      <c r="O79" t="s">
        <v>6</v>
      </c>
    </row>
    <row r="80" spans="2:15" x14ac:dyDescent="0.45">
      <c r="B80" t="s">
        <v>449</v>
      </c>
      <c r="C80" t="s">
        <v>17</v>
      </c>
      <c r="D80">
        <v>1.0214994547012317E-3</v>
      </c>
      <c r="E80" t="s">
        <v>6</v>
      </c>
      <c r="G80" t="s">
        <v>450</v>
      </c>
      <c r="H80" t="s">
        <v>17</v>
      </c>
      <c r="I80">
        <v>9.4136234287707829E-2</v>
      </c>
      <c r="J80" t="s">
        <v>6</v>
      </c>
      <c r="L80" t="s">
        <v>451</v>
      </c>
      <c r="M80" t="s">
        <v>17</v>
      </c>
      <c r="N80">
        <v>8.5932660711576472E-2</v>
      </c>
      <c r="O80" t="s">
        <v>6</v>
      </c>
    </row>
    <row r="81" spans="2:15" x14ac:dyDescent="0.45">
      <c r="B81" t="s">
        <v>449</v>
      </c>
      <c r="C81" t="s">
        <v>18</v>
      </c>
      <c r="D81">
        <v>0.17120183025229199</v>
      </c>
      <c r="E81" t="s">
        <v>6</v>
      </c>
      <c r="G81" t="s">
        <v>450</v>
      </c>
      <c r="H81" t="s">
        <v>18</v>
      </c>
      <c r="I81">
        <v>0.12231722230485458</v>
      </c>
      <c r="J81" t="s">
        <v>6</v>
      </c>
      <c r="L81" t="s">
        <v>451</v>
      </c>
      <c r="M81" t="s">
        <v>18</v>
      </c>
      <c r="N81">
        <v>0.10866774473880175</v>
      </c>
      <c r="O81" t="s">
        <v>6</v>
      </c>
    </row>
    <row r="82" spans="2:15" x14ac:dyDescent="0.45">
      <c r="B82" t="s">
        <v>449</v>
      </c>
      <c r="C82" t="s">
        <v>19</v>
      </c>
      <c r="D82">
        <v>7.4885656984149897E-4</v>
      </c>
      <c r="E82" t="s">
        <v>6</v>
      </c>
      <c r="G82" t="s">
        <v>450</v>
      </c>
      <c r="H82" t="s">
        <v>19</v>
      </c>
      <c r="I82">
        <v>7.7448665070015563E-2</v>
      </c>
      <c r="J82" t="s">
        <v>6</v>
      </c>
      <c r="L82" t="s">
        <v>451</v>
      </c>
      <c r="M82" t="s">
        <v>19</v>
      </c>
      <c r="N82">
        <v>6.970917202069804E-2</v>
      </c>
      <c r="O82" t="s">
        <v>6</v>
      </c>
    </row>
    <row r="83" spans="2:15" x14ac:dyDescent="0.45">
      <c r="B83" t="s">
        <v>452</v>
      </c>
      <c r="C83" t="s">
        <v>5</v>
      </c>
      <c r="D83">
        <v>0</v>
      </c>
      <c r="E83" t="s">
        <v>6</v>
      </c>
      <c r="G83" t="s">
        <v>453</v>
      </c>
      <c r="H83" t="s">
        <v>5</v>
      </c>
      <c r="I83">
        <v>0.11293019415534236</v>
      </c>
      <c r="J83" t="s">
        <v>6</v>
      </c>
      <c r="L83" t="s">
        <v>454</v>
      </c>
      <c r="M83" t="s">
        <v>5</v>
      </c>
      <c r="N83">
        <v>0.10461840699675862</v>
      </c>
      <c r="O83" t="s">
        <v>6</v>
      </c>
    </row>
    <row r="84" spans="2:15" x14ac:dyDescent="0.45">
      <c r="B84" t="s">
        <v>452</v>
      </c>
      <c r="C84" t="s">
        <v>9</v>
      </c>
      <c r="D84">
        <v>8.9787730976576746E-2</v>
      </c>
      <c r="E84" t="s">
        <v>6</v>
      </c>
      <c r="G84" t="s">
        <v>453</v>
      </c>
      <c r="H84" t="s">
        <v>9</v>
      </c>
      <c r="I84">
        <v>0.11892201922625736</v>
      </c>
      <c r="J84" t="s">
        <v>6</v>
      </c>
      <c r="L84" t="s">
        <v>454</v>
      </c>
      <c r="M84" t="s">
        <v>9</v>
      </c>
      <c r="N84">
        <v>0.13240854811400626</v>
      </c>
      <c r="O84" t="s">
        <v>6</v>
      </c>
    </row>
    <row r="85" spans="2:15" x14ac:dyDescent="0.45">
      <c r="B85" t="s">
        <v>452</v>
      </c>
      <c r="C85" t="s">
        <v>10</v>
      </c>
      <c r="D85">
        <v>3.5869709367073171E-5</v>
      </c>
      <c r="E85" t="s">
        <v>6</v>
      </c>
      <c r="G85" t="s">
        <v>453</v>
      </c>
      <c r="H85" t="s">
        <v>10</v>
      </c>
      <c r="I85">
        <v>8.8336999748064277E-2</v>
      </c>
      <c r="J85" t="s">
        <v>6</v>
      </c>
      <c r="L85" t="s">
        <v>454</v>
      </c>
      <c r="M85" t="s">
        <v>10</v>
      </c>
      <c r="N85">
        <v>8.1391606580217477E-2</v>
      </c>
      <c r="O85" t="s">
        <v>6</v>
      </c>
    </row>
    <row r="86" spans="2:15" x14ac:dyDescent="0.45">
      <c r="B86" t="s">
        <v>452</v>
      </c>
      <c r="C86" t="s">
        <v>11</v>
      </c>
      <c r="D86">
        <v>5.8264827214392582E-3</v>
      </c>
      <c r="E86" t="s">
        <v>6</v>
      </c>
      <c r="G86" t="s">
        <v>453</v>
      </c>
      <c r="H86" t="s">
        <v>11</v>
      </c>
      <c r="I86">
        <v>8.8551707022662393E-2</v>
      </c>
      <c r="J86" t="s">
        <v>6</v>
      </c>
      <c r="L86" t="s">
        <v>454</v>
      </c>
      <c r="M86" t="s">
        <v>11</v>
      </c>
      <c r="N86">
        <v>8.1233217517554662E-2</v>
      </c>
      <c r="O86" t="s">
        <v>6</v>
      </c>
    </row>
    <row r="87" spans="2:15" x14ac:dyDescent="0.45">
      <c r="B87" t="s">
        <v>452</v>
      </c>
      <c r="C87" t="s">
        <v>12</v>
      </c>
      <c r="D87">
        <v>0.32673182402604134</v>
      </c>
      <c r="E87" t="s">
        <v>6</v>
      </c>
      <c r="G87" t="s">
        <v>453</v>
      </c>
      <c r="H87" t="s">
        <v>12</v>
      </c>
      <c r="I87">
        <v>8.9686559382679817E-2</v>
      </c>
      <c r="J87" t="s">
        <v>6</v>
      </c>
      <c r="L87" t="s">
        <v>454</v>
      </c>
      <c r="M87" t="s">
        <v>12</v>
      </c>
      <c r="N87">
        <v>8.4494886862911969E-2</v>
      </c>
      <c r="O87" t="s">
        <v>6</v>
      </c>
    </row>
    <row r="88" spans="2:15" x14ac:dyDescent="0.45">
      <c r="B88" t="s">
        <v>452</v>
      </c>
      <c r="C88" t="s">
        <v>13</v>
      </c>
      <c r="D88">
        <v>8.9616674197052337E-3</v>
      </c>
      <c r="E88" t="s">
        <v>6</v>
      </c>
      <c r="G88" t="s">
        <v>453</v>
      </c>
      <c r="H88" t="s">
        <v>13</v>
      </c>
      <c r="I88">
        <v>6.5430766758670489E-2</v>
      </c>
      <c r="J88" t="s">
        <v>6</v>
      </c>
      <c r="L88" t="s">
        <v>454</v>
      </c>
      <c r="M88" t="s">
        <v>13</v>
      </c>
      <c r="N88">
        <v>6.419665073997681E-2</v>
      </c>
      <c r="O88" t="s">
        <v>6</v>
      </c>
    </row>
    <row r="89" spans="2:15" x14ac:dyDescent="0.45">
      <c r="B89" t="s">
        <v>452</v>
      </c>
      <c r="C89" t="s">
        <v>14</v>
      </c>
      <c r="D89">
        <v>1.0720131356950598E-2</v>
      </c>
      <c r="E89" t="s">
        <v>6</v>
      </c>
      <c r="G89" t="s">
        <v>453</v>
      </c>
      <c r="H89" t="s">
        <v>14</v>
      </c>
      <c r="I89">
        <v>5.7038142169416425E-2</v>
      </c>
      <c r="J89" t="s">
        <v>6</v>
      </c>
      <c r="L89" t="s">
        <v>454</v>
      </c>
      <c r="M89" t="s">
        <v>14</v>
      </c>
      <c r="N89">
        <v>5.7024497570384525E-2</v>
      </c>
      <c r="O89" t="s">
        <v>6</v>
      </c>
    </row>
    <row r="90" spans="2:15" x14ac:dyDescent="0.45">
      <c r="B90" t="s">
        <v>452</v>
      </c>
      <c r="C90" t="s">
        <v>15</v>
      </c>
      <c r="D90">
        <v>0.36471773312766498</v>
      </c>
      <c r="E90" t="s">
        <v>6</v>
      </c>
      <c r="G90" t="s">
        <v>453</v>
      </c>
      <c r="H90" t="s">
        <v>15</v>
      </c>
      <c r="I90">
        <v>5.5839128864486734E-2</v>
      </c>
      <c r="J90" t="s">
        <v>6</v>
      </c>
      <c r="L90" t="s">
        <v>454</v>
      </c>
      <c r="M90" t="s">
        <v>15</v>
      </c>
      <c r="N90">
        <v>6.7987642715876428E-2</v>
      </c>
      <c r="O90" t="s">
        <v>6</v>
      </c>
    </row>
    <row r="91" spans="2:15" x14ac:dyDescent="0.45">
      <c r="B91" t="s">
        <v>452</v>
      </c>
      <c r="C91" t="s">
        <v>16</v>
      </c>
      <c r="D91">
        <v>1.6615393927042442E-2</v>
      </c>
      <c r="E91" t="s">
        <v>6</v>
      </c>
      <c r="G91" t="s">
        <v>453</v>
      </c>
      <c r="H91" t="s">
        <v>16</v>
      </c>
      <c r="I91">
        <v>4.5264488860536495E-2</v>
      </c>
      <c r="J91" t="s">
        <v>6</v>
      </c>
      <c r="L91" t="s">
        <v>454</v>
      </c>
      <c r="M91" t="s">
        <v>16</v>
      </c>
      <c r="N91">
        <v>4.1496473082230506E-2</v>
      </c>
      <c r="O91" t="s">
        <v>6</v>
      </c>
    </row>
    <row r="92" spans="2:15" x14ac:dyDescent="0.45">
      <c r="B92" t="s">
        <v>452</v>
      </c>
      <c r="C92" t="s">
        <v>17</v>
      </c>
      <c r="D92">
        <v>6.60470567722818E-4</v>
      </c>
      <c r="E92" t="s">
        <v>6</v>
      </c>
      <c r="G92" t="s">
        <v>453</v>
      </c>
      <c r="H92" t="s">
        <v>17</v>
      </c>
      <c r="I92">
        <v>9.8489154579945795E-2</v>
      </c>
      <c r="J92" t="s">
        <v>6</v>
      </c>
      <c r="L92" t="s">
        <v>454</v>
      </c>
      <c r="M92" t="s">
        <v>17</v>
      </c>
      <c r="N92">
        <v>9.2741632885113542E-2</v>
      </c>
      <c r="O92" t="s">
        <v>6</v>
      </c>
    </row>
    <row r="93" spans="2:15" x14ac:dyDescent="0.45">
      <c r="B93" t="s">
        <v>452</v>
      </c>
      <c r="C93" t="s">
        <v>18</v>
      </c>
      <c r="D93">
        <v>0.17480741130295752</v>
      </c>
      <c r="E93" t="s">
        <v>6</v>
      </c>
      <c r="G93" t="s">
        <v>453</v>
      </c>
      <c r="H93" t="s">
        <v>18</v>
      </c>
      <c r="I93">
        <v>0.10180141347734267</v>
      </c>
      <c r="J93" t="s">
        <v>6</v>
      </c>
      <c r="L93" t="s">
        <v>454</v>
      </c>
      <c r="M93" t="s">
        <v>18</v>
      </c>
      <c r="N93">
        <v>0.11561193716593517</v>
      </c>
      <c r="O93" t="s">
        <v>6</v>
      </c>
    </row>
    <row r="94" spans="2:15" x14ac:dyDescent="0.45">
      <c r="B94" t="s">
        <v>452</v>
      </c>
      <c r="C94" t="s">
        <v>19</v>
      </c>
      <c r="D94">
        <v>1.1352848645301776E-3</v>
      </c>
      <c r="E94" t="s">
        <v>6</v>
      </c>
      <c r="G94" t="s">
        <v>453</v>
      </c>
      <c r="H94" t="s">
        <v>19</v>
      </c>
      <c r="I94">
        <v>7.7709425754593386E-2</v>
      </c>
      <c r="J94" t="s">
        <v>6</v>
      </c>
      <c r="L94" t="s">
        <v>454</v>
      </c>
      <c r="M94" t="s">
        <v>19</v>
      </c>
      <c r="N94">
        <v>7.6794499769034047E-2</v>
      </c>
      <c r="O94" t="s">
        <v>6</v>
      </c>
    </row>
    <row r="95" spans="2:15" x14ac:dyDescent="0.45">
      <c r="B95" t="s">
        <v>455</v>
      </c>
      <c r="C95" t="s">
        <v>5</v>
      </c>
      <c r="D95">
        <v>0</v>
      </c>
      <c r="E95" t="s">
        <v>6</v>
      </c>
      <c r="G95" t="s">
        <v>456</v>
      </c>
      <c r="H95" t="s">
        <v>5</v>
      </c>
      <c r="I95">
        <v>0.11032678123387422</v>
      </c>
      <c r="J95" t="s">
        <v>6</v>
      </c>
      <c r="L95" t="s">
        <v>457</v>
      </c>
      <c r="M95" t="s">
        <v>5</v>
      </c>
      <c r="N95">
        <v>0.10920834236876055</v>
      </c>
      <c r="O95" t="s">
        <v>6</v>
      </c>
    </row>
    <row r="96" spans="2:15" x14ac:dyDescent="0.45">
      <c r="B96" t="s">
        <v>455</v>
      </c>
      <c r="C96" t="s">
        <v>9</v>
      </c>
      <c r="D96">
        <v>8.6938850614911328E-2</v>
      </c>
      <c r="E96" t="s">
        <v>6</v>
      </c>
      <c r="G96" t="s">
        <v>456</v>
      </c>
      <c r="H96" t="s">
        <v>9</v>
      </c>
      <c r="I96">
        <v>0.12278772797380035</v>
      </c>
      <c r="J96" t="s">
        <v>6</v>
      </c>
      <c r="L96" t="s">
        <v>457</v>
      </c>
      <c r="M96" t="s">
        <v>9</v>
      </c>
      <c r="N96">
        <v>0.13366983304561231</v>
      </c>
      <c r="O96" t="s">
        <v>6</v>
      </c>
    </row>
    <row r="97" spans="2:15" x14ac:dyDescent="0.45">
      <c r="B97" t="s">
        <v>455</v>
      </c>
      <c r="C97" t="s">
        <v>10</v>
      </c>
      <c r="D97">
        <v>2.6412787293011007E-5</v>
      </c>
      <c r="E97" t="s">
        <v>6</v>
      </c>
      <c r="G97" t="s">
        <v>456</v>
      </c>
      <c r="H97" t="s">
        <v>10</v>
      </c>
      <c r="I97">
        <v>8.3220803548840885E-2</v>
      </c>
      <c r="J97" t="s">
        <v>6</v>
      </c>
      <c r="L97" t="s">
        <v>457</v>
      </c>
      <c r="M97" t="s">
        <v>10</v>
      </c>
      <c r="N97">
        <v>8.2821238353704224E-2</v>
      </c>
      <c r="O97" t="s">
        <v>6</v>
      </c>
    </row>
    <row r="98" spans="2:15" x14ac:dyDescent="0.45">
      <c r="B98" t="s">
        <v>455</v>
      </c>
      <c r="C98" t="s">
        <v>11</v>
      </c>
      <c r="D98">
        <v>5.7999427846539059E-3</v>
      </c>
      <c r="E98" t="s">
        <v>6</v>
      </c>
      <c r="G98" t="s">
        <v>456</v>
      </c>
      <c r="H98" t="s">
        <v>11</v>
      </c>
      <c r="I98">
        <v>8.5946315345845306E-2</v>
      </c>
      <c r="J98" t="s">
        <v>6</v>
      </c>
      <c r="L98" t="s">
        <v>457</v>
      </c>
      <c r="M98" t="s">
        <v>11</v>
      </c>
      <c r="N98">
        <v>8.0155113871517691E-2</v>
      </c>
      <c r="O98" t="s">
        <v>6</v>
      </c>
    </row>
    <row r="99" spans="2:15" x14ac:dyDescent="0.45">
      <c r="B99" t="s">
        <v>455</v>
      </c>
      <c r="C99" t="s">
        <v>12</v>
      </c>
      <c r="D99">
        <v>0.33278342962957724</v>
      </c>
      <c r="E99" t="s">
        <v>6</v>
      </c>
      <c r="G99" t="s">
        <v>456</v>
      </c>
      <c r="H99" t="s">
        <v>12</v>
      </c>
      <c r="I99">
        <v>9.5597025960744986E-2</v>
      </c>
      <c r="J99" t="s">
        <v>6</v>
      </c>
      <c r="L99" t="s">
        <v>457</v>
      </c>
      <c r="M99" t="s">
        <v>12</v>
      </c>
      <c r="N99">
        <v>9.5345001574220919E-2</v>
      </c>
      <c r="O99" t="s">
        <v>6</v>
      </c>
    </row>
    <row r="100" spans="2:15" x14ac:dyDescent="0.45">
      <c r="B100" t="s">
        <v>455</v>
      </c>
      <c r="C100" t="s">
        <v>13</v>
      </c>
      <c r="D100">
        <v>9.0632613678354405E-3</v>
      </c>
      <c r="E100" t="s">
        <v>6</v>
      </c>
      <c r="G100" t="s">
        <v>456</v>
      </c>
      <c r="H100" t="s">
        <v>13</v>
      </c>
      <c r="I100">
        <v>6.2976037172954052E-2</v>
      </c>
      <c r="J100" t="s">
        <v>6</v>
      </c>
      <c r="L100" t="s">
        <v>457</v>
      </c>
      <c r="M100" t="s">
        <v>13</v>
      </c>
      <c r="N100">
        <v>5.9240234528808472E-2</v>
      </c>
      <c r="O100" t="s">
        <v>6</v>
      </c>
    </row>
    <row r="101" spans="2:15" x14ac:dyDescent="0.45">
      <c r="B101" t="s">
        <v>455</v>
      </c>
      <c r="C101" t="s">
        <v>14</v>
      </c>
      <c r="D101">
        <v>1.0491159569091191E-2</v>
      </c>
      <c r="E101" t="s">
        <v>6</v>
      </c>
      <c r="G101" t="s">
        <v>456</v>
      </c>
      <c r="H101" t="s">
        <v>14</v>
      </c>
      <c r="I101">
        <v>5.7586067603569054E-2</v>
      </c>
      <c r="J101" t="s">
        <v>6</v>
      </c>
      <c r="L101" t="s">
        <v>457</v>
      </c>
      <c r="M101" t="s">
        <v>14</v>
      </c>
      <c r="N101">
        <v>5.5859728150203326E-2</v>
      </c>
      <c r="O101" t="s">
        <v>6</v>
      </c>
    </row>
    <row r="102" spans="2:15" x14ac:dyDescent="0.45">
      <c r="B102" t="s">
        <v>455</v>
      </c>
      <c r="C102" t="s">
        <v>15</v>
      </c>
      <c r="D102">
        <v>0.35973329899242124</v>
      </c>
      <c r="E102" t="s">
        <v>6</v>
      </c>
      <c r="G102" t="s">
        <v>456</v>
      </c>
      <c r="H102" t="s">
        <v>15</v>
      </c>
      <c r="I102">
        <v>5.3523711718425557E-2</v>
      </c>
      <c r="J102" t="s">
        <v>6</v>
      </c>
      <c r="L102" t="s">
        <v>457</v>
      </c>
      <c r="M102" t="s">
        <v>15</v>
      </c>
      <c r="N102">
        <v>6.9447660874824652E-2</v>
      </c>
      <c r="O102" t="s">
        <v>6</v>
      </c>
    </row>
    <row r="103" spans="2:15" x14ac:dyDescent="0.45">
      <c r="B103" t="s">
        <v>455</v>
      </c>
      <c r="C103" t="s">
        <v>16</v>
      </c>
      <c r="D103">
        <v>1.6757606194026799E-2</v>
      </c>
      <c r="E103" t="s">
        <v>6</v>
      </c>
      <c r="G103" t="s">
        <v>456</v>
      </c>
      <c r="H103" t="s">
        <v>16</v>
      </c>
      <c r="I103">
        <v>4.2322735560410163E-2</v>
      </c>
      <c r="J103" t="s">
        <v>6</v>
      </c>
      <c r="L103" t="s">
        <v>457</v>
      </c>
      <c r="M103" t="s">
        <v>16</v>
      </c>
      <c r="N103">
        <v>4.277015297654909E-2</v>
      </c>
      <c r="O103" t="s">
        <v>6</v>
      </c>
    </row>
    <row r="104" spans="2:15" x14ac:dyDescent="0.45">
      <c r="B104" t="s">
        <v>455</v>
      </c>
      <c r="C104" t="s">
        <v>17</v>
      </c>
      <c r="D104">
        <v>7.2586089427588148E-4</v>
      </c>
      <c r="E104" t="s">
        <v>6</v>
      </c>
      <c r="G104" t="s">
        <v>456</v>
      </c>
      <c r="H104" t="s">
        <v>17</v>
      </c>
      <c r="I104">
        <v>0.1010298258100482</v>
      </c>
      <c r="J104" t="s">
        <v>6</v>
      </c>
      <c r="L104" t="s">
        <v>457</v>
      </c>
      <c r="M104" t="s">
        <v>17</v>
      </c>
      <c r="N104">
        <v>9.0107752949311212E-2</v>
      </c>
      <c r="O104" t="s">
        <v>6</v>
      </c>
    </row>
    <row r="105" spans="2:15" x14ac:dyDescent="0.45">
      <c r="B105" t="s">
        <v>455</v>
      </c>
      <c r="C105" t="s">
        <v>18</v>
      </c>
      <c r="D105">
        <v>0.17663833599136411</v>
      </c>
      <c r="E105" t="s">
        <v>6</v>
      </c>
      <c r="G105" t="s">
        <v>456</v>
      </c>
      <c r="H105" t="s">
        <v>18</v>
      </c>
      <c r="I105">
        <v>0.1083817818317111</v>
      </c>
      <c r="J105" t="s">
        <v>6</v>
      </c>
      <c r="L105" t="s">
        <v>457</v>
      </c>
      <c r="M105" t="s">
        <v>18</v>
      </c>
      <c r="N105">
        <v>0.11224209536876838</v>
      </c>
      <c r="O105" t="s">
        <v>6</v>
      </c>
    </row>
    <row r="106" spans="2:15" x14ac:dyDescent="0.45">
      <c r="B106" t="s">
        <v>455</v>
      </c>
      <c r="C106" t="s">
        <v>19</v>
      </c>
      <c r="D106">
        <v>1.0418411745482768E-3</v>
      </c>
      <c r="E106" t="s">
        <v>6</v>
      </c>
      <c r="G106" t="s">
        <v>456</v>
      </c>
      <c r="H106" t="s">
        <v>19</v>
      </c>
      <c r="I106">
        <v>7.6301186239774485E-2</v>
      </c>
      <c r="J106" t="s">
        <v>6</v>
      </c>
      <c r="L106" t="s">
        <v>457</v>
      </c>
      <c r="M106" t="s">
        <v>19</v>
      </c>
      <c r="N106">
        <v>6.9132845937717763E-2</v>
      </c>
      <c r="O106" t="s">
        <v>6</v>
      </c>
    </row>
    <row r="107" spans="2:15" x14ac:dyDescent="0.45">
      <c r="B107" t="s">
        <v>458</v>
      </c>
      <c r="C107" t="s">
        <v>5</v>
      </c>
      <c r="D107">
        <v>0</v>
      </c>
      <c r="E107" t="s">
        <v>6</v>
      </c>
      <c r="G107" t="s">
        <v>459</v>
      </c>
      <c r="H107" t="s">
        <v>5</v>
      </c>
      <c r="I107">
        <v>0.11276531556211003</v>
      </c>
      <c r="J107" t="s">
        <v>6</v>
      </c>
      <c r="L107" t="s">
        <v>460</v>
      </c>
      <c r="M107" t="s">
        <v>5</v>
      </c>
      <c r="N107">
        <v>0.1046905627882522</v>
      </c>
      <c r="O107" t="s">
        <v>6</v>
      </c>
    </row>
    <row r="108" spans="2:15" x14ac:dyDescent="0.45">
      <c r="B108" t="s">
        <v>458</v>
      </c>
      <c r="C108" t="s">
        <v>9</v>
      </c>
      <c r="D108">
        <v>9.0999472033788484E-2</v>
      </c>
      <c r="E108" t="s">
        <v>6</v>
      </c>
      <c r="G108" t="s">
        <v>459</v>
      </c>
      <c r="H108" t="s">
        <v>9</v>
      </c>
      <c r="I108">
        <v>0.12991778041251634</v>
      </c>
      <c r="J108" t="s">
        <v>6</v>
      </c>
      <c r="L108" t="s">
        <v>460</v>
      </c>
      <c r="M108" t="s">
        <v>9</v>
      </c>
      <c r="N108">
        <v>0.13020772590614446</v>
      </c>
      <c r="O108" t="s">
        <v>6</v>
      </c>
    </row>
    <row r="109" spans="2:15" x14ac:dyDescent="0.45">
      <c r="B109" t="s">
        <v>458</v>
      </c>
      <c r="C109" t="s">
        <v>10</v>
      </c>
      <c r="D109">
        <v>8.2913270124036336E-5</v>
      </c>
      <c r="E109" t="s">
        <v>6</v>
      </c>
      <c r="G109" t="s">
        <v>459</v>
      </c>
      <c r="H109" t="s">
        <v>10</v>
      </c>
      <c r="I109">
        <v>8.6550212754148745E-2</v>
      </c>
      <c r="J109" t="s">
        <v>6</v>
      </c>
      <c r="L109" t="s">
        <v>460</v>
      </c>
      <c r="M109" t="s">
        <v>10</v>
      </c>
      <c r="N109">
        <v>7.8405506378182208E-2</v>
      </c>
      <c r="O109" t="s">
        <v>6</v>
      </c>
    </row>
    <row r="110" spans="2:15" x14ac:dyDescent="0.45">
      <c r="B110" t="s">
        <v>458</v>
      </c>
      <c r="C110" t="s">
        <v>11</v>
      </c>
      <c r="D110">
        <v>4.454814550375363E-3</v>
      </c>
      <c r="E110" t="s">
        <v>6</v>
      </c>
      <c r="G110" t="s">
        <v>459</v>
      </c>
      <c r="H110" t="s">
        <v>11</v>
      </c>
      <c r="I110">
        <v>8.1521961254754235E-2</v>
      </c>
      <c r="J110" t="s">
        <v>6</v>
      </c>
      <c r="L110" t="s">
        <v>460</v>
      </c>
      <c r="M110" t="s">
        <v>11</v>
      </c>
      <c r="N110">
        <v>8.2659642457935764E-2</v>
      </c>
      <c r="O110" t="s">
        <v>6</v>
      </c>
    </row>
    <row r="111" spans="2:15" x14ac:dyDescent="0.45">
      <c r="B111" t="s">
        <v>458</v>
      </c>
      <c r="C111" t="s">
        <v>12</v>
      </c>
      <c r="D111">
        <v>0.31486971461283986</v>
      </c>
      <c r="E111" t="s">
        <v>6</v>
      </c>
      <c r="G111" t="s">
        <v>459</v>
      </c>
      <c r="H111" t="s">
        <v>12</v>
      </c>
      <c r="I111">
        <v>9.3315017821105628E-2</v>
      </c>
      <c r="J111" t="s">
        <v>6</v>
      </c>
      <c r="L111" t="s">
        <v>460</v>
      </c>
      <c r="M111" t="s">
        <v>12</v>
      </c>
      <c r="N111">
        <v>9.8015293193638192E-2</v>
      </c>
      <c r="O111" t="s">
        <v>6</v>
      </c>
    </row>
    <row r="112" spans="2:15" x14ac:dyDescent="0.45">
      <c r="B112" t="s">
        <v>458</v>
      </c>
      <c r="C112" t="s">
        <v>13</v>
      </c>
      <c r="D112">
        <v>1.0701492957649049E-2</v>
      </c>
      <c r="E112" t="s">
        <v>6</v>
      </c>
      <c r="G112" t="s">
        <v>459</v>
      </c>
      <c r="H112" t="s">
        <v>13</v>
      </c>
      <c r="I112">
        <v>6.47705208956149E-2</v>
      </c>
      <c r="J112" t="s">
        <v>6</v>
      </c>
      <c r="L112" t="s">
        <v>460</v>
      </c>
      <c r="M112" t="s">
        <v>13</v>
      </c>
      <c r="N112">
        <v>6.3470603211168541E-2</v>
      </c>
      <c r="O112" t="s">
        <v>6</v>
      </c>
    </row>
    <row r="113" spans="2:15" x14ac:dyDescent="0.45">
      <c r="B113" t="s">
        <v>458</v>
      </c>
      <c r="C113" t="s">
        <v>14</v>
      </c>
      <c r="D113">
        <v>8.9213272995824367E-3</v>
      </c>
      <c r="E113" t="s">
        <v>6</v>
      </c>
      <c r="G113" t="s">
        <v>459</v>
      </c>
      <c r="H113" t="s">
        <v>14</v>
      </c>
      <c r="I113">
        <v>5.1808721336341262E-2</v>
      </c>
      <c r="J113" t="s">
        <v>6</v>
      </c>
      <c r="L113" t="s">
        <v>460</v>
      </c>
      <c r="M113" t="s">
        <v>14</v>
      </c>
      <c r="N113">
        <v>5.9519306005100962E-2</v>
      </c>
      <c r="O113" t="s">
        <v>6</v>
      </c>
    </row>
    <row r="114" spans="2:15" x14ac:dyDescent="0.45">
      <c r="B114" t="s">
        <v>458</v>
      </c>
      <c r="C114" t="s">
        <v>15</v>
      </c>
      <c r="D114">
        <v>0.36721387143900469</v>
      </c>
      <c r="E114" t="s">
        <v>6</v>
      </c>
      <c r="G114" t="s">
        <v>459</v>
      </c>
      <c r="H114" t="s">
        <v>15</v>
      </c>
      <c r="I114">
        <v>4.8746621947652335E-2</v>
      </c>
      <c r="J114" t="s">
        <v>6</v>
      </c>
      <c r="L114" t="s">
        <v>460</v>
      </c>
      <c r="M114" t="s">
        <v>15</v>
      </c>
      <c r="N114">
        <v>6.6599763304487067E-2</v>
      </c>
      <c r="O114" t="s">
        <v>6</v>
      </c>
    </row>
    <row r="115" spans="2:15" x14ac:dyDescent="0.45">
      <c r="B115" t="s">
        <v>458</v>
      </c>
      <c r="C115" t="s">
        <v>16</v>
      </c>
      <c r="D115">
        <v>2.0000342912744558E-2</v>
      </c>
      <c r="E115" t="s">
        <v>6</v>
      </c>
      <c r="G115" t="s">
        <v>459</v>
      </c>
      <c r="H115" t="s">
        <v>16</v>
      </c>
      <c r="I115">
        <v>4.1050288809189733E-2</v>
      </c>
      <c r="J115" t="s">
        <v>6</v>
      </c>
      <c r="L115" t="s">
        <v>460</v>
      </c>
      <c r="M115" t="s">
        <v>16</v>
      </c>
      <c r="N115">
        <v>4.5835856574037874E-2</v>
      </c>
      <c r="O115" t="s">
        <v>6</v>
      </c>
    </row>
    <row r="116" spans="2:15" x14ac:dyDescent="0.45">
      <c r="B116" t="s">
        <v>458</v>
      </c>
      <c r="C116" t="s">
        <v>17</v>
      </c>
      <c r="D116">
        <v>3.2313605569920129E-4</v>
      </c>
      <c r="E116" t="s">
        <v>6</v>
      </c>
      <c r="G116" t="s">
        <v>459</v>
      </c>
      <c r="H116" t="s">
        <v>17</v>
      </c>
      <c r="I116">
        <v>0.1049262033327928</v>
      </c>
      <c r="J116" t="s">
        <v>6</v>
      </c>
      <c r="L116" t="s">
        <v>460</v>
      </c>
      <c r="M116" t="s">
        <v>17</v>
      </c>
      <c r="N116">
        <v>9.0259513809431632E-2</v>
      </c>
      <c r="O116" t="s">
        <v>6</v>
      </c>
    </row>
    <row r="117" spans="2:15" x14ac:dyDescent="0.45">
      <c r="B117" t="s">
        <v>458</v>
      </c>
      <c r="C117" t="s">
        <v>18</v>
      </c>
      <c r="D117">
        <v>0.18095804323678569</v>
      </c>
      <c r="E117" t="s">
        <v>6</v>
      </c>
      <c r="G117" t="s">
        <v>459</v>
      </c>
      <c r="H117" t="s">
        <v>18</v>
      </c>
      <c r="I117">
        <v>0.10881297182208688</v>
      </c>
      <c r="J117" t="s">
        <v>6</v>
      </c>
      <c r="L117" t="s">
        <v>460</v>
      </c>
      <c r="M117" t="s">
        <v>18</v>
      </c>
      <c r="N117">
        <v>0.11170323343950223</v>
      </c>
      <c r="O117" t="s">
        <v>6</v>
      </c>
    </row>
    <row r="118" spans="2:15" x14ac:dyDescent="0.45">
      <c r="B118" t="s">
        <v>458</v>
      </c>
      <c r="C118" t="s">
        <v>19</v>
      </c>
      <c r="D118">
        <v>1.4748716314064558E-3</v>
      </c>
      <c r="E118" t="s">
        <v>6</v>
      </c>
      <c r="G118" t="s">
        <v>459</v>
      </c>
      <c r="H118" t="s">
        <v>19</v>
      </c>
      <c r="I118">
        <v>7.5814384051686071E-2</v>
      </c>
      <c r="J118" t="s">
        <v>6</v>
      </c>
      <c r="L118" t="s">
        <v>460</v>
      </c>
      <c r="M118" t="s">
        <v>19</v>
      </c>
      <c r="N118">
        <v>6.8632992932118123E-2</v>
      </c>
      <c r="O118" t="s">
        <v>6</v>
      </c>
    </row>
    <row r="119" spans="2:15" x14ac:dyDescent="0.45">
      <c r="B119" t="s">
        <v>461</v>
      </c>
      <c r="C119" t="s">
        <v>5</v>
      </c>
      <c r="D119">
        <v>0</v>
      </c>
      <c r="E119" t="s">
        <v>6</v>
      </c>
      <c r="G119" t="s">
        <v>462</v>
      </c>
      <c r="H119" t="s">
        <v>5</v>
      </c>
      <c r="I119">
        <v>0.11900003028138585</v>
      </c>
      <c r="J119" t="s">
        <v>6</v>
      </c>
      <c r="L119" t="s">
        <v>463</v>
      </c>
      <c r="M119" t="s">
        <v>5</v>
      </c>
      <c r="N119">
        <v>0.10344674954424619</v>
      </c>
      <c r="O119" t="s">
        <v>6</v>
      </c>
    </row>
    <row r="120" spans="2:15" x14ac:dyDescent="0.45">
      <c r="B120" t="s">
        <v>461</v>
      </c>
      <c r="C120" t="s">
        <v>9</v>
      </c>
      <c r="D120">
        <v>9.2514280576517047E-2</v>
      </c>
      <c r="E120" t="s">
        <v>6</v>
      </c>
      <c r="G120" t="s">
        <v>462</v>
      </c>
      <c r="H120" t="s">
        <v>9</v>
      </c>
      <c r="I120">
        <v>0.12733823865666022</v>
      </c>
      <c r="J120" t="s">
        <v>6</v>
      </c>
      <c r="L120" t="s">
        <v>463</v>
      </c>
      <c r="M120" t="s">
        <v>9</v>
      </c>
      <c r="N120">
        <v>0.1297536619558973</v>
      </c>
      <c r="O120" t="s">
        <v>6</v>
      </c>
    </row>
    <row r="121" spans="2:15" x14ac:dyDescent="0.45">
      <c r="B121" t="s">
        <v>461</v>
      </c>
      <c r="C121" t="s">
        <v>10</v>
      </c>
      <c r="D121">
        <v>1.3766747163204441E-4</v>
      </c>
      <c r="E121" t="s">
        <v>6</v>
      </c>
      <c r="G121" t="s">
        <v>462</v>
      </c>
      <c r="H121" t="s">
        <v>10</v>
      </c>
      <c r="I121">
        <v>9.0939933988996247E-2</v>
      </c>
      <c r="J121" t="s">
        <v>6</v>
      </c>
      <c r="L121" t="s">
        <v>463</v>
      </c>
      <c r="M121" t="s">
        <v>10</v>
      </c>
      <c r="N121">
        <v>7.7836473410093518E-2</v>
      </c>
      <c r="O121" t="s">
        <v>6</v>
      </c>
    </row>
    <row r="122" spans="2:15" x14ac:dyDescent="0.45">
      <c r="B122" t="s">
        <v>461</v>
      </c>
      <c r="C122" t="s">
        <v>11</v>
      </c>
      <c r="D122">
        <v>4.1729237191046008E-3</v>
      </c>
      <c r="E122" t="s">
        <v>6</v>
      </c>
      <c r="G122" t="s">
        <v>462</v>
      </c>
      <c r="H122" t="s">
        <v>11</v>
      </c>
      <c r="I122">
        <v>8.4163023563769465E-2</v>
      </c>
      <c r="J122" t="s">
        <v>6</v>
      </c>
      <c r="L122" t="s">
        <v>463</v>
      </c>
      <c r="M122" t="s">
        <v>11</v>
      </c>
      <c r="N122">
        <v>8.1565059613932581E-2</v>
      </c>
      <c r="O122" t="s">
        <v>6</v>
      </c>
    </row>
    <row r="123" spans="2:15" x14ac:dyDescent="0.45">
      <c r="B123" t="s">
        <v>461</v>
      </c>
      <c r="C123" t="s">
        <v>12</v>
      </c>
      <c r="D123">
        <v>0.30825611545422721</v>
      </c>
      <c r="E123" t="s">
        <v>6</v>
      </c>
      <c r="G123" t="s">
        <v>462</v>
      </c>
      <c r="H123" t="s">
        <v>12</v>
      </c>
      <c r="I123">
        <v>8.61141977855608E-2</v>
      </c>
      <c r="J123" t="s">
        <v>6</v>
      </c>
      <c r="L123" t="s">
        <v>463</v>
      </c>
      <c r="M123" t="s">
        <v>12</v>
      </c>
      <c r="N123">
        <v>9.5869975018223821E-2</v>
      </c>
      <c r="O123" t="s">
        <v>6</v>
      </c>
    </row>
    <row r="124" spans="2:15" x14ac:dyDescent="0.45">
      <c r="B124" t="s">
        <v>461</v>
      </c>
      <c r="C124" t="s">
        <v>13</v>
      </c>
      <c r="D124">
        <v>1.0448870991619126E-2</v>
      </c>
      <c r="E124" t="s">
        <v>6</v>
      </c>
      <c r="G124" t="s">
        <v>462</v>
      </c>
      <c r="H124" t="s">
        <v>13</v>
      </c>
      <c r="I124">
        <v>6.3179526515051612E-2</v>
      </c>
      <c r="J124" t="s">
        <v>6</v>
      </c>
      <c r="L124" t="s">
        <v>463</v>
      </c>
      <c r="M124" t="s">
        <v>13</v>
      </c>
      <c r="N124">
        <v>6.3583245273088784E-2</v>
      </c>
      <c r="O124" t="s">
        <v>6</v>
      </c>
    </row>
    <row r="125" spans="2:15" x14ac:dyDescent="0.45">
      <c r="B125" t="s">
        <v>461</v>
      </c>
      <c r="C125" t="s">
        <v>14</v>
      </c>
      <c r="D125">
        <v>8.5285264475941213E-3</v>
      </c>
      <c r="E125" t="s">
        <v>6</v>
      </c>
      <c r="G125" t="s">
        <v>462</v>
      </c>
      <c r="H125" t="s">
        <v>14</v>
      </c>
      <c r="I125">
        <v>5.1436193626791388E-2</v>
      </c>
      <c r="J125" t="s">
        <v>6</v>
      </c>
      <c r="L125" t="s">
        <v>463</v>
      </c>
      <c r="M125" t="s">
        <v>14</v>
      </c>
      <c r="N125">
        <v>6.0063805431672924E-2</v>
      </c>
      <c r="O125" t="s">
        <v>6</v>
      </c>
    </row>
    <row r="126" spans="2:15" x14ac:dyDescent="0.45">
      <c r="B126" t="s">
        <v>461</v>
      </c>
      <c r="C126" t="s">
        <v>15</v>
      </c>
      <c r="D126">
        <v>0.3695218594668121</v>
      </c>
      <c r="E126" t="s">
        <v>6</v>
      </c>
      <c r="G126" t="s">
        <v>462</v>
      </c>
      <c r="H126" t="s">
        <v>15</v>
      </c>
      <c r="I126">
        <v>4.5728789516339796E-2</v>
      </c>
      <c r="J126" t="s">
        <v>6</v>
      </c>
      <c r="L126" t="s">
        <v>463</v>
      </c>
      <c r="M126" t="s">
        <v>15</v>
      </c>
      <c r="N126">
        <v>6.7880775192891055E-2</v>
      </c>
      <c r="O126" t="s">
        <v>6</v>
      </c>
    </row>
    <row r="127" spans="2:15" x14ac:dyDescent="0.45">
      <c r="B127" t="s">
        <v>461</v>
      </c>
      <c r="C127" t="s">
        <v>16</v>
      </c>
      <c r="D127">
        <v>2.0173350439421082E-2</v>
      </c>
      <c r="E127" t="s">
        <v>6</v>
      </c>
      <c r="G127" t="s">
        <v>462</v>
      </c>
      <c r="H127" t="s">
        <v>16</v>
      </c>
      <c r="I127">
        <v>4.2148058093454496E-2</v>
      </c>
      <c r="J127" t="s">
        <v>6</v>
      </c>
      <c r="L127" t="s">
        <v>463</v>
      </c>
      <c r="M127" t="s">
        <v>16</v>
      </c>
      <c r="N127">
        <v>4.513519780792951E-2</v>
      </c>
      <c r="O127" t="s">
        <v>6</v>
      </c>
    </row>
    <row r="128" spans="2:15" x14ac:dyDescent="0.45">
      <c r="B128" t="s">
        <v>461</v>
      </c>
      <c r="C128" t="s">
        <v>17</v>
      </c>
      <c r="D128">
        <v>2.6575171622159353E-4</v>
      </c>
      <c r="E128" t="s">
        <v>6</v>
      </c>
      <c r="G128" t="s">
        <v>462</v>
      </c>
      <c r="H128" t="s">
        <v>17</v>
      </c>
      <c r="I128">
        <v>0.1084236778825011</v>
      </c>
      <c r="J128" t="s">
        <v>6</v>
      </c>
      <c r="L128" t="s">
        <v>463</v>
      </c>
      <c r="M128" t="s">
        <v>17</v>
      </c>
      <c r="N128">
        <v>9.1289025537699978E-2</v>
      </c>
      <c r="O128" t="s">
        <v>6</v>
      </c>
    </row>
    <row r="129" spans="2:15" x14ac:dyDescent="0.45">
      <c r="B129" t="s">
        <v>461</v>
      </c>
      <c r="C129" t="s">
        <v>18</v>
      </c>
      <c r="D129">
        <v>0.18447055732430651</v>
      </c>
      <c r="E129" t="s">
        <v>6</v>
      </c>
      <c r="G129" t="s">
        <v>462</v>
      </c>
      <c r="H129" t="s">
        <v>18</v>
      </c>
      <c r="I129">
        <v>0.10565423283565875</v>
      </c>
      <c r="J129" t="s">
        <v>6</v>
      </c>
      <c r="L129" t="s">
        <v>463</v>
      </c>
      <c r="M129" t="s">
        <v>18</v>
      </c>
      <c r="N129">
        <v>0.11392753419833193</v>
      </c>
      <c r="O129" t="s">
        <v>6</v>
      </c>
    </row>
    <row r="130" spans="2:15" x14ac:dyDescent="0.45">
      <c r="B130" t="s">
        <v>461</v>
      </c>
      <c r="C130" t="s">
        <v>19</v>
      </c>
      <c r="D130">
        <v>1.5100963925443924E-3</v>
      </c>
      <c r="E130" t="s">
        <v>6</v>
      </c>
      <c r="G130" t="s">
        <v>462</v>
      </c>
      <c r="H130" t="s">
        <v>19</v>
      </c>
      <c r="I130">
        <v>7.5874097253831776E-2</v>
      </c>
      <c r="J130" t="s">
        <v>6</v>
      </c>
      <c r="L130" t="s">
        <v>463</v>
      </c>
      <c r="M130" t="s">
        <v>19</v>
      </c>
      <c r="N130">
        <v>6.9648497015991559E-2</v>
      </c>
      <c r="O130" t="s">
        <v>6</v>
      </c>
    </row>
    <row r="131" spans="2:15" x14ac:dyDescent="0.45">
      <c r="B131" t="s">
        <v>464</v>
      </c>
      <c r="C131" t="s">
        <v>5</v>
      </c>
      <c r="D131">
        <v>0</v>
      </c>
      <c r="E131" t="s">
        <v>6</v>
      </c>
      <c r="G131" t="s">
        <v>465</v>
      </c>
      <c r="H131" t="s">
        <v>5</v>
      </c>
      <c r="I131">
        <v>0.11720513724040998</v>
      </c>
      <c r="J131" t="s">
        <v>6</v>
      </c>
    </row>
    <row r="132" spans="2:15" x14ac:dyDescent="0.45">
      <c r="B132" t="s">
        <v>464</v>
      </c>
      <c r="C132" t="s">
        <v>9</v>
      </c>
      <c r="D132">
        <v>9.1506128122677263E-2</v>
      </c>
      <c r="E132" t="s">
        <v>6</v>
      </c>
      <c r="G132" t="s">
        <v>465</v>
      </c>
      <c r="H132" t="s">
        <v>9</v>
      </c>
      <c r="I132">
        <v>0.14258957072379286</v>
      </c>
      <c r="J132" t="s">
        <v>6</v>
      </c>
    </row>
    <row r="133" spans="2:15" x14ac:dyDescent="0.45">
      <c r="B133" t="s">
        <v>464</v>
      </c>
      <c r="C133" t="s">
        <v>10</v>
      </c>
      <c r="D133">
        <v>9.4777073244951463E-5</v>
      </c>
      <c r="E133" t="s">
        <v>6</v>
      </c>
      <c r="G133" t="s">
        <v>465</v>
      </c>
      <c r="H133" t="s">
        <v>10</v>
      </c>
      <c r="I133">
        <v>8.588482147290466E-2</v>
      </c>
      <c r="J133" t="s">
        <v>6</v>
      </c>
    </row>
    <row r="134" spans="2:15" x14ac:dyDescent="0.45">
      <c r="B134" t="s">
        <v>464</v>
      </c>
      <c r="C134" t="s">
        <v>11</v>
      </c>
      <c r="D134">
        <v>4.2716981655632549E-3</v>
      </c>
      <c r="E134" t="s">
        <v>6</v>
      </c>
      <c r="G134" t="s">
        <v>465</v>
      </c>
      <c r="H134" t="s">
        <v>11</v>
      </c>
      <c r="I134">
        <v>7.2433913546774267E-2</v>
      </c>
      <c r="J134" t="s">
        <v>6</v>
      </c>
    </row>
    <row r="135" spans="2:15" x14ac:dyDescent="0.45">
      <c r="B135" t="s">
        <v>464</v>
      </c>
      <c r="C135" t="s">
        <v>12</v>
      </c>
      <c r="D135">
        <v>0.32464700774055655</v>
      </c>
      <c r="E135" t="s">
        <v>6</v>
      </c>
      <c r="G135" t="s">
        <v>465</v>
      </c>
      <c r="H135" t="s">
        <v>12</v>
      </c>
      <c r="I135">
        <v>8.334765659061727E-2</v>
      </c>
      <c r="J135" t="s">
        <v>6</v>
      </c>
    </row>
    <row r="136" spans="2:15" x14ac:dyDescent="0.45">
      <c r="B136" t="s">
        <v>464</v>
      </c>
      <c r="C136" t="s">
        <v>13</v>
      </c>
      <c r="D136">
        <v>1.1941098576968201E-2</v>
      </c>
      <c r="E136" t="s">
        <v>6</v>
      </c>
      <c r="G136" t="s">
        <v>465</v>
      </c>
      <c r="H136" t="s">
        <v>13</v>
      </c>
      <c r="I136">
        <v>5.5250706644055014E-2</v>
      </c>
      <c r="J136" t="s">
        <v>6</v>
      </c>
    </row>
    <row r="137" spans="2:15" x14ac:dyDescent="0.45">
      <c r="B137" t="s">
        <v>464</v>
      </c>
      <c r="C137" t="s">
        <v>14</v>
      </c>
      <c r="D137">
        <v>8.5619624818828073E-3</v>
      </c>
      <c r="E137" t="s">
        <v>6</v>
      </c>
      <c r="G137" t="s">
        <v>465</v>
      </c>
      <c r="H137" t="s">
        <v>14</v>
      </c>
      <c r="I137">
        <v>5.4547543621108238E-2</v>
      </c>
      <c r="J137" t="s">
        <v>6</v>
      </c>
    </row>
    <row r="138" spans="2:15" x14ac:dyDescent="0.45">
      <c r="B138" t="s">
        <v>464</v>
      </c>
      <c r="C138" t="s">
        <v>15</v>
      </c>
      <c r="D138">
        <v>0.36047497790707839</v>
      </c>
      <c r="E138" t="s">
        <v>6</v>
      </c>
      <c r="G138" t="s">
        <v>465</v>
      </c>
      <c r="H138" t="s">
        <v>15</v>
      </c>
      <c r="I138">
        <v>6.3387426481359047E-2</v>
      </c>
      <c r="J138" t="s">
        <v>6</v>
      </c>
    </row>
    <row r="139" spans="2:15" x14ac:dyDescent="0.45">
      <c r="B139" t="s">
        <v>464</v>
      </c>
      <c r="C139" t="s">
        <v>16</v>
      </c>
      <c r="D139">
        <v>2.1455025324785583E-2</v>
      </c>
      <c r="E139" t="s">
        <v>6</v>
      </c>
      <c r="G139" t="s">
        <v>465</v>
      </c>
      <c r="H139" t="s">
        <v>16</v>
      </c>
      <c r="I139">
        <v>4.0252742792749971E-2</v>
      </c>
      <c r="J139" t="s">
        <v>6</v>
      </c>
    </row>
    <row r="140" spans="2:15" x14ac:dyDescent="0.45">
      <c r="B140" t="s">
        <v>464</v>
      </c>
      <c r="C140" t="s">
        <v>17</v>
      </c>
      <c r="D140">
        <v>3.162901036065566E-4</v>
      </c>
      <c r="E140" t="s">
        <v>6</v>
      </c>
      <c r="G140" t="s">
        <v>465</v>
      </c>
      <c r="H140" t="s">
        <v>17</v>
      </c>
      <c r="I140">
        <v>0.10001110137910484</v>
      </c>
      <c r="J140" t="s">
        <v>6</v>
      </c>
    </row>
    <row r="141" spans="2:15" x14ac:dyDescent="0.45">
      <c r="B141" t="s">
        <v>464</v>
      </c>
      <c r="C141" t="s">
        <v>18</v>
      </c>
      <c r="D141">
        <v>0.17526085744023578</v>
      </c>
      <c r="E141" t="s">
        <v>6</v>
      </c>
      <c r="G141" t="s">
        <v>465</v>
      </c>
      <c r="H141" t="s">
        <v>18</v>
      </c>
      <c r="I141">
        <v>0.11280553757954197</v>
      </c>
      <c r="J141" t="s">
        <v>6</v>
      </c>
    </row>
    <row r="142" spans="2:15" x14ac:dyDescent="0.45">
      <c r="B142" t="s">
        <v>464</v>
      </c>
      <c r="C142" t="s">
        <v>19</v>
      </c>
      <c r="D142">
        <v>1.4701770633981065E-3</v>
      </c>
      <c r="E142" t="s">
        <v>6</v>
      </c>
      <c r="G142" t="s">
        <v>465</v>
      </c>
      <c r="H142" t="s">
        <v>19</v>
      </c>
      <c r="I142">
        <v>7.228384192758168E-2</v>
      </c>
      <c r="J142" t="s">
        <v>6</v>
      </c>
    </row>
    <row r="143" spans="2:15" x14ac:dyDescent="0.45">
      <c r="B143" t="s">
        <v>466</v>
      </c>
      <c r="C143" t="s">
        <v>5</v>
      </c>
      <c r="D143">
        <v>0</v>
      </c>
      <c r="E143" t="s">
        <v>6</v>
      </c>
      <c r="G143" t="s">
        <v>467</v>
      </c>
      <c r="H143" t="s">
        <v>5</v>
      </c>
      <c r="I143">
        <v>0.11400417546780785</v>
      </c>
      <c r="J143" t="s">
        <v>6</v>
      </c>
    </row>
    <row r="144" spans="2:15" x14ac:dyDescent="0.45">
      <c r="B144" t="s">
        <v>466</v>
      </c>
      <c r="C144" t="s">
        <v>9</v>
      </c>
      <c r="D144">
        <v>0.10072281439174316</v>
      </c>
      <c r="E144" t="s">
        <v>6</v>
      </c>
      <c r="G144" t="s">
        <v>467</v>
      </c>
      <c r="H144" t="s">
        <v>9</v>
      </c>
      <c r="I144">
        <v>0.13588023391244169</v>
      </c>
      <c r="J144" t="s">
        <v>6</v>
      </c>
    </row>
    <row r="145" spans="2:10" x14ac:dyDescent="0.45">
      <c r="B145" t="s">
        <v>466</v>
      </c>
      <c r="C145" t="s">
        <v>10</v>
      </c>
      <c r="D145">
        <v>1.9379382467577921E-4</v>
      </c>
      <c r="E145" t="s">
        <v>6</v>
      </c>
      <c r="G145" t="s">
        <v>467</v>
      </c>
      <c r="H145" t="s">
        <v>10</v>
      </c>
      <c r="I145">
        <v>8.4726019033801697E-2</v>
      </c>
      <c r="J145" t="s">
        <v>6</v>
      </c>
    </row>
    <row r="146" spans="2:10" x14ac:dyDescent="0.45">
      <c r="B146" t="s">
        <v>466</v>
      </c>
      <c r="C146" t="s">
        <v>11</v>
      </c>
      <c r="D146">
        <v>3.2659644255305978E-3</v>
      </c>
      <c r="E146" t="s">
        <v>6</v>
      </c>
      <c r="G146" t="s">
        <v>467</v>
      </c>
      <c r="H146" t="s">
        <v>11</v>
      </c>
      <c r="I146">
        <v>7.7094725052564372E-2</v>
      </c>
      <c r="J146" t="s">
        <v>6</v>
      </c>
    </row>
    <row r="147" spans="2:10" x14ac:dyDescent="0.45">
      <c r="B147" t="s">
        <v>466</v>
      </c>
      <c r="C147" t="s">
        <v>12</v>
      </c>
      <c r="D147">
        <v>0.31364764842829723</v>
      </c>
      <c r="E147" t="s">
        <v>6</v>
      </c>
      <c r="G147" t="s">
        <v>467</v>
      </c>
      <c r="H147" t="s">
        <v>12</v>
      </c>
      <c r="I147">
        <v>9.369452678671604E-2</v>
      </c>
      <c r="J147" t="s">
        <v>6</v>
      </c>
    </row>
    <row r="148" spans="2:10" x14ac:dyDescent="0.45">
      <c r="B148" t="s">
        <v>466</v>
      </c>
      <c r="C148" t="s">
        <v>13</v>
      </c>
      <c r="D148">
        <v>1.2554634904028384E-2</v>
      </c>
      <c r="E148" t="s">
        <v>6</v>
      </c>
      <c r="G148" t="s">
        <v>467</v>
      </c>
      <c r="H148" t="s">
        <v>13</v>
      </c>
      <c r="I148">
        <v>6.1557200475090355E-2</v>
      </c>
      <c r="J148" t="s">
        <v>6</v>
      </c>
    </row>
    <row r="149" spans="2:10" x14ac:dyDescent="0.45">
      <c r="B149" t="s">
        <v>466</v>
      </c>
      <c r="C149" t="s">
        <v>14</v>
      </c>
      <c r="D149">
        <v>6.8132244458729155E-3</v>
      </c>
      <c r="E149" t="s">
        <v>6</v>
      </c>
      <c r="G149" t="s">
        <v>467</v>
      </c>
      <c r="H149" t="s">
        <v>14</v>
      </c>
      <c r="I149">
        <v>5.0888951163291042E-2</v>
      </c>
      <c r="J149" t="s">
        <v>6</v>
      </c>
    </row>
    <row r="150" spans="2:10" x14ac:dyDescent="0.45">
      <c r="B150" t="s">
        <v>466</v>
      </c>
      <c r="C150" t="s">
        <v>15</v>
      </c>
      <c r="D150">
        <v>0.35412460155758152</v>
      </c>
      <c r="E150" t="s">
        <v>6</v>
      </c>
      <c r="G150" t="s">
        <v>467</v>
      </c>
      <c r="H150" t="s">
        <v>15</v>
      </c>
      <c r="I150">
        <v>5.9845123337764379E-2</v>
      </c>
      <c r="J150" t="s">
        <v>6</v>
      </c>
    </row>
    <row r="151" spans="2:10" x14ac:dyDescent="0.45">
      <c r="B151" t="s">
        <v>466</v>
      </c>
      <c r="C151" t="s">
        <v>16</v>
      </c>
      <c r="D151">
        <v>2.2804088219412731E-2</v>
      </c>
      <c r="E151" t="s">
        <v>6</v>
      </c>
      <c r="G151" t="s">
        <v>467</v>
      </c>
      <c r="H151" t="s">
        <v>16</v>
      </c>
      <c r="I151">
        <v>3.9521359835266494E-2</v>
      </c>
      <c r="J151" t="s">
        <v>6</v>
      </c>
    </row>
    <row r="152" spans="2:10" x14ac:dyDescent="0.45">
      <c r="B152" t="s">
        <v>466</v>
      </c>
      <c r="C152" t="s">
        <v>17</v>
      </c>
      <c r="D152">
        <v>1.6803118330766968E-4</v>
      </c>
      <c r="E152" t="s">
        <v>6</v>
      </c>
      <c r="G152" t="s">
        <v>467</v>
      </c>
      <c r="H152" t="s">
        <v>17</v>
      </c>
      <c r="I152">
        <v>9.8176960714953396E-2</v>
      </c>
      <c r="J152" t="s">
        <v>6</v>
      </c>
    </row>
    <row r="153" spans="2:10" x14ac:dyDescent="0.45">
      <c r="B153" t="s">
        <v>466</v>
      </c>
      <c r="C153" t="s">
        <v>18</v>
      </c>
      <c r="D153">
        <v>0.18380884871398173</v>
      </c>
      <c r="E153" t="s">
        <v>6</v>
      </c>
      <c r="G153" t="s">
        <v>467</v>
      </c>
      <c r="H153" t="s">
        <v>18</v>
      </c>
      <c r="I153">
        <v>0.11112598016947101</v>
      </c>
      <c r="J153" t="s">
        <v>6</v>
      </c>
    </row>
    <row r="154" spans="2:10" x14ac:dyDescent="0.45">
      <c r="B154" t="s">
        <v>466</v>
      </c>
      <c r="C154" t="s">
        <v>19</v>
      </c>
      <c r="D154">
        <v>1.8963499055678955E-3</v>
      </c>
      <c r="E154" t="s">
        <v>6</v>
      </c>
      <c r="G154" t="s">
        <v>467</v>
      </c>
      <c r="H154" t="s">
        <v>19</v>
      </c>
      <c r="I154">
        <v>7.3484744050831344E-2</v>
      </c>
      <c r="J154" t="s">
        <v>6</v>
      </c>
    </row>
    <row r="155" spans="2:10" x14ac:dyDescent="0.45">
      <c r="B155" t="s">
        <v>468</v>
      </c>
      <c r="C155" t="s">
        <v>5</v>
      </c>
      <c r="D155">
        <v>0</v>
      </c>
      <c r="E155" t="s">
        <v>6</v>
      </c>
      <c r="G155" t="s">
        <v>469</v>
      </c>
      <c r="H155" t="s">
        <v>5</v>
      </c>
      <c r="I155">
        <v>0.1162014044115354</v>
      </c>
      <c r="J155" t="s">
        <v>6</v>
      </c>
    </row>
    <row r="156" spans="2:10" x14ac:dyDescent="0.45">
      <c r="B156" t="s">
        <v>468</v>
      </c>
      <c r="C156" t="s">
        <v>9</v>
      </c>
      <c r="D156">
        <v>0.16409514797002009</v>
      </c>
      <c r="E156" t="s">
        <v>6</v>
      </c>
      <c r="G156" t="s">
        <v>469</v>
      </c>
      <c r="H156" t="s">
        <v>9</v>
      </c>
      <c r="I156">
        <v>0.14278937092880101</v>
      </c>
      <c r="J156" t="s">
        <v>6</v>
      </c>
    </row>
    <row r="157" spans="2:10" x14ac:dyDescent="0.45">
      <c r="B157" t="s">
        <v>468</v>
      </c>
      <c r="C157" t="s">
        <v>10</v>
      </c>
      <c r="D157">
        <v>5.3287198712364788E-4</v>
      </c>
      <c r="E157" t="s">
        <v>6</v>
      </c>
      <c r="G157" t="s">
        <v>469</v>
      </c>
      <c r="H157" t="s">
        <v>10</v>
      </c>
      <c r="I157">
        <v>8.6876359599697875E-2</v>
      </c>
      <c r="J157" t="s">
        <v>6</v>
      </c>
    </row>
    <row r="158" spans="2:10" x14ac:dyDescent="0.45">
      <c r="B158" t="s">
        <v>468</v>
      </c>
      <c r="C158" t="s">
        <v>11</v>
      </c>
      <c r="D158">
        <v>2.6740404168521335E-3</v>
      </c>
      <c r="E158" t="s">
        <v>6</v>
      </c>
      <c r="G158" t="s">
        <v>469</v>
      </c>
      <c r="H158" t="s">
        <v>11</v>
      </c>
      <c r="I158">
        <v>7.3745574490119134E-2</v>
      </c>
      <c r="J158" t="s">
        <v>6</v>
      </c>
    </row>
    <row r="159" spans="2:10" x14ac:dyDescent="0.45">
      <c r="B159" t="s">
        <v>468</v>
      </c>
      <c r="C159" t="s">
        <v>12</v>
      </c>
      <c r="D159">
        <v>0.27884125529995796</v>
      </c>
      <c r="E159" t="s">
        <v>6</v>
      </c>
      <c r="G159" t="s">
        <v>469</v>
      </c>
      <c r="H159" t="s">
        <v>12</v>
      </c>
      <c r="I159">
        <v>8.9024095983590554E-2</v>
      </c>
      <c r="J159" t="s">
        <v>6</v>
      </c>
    </row>
    <row r="160" spans="2:10" x14ac:dyDescent="0.45">
      <c r="B160" t="s">
        <v>468</v>
      </c>
      <c r="C160" t="s">
        <v>13</v>
      </c>
      <c r="D160">
        <v>8.8405466120218545E-3</v>
      </c>
      <c r="E160" t="s">
        <v>6</v>
      </c>
      <c r="G160" t="s">
        <v>469</v>
      </c>
      <c r="H160" t="s">
        <v>13</v>
      </c>
      <c r="I160">
        <v>5.6565277351841775E-2</v>
      </c>
      <c r="J160" t="s">
        <v>6</v>
      </c>
    </row>
    <row r="161" spans="2:10" x14ac:dyDescent="0.45">
      <c r="B161" t="s">
        <v>468</v>
      </c>
      <c r="C161" t="s">
        <v>14</v>
      </c>
      <c r="D161">
        <v>5.6730747374774577E-3</v>
      </c>
      <c r="E161" t="s">
        <v>6</v>
      </c>
      <c r="G161" t="s">
        <v>469</v>
      </c>
      <c r="H161" t="s">
        <v>14</v>
      </c>
      <c r="I161">
        <v>4.8180437637899122E-2</v>
      </c>
      <c r="J161" t="s">
        <v>6</v>
      </c>
    </row>
    <row r="162" spans="2:10" x14ac:dyDescent="0.45">
      <c r="B162" t="s">
        <v>468</v>
      </c>
      <c r="C162" t="s">
        <v>15</v>
      </c>
      <c r="D162">
        <v>0.3291894419068867</v>
      </c>
      <c r="E162" t="s">
        <v>6</v>
      </c>
      <c r="G162" t="s">
        <v>469</v>
      </c>
      <c r="H162" t="s">
        <v>15</v>
      </c>
      <c r="I162">
        <v>5.7279063936264821E-2</v>
      </c>
      <c r="J162" t="s">
        <v>6</v>
      </c>
    </row>
    <row r="163" spans="2:10" x14ac:dyDescent="0.45">
      <c r="B163" t="s">
        <v>468</v>
      </c>
      <c r="C163" t="s">
        <v>16</v>
      </c>
      <c r="D163">
        <v>1.6715970930559459E-2</v>
      </c>
      <c r="E163" t="s">
        <v>6</v>
      </c>
      <c r="G163" t="s">
        <v>469</v>
      </c>
      <c r="H163" t="s">
        <v>16</v>
      </c>
      <c r="I163">
        <v>3.8405862700082581E-2</v>
      </c>
      <c r="J163" t="s">
        <v>6</v>
      </c>
    </row>
    <row r="164" spans="2:10" x14ac:dyDescent="0.45">
      <c r="B164" t="s">
        <v>468</v>
      </c>
      <c r="C164" t="s">
        <v>17</v>
      </c>
      <c r="D164">
        <v>3.0559573678406679E-4</v>
      </c>
      <c r="E164" t="s">
        <v>6</v>
      </c>
      <c r="G164" t="s">
        <v>469</v>
      </c>
      <c r="H164" t="s">
        <v>17</v>
      </c>
      <c r="I164">
        <v>0.10191776978348439</v>
      </c>
      <c r="J164" t="s">
        <v>6</v>
      </c>
    </row>
    <row r="165" spans="2:10" x14ac:dyDescent="0.45">
      <c r="B165" t="s">
        <v>468</v>
      </c>
      <c r="C165" t="s">
        <v>18</v>
      </c>
      <c r="D165">
        <v>0.19126629988335239</v>
      </c>
      <c r="E165" t="s">
        <v>6</v>
      </c>
      <c r="G165" t="s">
        <v>469</v>
      </c>
      <c r="H165" t="s">
        <v>18</v>
      </c>
      <c r="I165">
        <v>0.11463251919616672</v>
      </c>
      <c r="J165" t="s">
        <v>6</v>
      </c>
    </row>
    <row r="166" spans="2:10" x14ac:dyDescent="0.45">
      <c r="B166" t="s">
        <v>468</v>
      </c>
      <c r="C166" t="s">
        <v>19</v>
      </c>
      <c r="D166">
        <v>1.8657545189649986E-3</v>
      </c>
      <c r="E166" t="s">
        <v>6</v>
      </c>
      <c r="G166" t="s">
        <v>469</v>
      </c>
      <c r="H166" t="s">
        <v>19</v>
      </c>
      <c r="I166">
        <v>7.4382263980518601E-2</v>
      </c>
      <c r="J166" t="s">
        <v>6</v>
      </c>
    </row>
    <row r="167" spans="2:10" x14ac:dyDescent="0.45">
      <c r="B167" t="s">
        <v>470</v>
      </c>
      <c r="C167" t="s">
        <v>5</v>
      </c>
      <c r="D167">
        <v>0</v>
      </c>
      <c r="E167" t="s">
        <v>6</v>
      </c>
      <c r="G167" t="s">
        <v>471</v>
      </c>
      <c r="H167" t="s">
        <v>5</v>
      </c>
      <c r="I167">
        <v>0.1169863114469403</v>
      </c>
      <c r="J167" t="s">
        <v>6</v>
      </c>
    </row>
    <row r="168" spans="2:10" x14ac:dyDescent="0.45">
      <c r="B168" t="s">
        <v>470</v>
      </c>
      <c r="C168" t="s">
        <v>9</v>
      </c>
      <c r="D168">
        <v>0.13139197765555563</v>
      </c>
      <c r="E168" t="s">
        <v>6</v>
      </c>
      <c r="G168" t="s">
        <v>471</v>
      </c>
      <c r="H168" t="s">
        <v>9</v>
      </c>
      <c r="I168">
        <v>0.13154044908054119</v>
      </c>
      <c r="J168" t="s">
        <v>6</v>
      </c>
    </row>
    <row r="169" spans="2:10" x14ac:dyDescent="0.45">
      <c r="B169" t="s">
        <v>470</v>
      </c>
      <c r="C169" t="s">
        <v>10</v>
      </c>
      <c r="D169">
        <v>1.9468851420725494E-4</v>
      </c>
      <c r="E169" t="s">
        <v>6</v>
      </c>
      <c r="G169" t="s">
        <v>471</v>
      </c>
      <c r="H169" t="s">
        <v>10</v>
      </c>
      <c r="I169">
        <v>8.6114963915647783E-2</v>
      </c>
      <c r="J169" t="s">
        <v>6</v>
      </c>
    </row>
    <row r="170" spans="2:10" x14ac:dyDescent="0.45">
      <c r="B170" t="s">
        <v>470</v>
      </c>
      <c r="C170" t="s">
        <v>11</v>
      </c>
      <c r="D170">
        <v>3.5483428427163046E-3</v>
      </c>
      <c r="E170" t="s">
        <v>6</v>
      </c>
      <c r="G170" t="s">
        <v>471</v>
      </c>
      <c r="H170" t="s">
        <v>11</v>
      </c>
      <c r="I170">
        <v>7.9294095579616017E-2</v>
      </c>
      <c r="J170" t="s">
        <v>6</v>
      </c>
    </row>
    <row r="171" spans="2:10" x14ac:dyDescent="0.45">
      <c r="B171" t="s">
        <v>470</v>
      </c>
      <c r="C171" t="s">
        <v>12</v>
      </c>
      <c r="D171">
        <v>0.29352580727543487</v>
      </c>
      <c r="E171" t="s">
        <v>6</v>
      </c>
      <c r="G171" t="s">
        <v>471</v>
      </c>
      <c r="H171" t="s">
        <v>12</v>
      </c>
      <c r="I171">
        <v>9.0109110932433789E-2</v>
      </c>
      <c r="J171" t="s">
        <v>6</v>
      </c>
    </row>
    <row r="172" spans="2:10" x14ac:dyDescent="0.45">
      <c r="B172" t="s">
        <v>470</v>
      </c>
      <c r="C172" t="s">
        <v>13</v>
      </c>
      <c r="D172">
        <v>8.8923195524919611E-3</v>
      </c>
      <c r="E172" t="s">
        <v>6</v>
      </c>
      <c r="G172" t="s">
        <v>471</v>
      </c>
      <c r="H172" t="s">
        <v>13</v>
      </c>
      <c r="I172">
        <v>6.0698533225959209E-2</v>
      </c>
      <c r="J172" t="s">
        <v>6</v>
      </c>
    </row>
    <row r="173" spans="2:10" x14ac:dyDescent="0.45">
      <c r="B173" t="s">
        <v>470</v>
      </c>
      <c r="C173" t="s">
        <v>14</v>
      </c>
      <c r="D173">
        <v>7.5102500374338698E-3</v>
      </c>
      <c r="E173" t="s">
        <v>6</v>
      </c>
      <c r="G173" t="s">
        <v>471</v>
      </c>
      <c r="H173" t="s">
        <v>14</v>
      </c>
      <c r="I173">
        <v>5.3861949603451559E-2</v>
      </c>
      <c r="J173" t="s">
        <v>6</v>
      </c>
    </row>
    <row r="174" spans="2:10" x14ac:dyDescent="0.45">
      <c r="B174" t="s">
        <v>470</v>
      </c>
      <c r="C174" t="s">
        <v>15</v>
      </c>
      <c r="D174">
        <v>0.35214086864817107</v>
      </c>
      <c r="E174" t="s">
        <v>6</v>
      </c>
      <c r="G174" t="s">
        <v>471</v>
      </c>
      <c r="H174" t="s">
        <v>15</v>
      </c>
      <c r="I174">
        <v>5.8158033494888156E-2</v>
      </c>
      <c r="J174" t="s">
        <v>6</v>
      </c>
    </row>
    <row r="175" spans="2:10" x14ac:dyDescent="0.45">
      <c r="B175" t="s">
        <v>470</v>
      </c>
      <c r="C175" t="s">
        <v>16</v>
      </c>
      <c r="D175">
        <v>1.7486917250314465E-2</v>
      </c>
      <c r="E175" t="s">
        <v>6</v>
      </c>
      <c r="G175" t="s">
        <v>471</v>
      </c>
      <c r="H175" t="s">
        <v>16</v>
      </c>
      <c r="I175">
        <v>3.8997522426651041E-2</v>
      </c>
      <c r="J175" t="s">
        <v>6</v>
      </c>
    </row>
    <row r="176" spans="2:10" x14ac:dyDescent="0.45">
      <c r="B176" t="s">
        <v>470</v>
      </c>
      <c r="C176" t="s">
        <v>17</v>
      </c>
      <c r="D176">
        <v>3.7898592124848085E-4</v>
      </c>
      <c r="E176" t="s">
        <v>6</v>
      </c>
      <c r="G176" t="s">
        <v>471</v>
      </c>
      <c r="H176" t="s">
        <v>17</v>
      </c>
      <c r="I176">
        <v>9.9997635648958902E-2</v>
      </c>
      <c r="J176" t="s">
        <v>6</v>
      </c>
    </row>
    <row r="177" spans="2:10" x14ac:dyDescent="0.45">
      <c r="B177" t="s">
        <v>470</v>
      </c>
      <c r="C177" t="s">
        <v>18</v>
      </c>
      <c r="D177">
        <v>0.18324489864164686</v>
      </c>
      <c r="E177" t="s">
        <v>6</v>
      </c>
      <c r="G177" t="s">
        <v>471</v>
      </c>
      <c r="H177" t="s">
        <v>18</v>
      </c>
      <c r="I177">
        <v>0.10948011427863755</v>
      </c>
      <c r="J177" t="s">
        <v>6</v>
      </c>
    </row>
    <row r="178" spans="2:10" x14ac:dyDescent="0.45">
      <c r="B178" t="s">
        <v>470</v>
      </c>
      <c r="C178" t="s">
        <v>19</v>
      </c>
      <c r="D178">
        <v>1.6849436607798893E-3</v>
      </c>
      <c r="E178" t="s">
        <v>6</v>
      </c>
      <c r="G178" t="s">
        <v>471</v>
      </c>
      <c r="H178" t="s">
        <v>19</v>
      </c>
      <c r="I178">
        <v>7.4761280366273483E-2</v>
      </c>
      <c r="J178" t="s">
        <v>6</v>
      </c>
    </row>
    <row r="179" spans="2:10" x14ac:dyDescent="0.45">
      <c r="B179" t="s">
        <v>472</v>
      </c>
      <c r="C179" t="s">
        <v>5</v>
      </c>
      <c r="D179">
        <v>0</v>
      </c>
      <c r="E179" t="s">
        <v>6</v>
      </c>
      <c r="G179" t="s">
        <v>473</v>
      </c>
      <c r="H179" t="s">
        <v>5</v>
      </c>
      <c r="I179">
        <v>0.11373025610952643</v>
      </c>
      <c r="J179" t="s">
        <v>6</v>
      </c>
    </row>
    <row r="180" spans="2:10" x14ac:dyDescent="0.45">
      <c r="B180" t="s">
        <v>472</v>
      </c>
      <c r="C180" t="s">
        <v>9</v>
      </c>
      <c r="D180">
        <v>0.12672955984286613</v>
      </c>
      <c r="E180" t="s">
        <v>6</v>
      </c>
      <c r="G180" t="s">
        <v>473</v>
      </c>
      <c r="H180" t="s">
        <v>9</v>
      </c>
      <c r="I180">
        <v>0.13369002961699369</v>
      </c>
      <c r="J180" t="s">
        <v>6</v>
      </c>
    </row>
    <row r="181" spans="2:10" x14ac:dyDescent="0.45">
      <c r="B181" t="s">
        <v>472</v>
      </c>
      <c r="C181" t="s">
        <v>10</v>
      </c>
      <c r="D181">
        <v>1.01026357333088E-4</v>
      </c>
      <c r="E181" t="s">
        <v>6</v>
      </c>
      <c r="G181" t="s">
        <v>473</v>
      </c>
      <c r="H181" t="s">
        <v>10</v>
      </c>
      <c r="I181">
        <v>8.4282397367879375E-2</v>
      </c>
      <c r="J181" t="s">
        <v>6</v>
      </c>
    </row>
    <row r="182" spans="2:10" x14ac:dyDescent="0.45">
      <c r="B182" t="s">
        <v>472</v>
      </c>
      <c r="C182" t="s">
        <v>11</v>
      </c>
      <c r="D182">
        <v>4.7685445905708487E-3</v>
      </c>
      <c r="E182" t="s">
        <v>6</v>
      </c>
      <c r="G182" t="s">
        <v>473</v>
      </c>
      <c r="H182" t="s">
        <v>11</v>
      </c>
      <c r="I182">
        <v>8.0802067280113035E-2</v>
      </c>
      <c r="J182" t="s">
        <v>6</v>
      </c>
    </row>
    <row r="183" spans="2:10" x14ac:dyDescent="0.45">
      <c r="B183" t="s">
        <v>472</v>
      </c>
      <c r="C183" t="s">
        <v>12</v>
      </c>
      <c r="D183">
        <v>0.29549861664741411</v>
      </c>
      <c r="E183" t="s">
        <v>6</v>
      </c>
      <c r="G183" t="s">
        <v>473</v>
      </c>
      <c r="H183" t="s">
        <v>12</v>
      </c>
      <c r="I183">
        <v>9.2435720994234888E-2</v>
      </c>
      <c r="J183" t="s">
        <v>6</v>
      </c>
    </row>
    <row r="184" spans="2:10" x14ac:dyDescent="0.45">
      <c r="B184" t="s">
        <v>472</v>
      </c>
      <c r="C184" t="s">
        <v>13</v>
      </c>
      <c r="D184">
        <v>7.0071392797210908E-3</v>
      </c>
      <c r="E184" t="s">
        <v>6</v>
      </c>
      <c r="G184" t="s">
        <v>473</v>
      </c>
      <c r="H184" t="s">
        <v>13</v>
      </c>
      <c r="I184">
        <v>6.0071664530007833E-2</v>
      </c>
      <c r="J184" t="s">
        <v>6</v>
      </c>
    </row>
    <row r="185" spans="2:10" x14ac:dyDescent="0.45">
      <c r="B185" t="s">
        <v>472</v>
      </c>
      <c r="C185" t="s">
        <v>14</v>
      </c>
      <c r="D185">
        <v>9.0582676239197076E-3</v>
      </c>
      <c r="E185" t="s">
        <v>6</v>
      </c>
      <c r="G185" t="s">
        <v>473</v>
      </c>
      <c r="H185" t="s">
        <v>14</v>
      </c>
      <c r="I185">
        <v>5.6507719987711161E-2</v>
      </c>
      <c r="J185" t="s">
        <v>6</v>
      </c>
    </row>
    <row r="186" spans="2:10" x14ac:dyDescent="0.45">
      <c r="B186" t="s">
        <v>472</v>
      </c>
      <c r="C186" t="s">
        <v>15</v>
      </c>
      <c r="D186">
        <v>0.34804328892234587</v>
      </c>
      <c r="E186" t="s">
        <v>6</v>
      </c>
      <c r="G186" t="s">
        <v>473</v>
      </c>
      <c r="H186" t="s">
        <v>15</v>
      </c>
      <c r="I186">
        <v>6.4360325896998749E-2</v>
      </c>
      <c r="J186" t="s">
        <v>6</v>
      </c>
    </row>
    <row r="187" spans="2:10" x14ac:dyDescent="0.45">
      <c r="B187" t="s">
        <v>472</v>
      </c>
      <c r="C187" t="s">
        <v>16</v>
      </c>
      <c r="D187">
        <v>1.3426804757300485E-2</v>
      </c>
      <c r="E187" t="s">
        <v>6</v>
      </c>
      <c r="G187" t="s">
        <v>473</v>
      </c>
      <c r="H187" t="s">
        <v>16</v>
      </c>
      <c r="I187">
        <v>4.1999882683379071E-2</v>
      </c>
      <c r="J187" t="s">
        <v>6</v>
      </c>
    </row>
    <row r="188" spans="2:10" x14ac:dyDescent="0.45">
      <c r="B188" t="s">
        <v>472</v>
      </c>
      <c r="C188" t="s">
        <v>17</v>
      </c>
      <c r="D188">
        <v>7.6526068827261851E-4</v>
      </c>
      <c r="E188" t="s">
        <v>6</v>
      </c>
      <c r="G188" t="s">
        <v>473</v>
      </c>
      <c r="H188" t="s">
        <v>17</v>
      </c>
      <c r="I188">
        <v>9.4554737987987275E-2</v>
      </c>
      <c r="J188" t="s">
        <v>6</v>
      </c>
    </row>
    <row r="189" spans="2:10" x14ac:dyDescent="0.45">
      <c r="B189" t="s">
        <v>472</v>
      </c>
      <c r="C189" t="s">
        <v>18</v>
      </c>
      <c r="D189">
        <v>0.19352699842855983</v>
      </c>
      <c r="E189" t="s">
        <v>6</v>
      </c>
      <c r="G189" t="s">
        <v>473</v>
      </c>
      <c r="H189" t="s">
        <v>18</v>
      </c>
      <c r="I189">
        <v>0.10758172721408968</v>
      </c>
      <c r="J189" t="s">
        <v>6</v>
      </c>
    </row>
    <row r="190" spans="2:10" x14ac:dyDescent="0.45">
      <c r="B190" t="s">
        <v>472</v>
      </c>
      <c r="C190" t="s">
        <v>19</v>
      </c>
      <c r="D190">
        <v>1.0744928616971314E-3</v>
      </c>
      <c r="E190" t="s">
        <v>6</v>
      </c>
      <c r="G190" t="s">
        <v>473</v>
      </c>
      <c r="H190" t="s">
        <v>19</v>
      </c>
      <c r="I190">
        <v>6.998347033107323E-2</v>
      </c>
      <c r="J190" t="s">
        <v>6</v>
      </c>
    </row>
    <row r="191" spans="2:10" x14ac:dyDescent="0.45">
      <c r="B191" t="s">
        <v>474</v>
      </c>
      <c r="C191" t="s">
        <v>5</v>
      </c>
      <c r="D191">
        <v>0</v>
      </c>
      <c r="E191" t="s">
        <v>6</v>
      </c>
      <c r="G191" t="s">
        <v>475</v>
      </c>
      <c r="H191" t="s">
        <v>5</v>
      </c>
      <c r="I191">
        <v>0.10978562051088243</v>
      </c>
      <c r="J191" t="s">
        <v>6</v>
      </c>
    </row>
    <row r="192" spans="2:10" x14ac:dyDescent="0.45">
      <c r="B192" t="s">
        <v>474</v>
      </c>
      <c r="C192" t="s">
        <v>9</v>
      </c>
      <c r="D192">
        <v>0.15387398278278208</v>
      </c>
      <c r="E192" t="s">
        <v>6</v>
      </c>
      <c r="G192" t="s">
        <v>475</v>
      </c>
      <c r="H192" t="s">
        <v>9</v>
      </c>
      <c r="I192">
        <v>0.13355098204324423</v>
      </c>
      <c r="J192" t="s">
        <v>6</v>
      </c>
    </row>
    <row r="193" spans="2:10" x14ac:dyDescent="0.45">
      <c r="B193" t="s">
        <v>474</v>
      </c>
      <c r="C193" t="s">
        <v>10</v>
      </c>
      <c r="D193">
        <v>2.0484711440287685E-4</v>
      </c>
      <c r="E193" t="s">
        <v>6</v>
      </c>
      <c r="G193" t="s">
        <v>475</v>
      </c>
      <c r="H193" t="s">
        <v>10</v>
      </c>
      <c r="I193">
        <v>8.1003134708398913E-2</v>
      </c>
      <c r="J193" t="s">
        <v>6</v>
      </c>
    </row>
    <row r="194" spans="2:10" x14ac:dyDescent="0.45">
      <c r="B194" t="s">
        <v>474</v>
      </c>
      <c r="C194" t="s">
        <v>11</v>
      </c>
      <c r="D194">
        <v>4.0168924346752569E-3</v>
      </c>
      <c r="E194" t="s">
        <v>6</v>
      </c>
      <c r="G194" t="s">
        <v>475</v>
      </c>
      <c r="H194" t="s">
        <v>11</v>
      </c>
      <c r="I194">
        <v>8.0284515019517083E-2</v>
      </c>
      <c r="J194" t="s">
        <v>6</v>
      </c>
    </row>
    <row r="195" spans="2:10" x14ac:dyDescent="0.45">
      <c r="B195" t="s">
        <v>474</v>
      </c>
      <c r="C195" t="s">
        <v>12</v>
      </c>
      <c r="D195">
        <v>0.29268978767691822</v>
      </c>
      <c r="E195" t="s">
        <v>6</v>
      </c>
      <c r="G195" t="s">
        <v>475</v>
      </c>
      <c r="H195" t="s">
        <v>12</v>
      </c>
      <c r="I195">
        <v>9.2448893712965149E-2</v>
      </c>
      <c r="J195" t="s">
        <v>6</v>
      </c>
    </row>
    <row r="196" spans="2:10" x14ac:dyDescent="0.45">
      <c r="B196" t="s">
        <v>474</v>
      </c>
      <c r="C196" t="s">
        <v>13</v>
      </c>
      <c r="D196">
        <v>7.4269697396778141E-3</v>
      </c>
      <c r="E196" t="s">
        <v>6</v>
      </c>
      <c r="G196" t="s">
        <v>475</v>
      </c>
      <c r="H196" t="s">
        <v>13</v>
      </c>
      <c r="I196">
        <v>5.982641221712557E-2</v>
      </c>
      <c r="J196" t="s">
        <v>6</v>
      </c>
    </row>
    <row r="197" spans="2:10" x14ac:dyDescent="0.45">
      <c r="B197" t="s">
        <v>474</v>
      </c>
      <c r="C197" t="s">
        <v>14</v>
      </c>
      <c r="D197">
        <v>7.5690989784045065E-3</v>
      </c>
      <c r="E197" t="s">
        <v>6</v>
      </c>
      <c r="G197" t="s">
        <v>475</v>
      </c>
      <c r="H197" t="s">
        <v>14</v>
      </c>
      <c r="I197">
        <v>5.8324135443710637E-2</v>
      </c>
      <c r="J197" t="s">
        <v>6</v>
      </c>
    </row>
    <row r="198" spans="2:10" x14ac:dyDescent="0.45">
      <c r="B198" t="s">
        <v>474</v>
      </c>
      <c r="C198" t="s">
        <v>15</v>
      </c>
      <c r="D198">
        <v>0.33064346281171669</v>
      </c>
      <c r="E198" t="s">
        <v>6</v>
      </c>
      <c r="G198" t="s">
        <v>475</v>
      </c>
      <c r="H198" t="s">
        <v>15</v>
      </c>
      <c r="I198">
        <v>6.8656069673170422E-2</v>
      </c>
      <c r="J198" t="s">
        <v>6</v>
      </c>
    </row>
    <row r="199" spans="2:10" x14ac:dyDescent="0.45">
      <c r="B199" t="s">
        <v>474</v>
      </c>
      <c r="C199" t="s">
        <v>16</v>
      </c>
      <c r="D199">
        <v>1.3622036614769153E-2</v>
      </c>
      <c r="E199" t="s">
        <v>6</v>
      </c>
      <c r="G199" t="s">
        <v>475</v>
      </c>
      <c r="H199" t="s">
        <v>16</v>
      </c>
      <c r="I199">
        <v>4.276594083078139E-2</v>
      </c>
      <c r="J199" t="s">
        <v>6</v>
      </c>
    </row>
    <row r="200" spans="2:10" x14ac:dyDescent="0.45">
      <c r="B200" t="s">
        <v>474</v>
      </c>
      <c r="C200" t="s">
        <v>17</v>
      </c>
      <c r="D200">
        <v>5.4842023089991007E-4</v>
      </c>
      <c r="E200" t="s">
        <v>6</v>
      </c>
      <c r="G200" t="s">
        <v>475</v>
      </c>
      <c r="H200" t="s">
        <v>17</v>
      </c>
      <c r="I200">
        <v>9.422806987161822E-2</v>
      </c>
      <c r="J200" t="s">
        <v>6</v>
      </c>
    </row>
    <row r="201" spans="2:10" x14ac:dyDescent="0.45">
      <c r="B201" t="s">
        <v>474</v>
      </c>
      <c r="C201" t="s">
        <v>18</v>
      </c>
      <c r="D201">
        <v>0.18818035922375409</v>
      </c>
      <c r="E201" t="s">
        <v>6</v>
      </c>
      <c r="G201" t="s">
        <v>475</v>
      </c>
      <c r="H201" t="s">
        <v>18</v>
      </c>
      <c r="I201">
        <v>0.10996551423526194</v>
      </c>
      <c r="J201" t="s">
        <v>6</v>
      </c>
    </row>
    <row r="202" spans="2:10" x14ac:dyDescent="0.45">
      <c r="B202" t="s">
        <v>474</v>
      </c>
      <c r="C202" t="s">
        <v>19</v>
      </c>
      <c r="D202">
        <v>1.2241423919993649E-3</v>
      </c>
      <c r="E202" t="s">
        <v>6</v>
      </c>
      <c r="G202" t="s">
        <v>475</v>
      </c>
      <c r="H202" t="s">
        <v>19</v>
      </c>
      <c r="I202">
        <v>6.9160711733324373E-2</v>
      </c>
      <c r="J202" t="s">
        <v>6</v>
      </c>
    </row>
    <row r="203" spans="2:10" x14ac:dyDescent="0.45">
      <c r="B203" t="s">
        <v>476</v>
      </c>
      <c r="C203" t="s">
        <v>5</v>
      </c>
      <c r="D203">
        <v>0</v>
      </c>
      <c r="E203" t="s">
        <v>6</v>
      </c>
      <c r="G203" t="s">
        <v>477</v>
      </c>
      <c r="H203" t="s">
        <v>5</v>
      </c>
      <c r="I203">
        <v>9.8347923283311753E-2</v>
      </c>
      <c r="J203" t="s">
        <v>6</v>
      </c>
    </row>
    <row r="204" spans="2:10" x14ac:dyDescent="0.45">
      <c r="B204" t="s">
        <v>476</v>
      </c>
      <c r="C204" t="s">
        <v>9</v>
      </c>
      <c r="D204">
        <v>0.1150429356708008</v>
      </c>
      <c r="E204" t="s">
        <v>6</v>
      </c>
      <c r="G204" t="s">
        <v>477</v>
      </c>
      <c r="H204" t="s">
        <v>9</v>
      </c>
      <c r="I204">
        <v>0.12625746284312012</v>
      </c>
      <c r="J204" t="s">
        <v>6</v>
      </c>
    </row>
    <row r="205" spans="2:10" x14ac:dyDescent="0.45">
      <c r="B205" t="s">
        <v>476</v>
      </c>
      <c r="C205" t="s">
        <v>10</v>
      </c>
      <c r="D205">
        <v>3.1300465704701952E-4</v>
      </c>
      <c r="E205" t="s">
        <v>6</v>
      </c>
      <c r="G205" t="s">
        <v>477</v>
      </c>
      <c r="H205" t="s">
        <v>10</v>
      </c>
      <c r="I205">
        <v>7.7074042952262056E-2</v>
      </c>
      <c r="J205" t="s">
        <v>6</v>
      </c>
    </row>
    <row r="206" spans="2:10" x14ac:dyDescent="0.45">
      <c r="B206" t="s">
        <v>476</v>
      </c>
      <c r="C206" t="s">
        <v>11</v>
      </c>
      <c r="D206">
        <v>2.4794144158149295E-3</v>
      </c>
      <c r="E206" t="s">
        <v>6</v>
      </c>
      <c r="G206" t="s">
        <v>477</v>
      </c>
      <c r="H206" t="s">
        <v>11</v>
      </c>
      <c r="I206">
        <v>8.4576613232454204E-2</v>
      </c>
      <c r="J206" t="s">
        <v>6</v>
      </c>
    </row>
    <row r="207" spans="2:10" x14ac:dyDescent="0.45">
      <c r="B207" t="s">
        <v>476</v>
      </c>
      <c r="C207" t="s">
        <v>12</v>
      </c>
      <c r="D207">
        <v>0.3065014613725433</v>
      </c>
      <c r="E207" t="s">
        <v>6</v>
      </c>
      <c r="G207" t="s">
        <v>477</v>
      </c>
      <c r="H207" t="s">
        <v>12</v>
      </c>
      <c r="I207">
        <v>9.9311305033221164E-2</v>
      </c>
      <c r="J207" t="s">
        <v>6</v>
      </c>
    </row>
    <row r="208" spans="2:10" x14ac:dyDescent="0.45">
      <c r="B208" t="s">
        <v>476</v>
      </c>
      <c r="C208" t="s">
        <v>13</v>
      </c>
      <c r="D208">
        <v>1.2399536695529267E-2</v>
      </c>
      <c r="E208" t="s">
        <v>6</v>
      </c>
      <c r="G208" t="s">
        <v>477</v>
      </c>
      <c r="H208" t="s">
        <v>13</v>
      </c>
      <c r="I208">
        <v>6.7155435108711387E-2</v>
      </c>
      <c r="J208" t="s">
        <v>6</v>
      </c>
    </row>
    <row r="209" spans="2:10" x14ac:dyDescent="0.45">
      <c r="B209" t="s">
        <v>476</v>
      </c>
      <c r="C209" t="s">
        <v>14</v>
      </c>
      <c r="D209">
        <v>5.6582765287768065E-3</v>
      </c>
      <c r="E209" t="s">
        <v>6</v>
      </c>
      <c r="G209" t="s">
        <v>477</v>
      </c>
      <c r="H209" t="s">
        <v>14</v>
      </c>
      <c r="I209">
        <v>5.9662453018701253E-2</v>
      </c>
      <c r="J209" t="s">
        <v>6</v>
      </c>
    </row>
    <row r="210" spans="2:10" x14ac:dyDescent="0.45">
      <c r="B210" t="s">
        <v>476</v>
      </c>
      <c r="C210" t="s">
        <v>15</v>
      </c>
      <c r="D210">
        <v>0.3489290109040713</v>
      </c>
      <c r="E210" t="s">
        <v>6</v>
      </c>
      <c r="G210" t="s">
        <v>477</v>
      </c>
      <c r="H210" t="s">
        <v>15</v>
      </c>
      <c r="I210">
        <v>7.0554882229093605E-2</v>
      </c>
      <c r="J210" t="s">
        <v>6</v>
      </c>
    </row>
    <row r="211" spans="2:10" x14ac:dyDescent="0.45">
      <c r="B211" t="s">
        <v>476</v>
      </c>
      <c r="C211" t="s">
        <v>16</v>
      </c>
      <c r="D211">
        <v>2.2097185486851179E-2</v>
      </c>
      <c r="E211" t="s">
        <v>6</v>
      </c>
      <c r="G211" t="s">
        <v>477</v>
      </c>
      <c r="H211" t="s">
        <v>16</v>
      </c>
      <c r="I211">
        <v>4.6611999734110385E-2</v>
      </c>
      <c r="J211" t="s">
        <v>6</v>
      </c>
    </row>
    <row r="212" spans="2:10" x14ac:dyDescent="0.45">
      <c r="B212" t="s">
        <v>476</v>
      </c>
      <c r="C212" t="s">
        <v>17</v>
      </c>
      <c r="D212">
        <v>1.3466910544235103E-4</v>
      </c>
      <c r="E212" t="s">
        <v>6</v>
      </c>
      <c r="G212" t="s">
        <v>477</v>
      </c>
      <c r="H212" t="s">
        <v>17</v>
      </c>
      <c r="I212">
        <v>8.8615757853639177E-2</v>
      </c>
      <c r="J212" t="s">
        <v>6</v>
      </c>
    </row>
    <row r="213" spans="2:10" x14ac:dyDescent="0.45">
      <c r="B213" t="s">
        <v>476</v>
      </c>
      <c r="C213" t="s">
        <v>18</v>
      </c>
      <c r="D213">
        <v>0.18443226836738016</v>
      </c>
      <c r="E213" t="s">
        <v>6</v>
      </c>
      <c r="G213" t="s">
        <v>477</v>
      </c>
      <c r="H213" t="s">
        <v>18</v>
      </c>
      <c r="I213">
        <v>0.11116793981831263</v>
      </c>
      <c r="J213" t="s">
        <v>6</v>
      </c>
    </row>
    <row r="214" spans="2:10" x14ac:dyDescent="0.45">
      <c r="B214" t="s">
        <v>476</v>
      </c>
      <c r="C214" t="s">
        <v>19</v>
      </c>
      <c r="D214">
        <v>2.0122367957419738E-3</v>
      </c>
      <c r="E214" t="s">
        <v>6</v>
      </c>
      <c r="G214" t="s">
        <v>477</v>
      </c>
      <c r="H214" t="s">
        <v>19</v>
      </c>
      <c r="I214">
        <v>7.0664184893066431E-2</v>
      </c>
      <c r="J214" t="s">
        <v>6</v>
      </c>
    </row>
    <row r="215" spans="2:10" x14ac:dyDescent="0.45">
      <c r="B215" t="s">
        <v>478</v>
      </c>
      <c r="C215" t="s">
        <v>5</v>
      </c>
      <c r="D215">
        <v>0</v>
      </c>
      <c r="E215" t="s">
        <v>6</v>
      </c>
      <c r="G215" t="s">
        <v>479</v>
      </c>
      <c r="H215" t="s">
        <v>5</v>
      </c>
      <c r="I215">
        <v>9.9566909791450067E-2</v>
      </c>
      <c r="J215" t="s">
        <v>6</v>
      </c>
    </row>
    <row r="216" spans="2:10" x14ac:dyDescent="0.45">
      <c r="B216" t="s">
        <v>478</v>
      </c>
      <c r="C216" t="s">
        <v>9</v>
      </c>
      <c r="D216">
        <v>0.11086262109419874</v>
      </c>
      <c r="E216" t="s">
        <v>6</v>
      </c>
      <c r="G216" t="s">
        <v>479</v>
      </c>
      <c r="H216" t="s">
        <v>9</v>
      </c>
      <c r="I216">
        <v>0.12360882240130289</v>
      </c>
      <c r="J216" t="s">
        <v>6</v>
      </c>
    </row>
    <row r="217" spans="2:10" x14ac:dyDescent="0.45">
      <c r="B217" t="s">
        <v>478</v>
      </c>
      <c r="C217" t="s">
        <v>10</v>
      </c>
      <c r="D217">
        <v>2.5996847910470726E-4</v>
      </c>
      <c r="E217" t="s">
        <v>6</v>
      </c>
      <c r="G217" t="s">
        <v>479</v>
      </c>
      <c r="H217" t="s">
        <v>10</v>
      </c>
      <c r="I217">
        <v>7.5060906353718648E-2</v>
      </c>
      <c r="J217" t="s">
        <v>6</v>
      </c>
    </row>
    <row r="218" spans="2:10" x14ac:dyDescent="0.45">
      <c r="B218" t="s">
        <v>478</v>
      </c>
      <c r="C218" t="s">
        <v>11</v>
      </c>
      <c r="D218">
        <v>2.8240739118072329E-3</v>
      </c>
      <c r="E218" t="s">
        <v>6</v>
      </c>
      <c r="G218" t="s">
        <v>479</v>
      </c>
      <c r="H218" t="s">
        <v>11</v>
      </c>
      <c r="I218">
        <v>8.3457226101902163E-2</v>
      </c>
      <c r="J218" t="s">
        <v>6</v>
      </c>
    </row>
    <row r="219" spans="2:10" x14ac:dyDescent="0.45">
      <c r="B219" t="s">
        <v>478</v>
      </c>
      <c r="C219" t="s">
        <v>12</v>
      </c>
      <c r="D219">
        <v>0.3084810864859322</v>
      </c>
      <c r="E219" t="s">
        <v>6</v>
      </c>
      <c r="G219" t="s">
        <v>479</v>
      </c>
      <c r="H219" t="s">
        <v>12</v>
      </c>
      <c r="I219">
        <v>9.6937911257046691E-2</v>
      </c>
      <c r="J219" t="s">
        <v>6</v>
      </c>
    </row>
    <row r="220" spans="2:10" x14ac:dyDescent="0.45">
      <c r="B220" t="s">
        <v>478</v>
      </c>
      <c r="C220" t="s">
        <v>13</v>
      </c>
      <c r="D220">
        <v>1.28204421659124E-2</v>
      </c>
      <c r="E220" t="s">
        <v>6</v>
      </c>
      <c r="G220" t="s">
        <v>479</v>
      </c>
      <c r="H220" t="s">
        <v>13</v>
      </c>
      <c r="I220">
        <v>6.2674381579311406E-2</v>
      </c>
      <c r="J220" t="s">
        <v>6</v>
      </c>
    </row>
    <row r="221" spans="2:10" x14ac:dyDescent="0.45">
      <c r="B221" t="s">
        <v>478</v>
      </c>
      <c r="C221" t="s">
        <v>14</v>
      </c>
      <c r="D221">
        <v>6.0111792866786801E-3</v>
      </c>
      <c r="E221" t="s">
        <v>6</v>
      </c>
      <c r="G221" t="s">
        <v>479</v>
      </c>
      <c r="H221" t="s">
        <v>14</v>
      </c>
      <c r="I221">
        <v>6.2844973934208306E-2</v>
      </c>
      <c r="J221" t="s">
        <v>6</v>
      </c>
    </row>
    <row r="222" spans="2:10" x14ac:dyDescent="0.45">
      <c r="B222" t="s">
        <v>478</v>
      </c>
      <c r="C222" t="s">
        <v>15</v>
      </c>
      <c r="D222">
        <v>0.34589394020823572</v>
      </c>
      <c r="E222" t="s">
        <v>6</v>
      </c>
      <c r="G222" t="s">
        <v>479</v>
      </c>
      <c r="H222" t="s">
        <v>15</v>
      </c>
      <c r="I222">
        <v>7.7487016525586608E-2</v>
      </c>
      <c r="J222" t="s">
        <v>6</v>
      </c>
    </row>
    <row r="223" spans="2:10" x14ac:dyDescent="0.45">
      <c r="B223" t="s">
        <v>478</v>
      </c>
      <c r="C223" t="s">
        <v>16</v>
      </c>
      <c r="D223">
        <v>2.3572399895149799E-2</v>
      </c>
      <c r="E223" t="s">
        <v>6</v>
      </c>
      <c r="G223" t="s">
        <v>479</v>
      </c>
      <c r="H223" t="s">
        <v>16</v>
      </c>
      <c r="I223">
        <v>4.8571792507966262E-2</v>
      </c>
      <c r="J223" t="s">
        <v>6</v>
      </c>
    </row>
    <row r="224" spans="2:10" x14ac:dyDescent="0.45">
      <c r="B224" t="s">
        <v>478</v>
      </c>
      <c r="C224" t="s">
        <v>17</v>
      </c>
      <c r="D224">
        <v>1.4129659963152587E-4</v>
      </c>
      <c r="E224" t="s">
        <v>6</v>
      </c>
      <c r="G224" t="s">
        <v>479</v>
      </c>
      <c r="H224" t="s">
        <v>17</v>
      </c>
      <c r="I224">
        <v>9.1758645677623499E-2</v>
      </c>
      <c r="J224" t="s">
        <v>6</v>
      </c>
    </row>
    <row r="225" spans="2:10" x14ac:dyDescent="0.45">
      <c r="B225" t="s">
        <v>478</v>
      </c>
      <c r="C225" t="s">
        <v>18</v>
      </c>
      <c r="D225">
        <v>0.1871497144690013</v>
      </c>
      <c r="E225" t="s">
        <v>6</v>
      </c>
      <c r="G225" t="s">
        <v>479</v>
      </c>
      <c r="H225" t="s">
        <v>18</v>
      </c>
      <c r="I225">
        <v>0.11034643857884663</v>
      </c>
      <c r="J225" t="s">
        <v>6</v>
      </c>
    </row>
    <row r="226" spans="2:10" x14ac:dyDescent="0.45">
      <c r="B226" t="s">
        <v>478</v>
      </c>
      <c r="C226" t="s">
        <v>19</v>
      </c>
      <c r="D226">
        <v>1.9832774043508157E-3</v>
      </c>
      <c r="E226" t="s">
        <v>6</v>
      </c>
      <c r="G226" t="s">
        <v>479</v>
      </c>
      <c r="H226" t="s">
        <v>19</v>
      </c>
      <c r="I226">
        <v>6.7684975291034608E-2</v>
      </c>
      <c r="J226" t="s">
        <v>6</v>
      </c>
    </row>
    <row r="227" spans="2:10" x14ac:dyDescent="0.45">
      <c r="B227" t="s">
        <v>480</v>
      </c>
      <c r="C227" t="s">
        <v>5</v>
      </c>
      <c r="D227">
        <v>0</v>
      </c>
      <c r="E227" t="s">
        <v>6</v>
      </c>
      <c r="G227" t="s">
        <v>481</v>
      </c>
      <c r="H227" t="s">
        <v>5</v>
      </c>
      <c r="I227">
        <v>0.10356609558185817</v>
      </c>
      <c r="J227" t="s">
        <v>6</v>
      </c>
    </row>
    <row r="228" spans="2:10" x14ac:dyDescent="0.45">
      <c r="B228" t="s">
        <v>480</v>
      </c>
      <c r="C228" t="s">
        <v>9</v>
      </c>
      <c r="D228">
        <v>0.10396782068751098</v>
      </c>
      <c r="E228" t="s">
        <v>6</v>
      </c>
      <c r="G228" t="s">
        <v>481</v>
      </c>
      <c r="H228" t="s">
        <v>9</v>
      </c>
      <c r="I228">
        <v>0.12843354256016465</v>
      </c>
      <c r="J228" t="s">
        <v>6</v>
      </c>
    </row>
    <row r="229" spans="2:10" x14ac:dyDescent="0.45">
      <c r="B229" t="s">
        <v>480</v>
      </c>
      <c r="C229" t="s">
        <v>10</v>
      </c>
      <c r="D229">
        <v>2.0459874061879769E-4</v>
      </c>
      <c r="E229" t="s">
        <v>6</v>
      </c>
      <c r="G229" t="s">
        <v>481</v>
      </c>
      <c r="H229" t="s">
        <v>10</v>
      </c>
      <c r="I229">
        <v>7.8592923044640398E-2</v>
      </c>
      <c r="J229" t="s">
        <v>6</v>
      </c>
    </row>
    <row r="230" spans="2:10" x14ac:dyDescent="0.45">
      <c r="B230" t="s">
        <v>480</v>
      </c>
      <c r="C230" t="s">
        <v>11</v>
      </c>
      <c r="D230">
        <v>3.3159446072433783E-3</v>
      </c>
      <c r="E230" t="s">
        <v>6</v>
      </c>
      <c r="G230" t="s">
        <v>481</v>
      </c>
      <c r="H230" t="s">
        <v>11</v>
      </c>
      <c r="I230">
        <v>8.2315253915368647E-2</v>
      </c>
      <c r="J230" t="s">
        <v>6</v>
      </c>
    </row>
    <row r="231" spans="2:10" x14ac:dyDescent="0.45">
      <c r="B231" t="s">
        <v>480</v>
      </c>
      <c r="C231" t="s">
        <v>12</v>
      </c>
      <c r="D231">
        <v>0.31091301569275426</v>
      </c>
      <c r="E231" t="s">
        <v>6</v>
      </c>
      <c r="G231" t="s">
        <v>481</v>
      </c>
      <c r="H231" t="s">
        <v>12</v>
      </c>
      <c r="I231">
        <v>9.9679336762707821E-2</v>
      </c>
      <c r="J231" t="s">
        <v>6</v>
      </c>
    </row>
    <row r="232" spans="2:10" x14ac:dyDescent="0.45">
      <c r="B232" t="s">
        <v>480</v>
      </c>
      <c r="C232" t="s">
        <v>13</v>
      </c>
      <c r="D232">
        <v>1.1261489510055825E-2</v>
      </c>
      <c r="E232" t="s">
        <v>6</v>
      </c>
      <c r="G232" t="s">
        <v>481</v>
      </c>
      <c r="H232" t="s">
        <v>13</v>
      </c>
      <c r="I232">
        <v>6.2364906202820959E-2</v>
      </c>
      <c r="J232" t="s">
        <v>6</v>
      </c>
    </row>
    <row r="233" spans="2:10" x14ac:dyDescent="0.45">
      <c r="B233" t="s">
        <v>480</v>
      </c>
      <c r="C233" t="s">
        <v>14</v>
      </c>
      <c r="D233">
        <v>7.1145946950571873E-3</v>
      </c>
      <c r="E233" t="s">
        <v>6</v>
      </c>
      <c r="G233" t="s">
        <v>481</v>
      </c>
      <c r="H233" t="s">
        <v>14</v>
      </c>
      <c r="I233">
        <v>5.7993495598041893E-2</v>
      </c>
      <c r="J233" t="s">
        <v>6</v>
      </c>
    </row>
    <row r="234" spans="2:10" x14ac:dyDescent="0.45">
      <c r="B234" t="s">
        <v>480</v>
      </c>
      <c r="C234" t="s">
        <v>15</v>
      </c>
      <c r="D234">
        <v>0.35357716260803052</v>
      </c>
      <c r="E234" t="s">
        <v>6</v>
      </c>
      <c r="G234" t="s">
        <v>481</v>
      </c>
      <c r="H234" t="s">
        <v>15</v>
      </c>
      <c r="I234">
        <v>7.2309718476519985E-2</v>
      </c>
      <c r="J234" t="s">
        <v>6</v>
      </c>
    </row>
    <row r="235" spans="2:10" x14ac:dyDescent="0.45">
      <c r="B235" t="s">
        <v>480</v>
      </c>
      <c r="C235" t="s">
        <v>16</v>
      </c>
      <c r="D235">
        <v>2.0776118624807115E-2</v>
      </c>
      <c r="E235" t="s">
        <v>6</v>
      </c>
      <c r="G235" t="s">
        <v>481</v>
      </c>
      <c r="H235" t="s">
        <v>16</v>
      </c>
      <c r="I235">
        <v>4.5507150695761278E-2</v>
      </c>
      <c r="J235" t="s">
        <v>6</v>
      </c>
    </row>
    <row r="236" spans="2:10" x14ac:dyDescent="0.45">
      <c r="B236" t="s">
        <v>480</v>
      </c>
      <c r="C236" t="s">
        <v>17</v>
      </c>
      <c r="D236">
        <v>1.9407368150428121E-4</v>
      </c>
      <c r="E236" t="s">
        <v>6</v>
      </c>
      <c r="G236" t="s">
        <v>481</v>
      </c>
      <c r="H236" t="s">
        <v>17</v>
      </c>
      <c r="I236">
        <v>9.0329785130959128E-2</v>
      </c>
      <c r="J236" t="s">
        <v>6</v>
      </c>
    </row>
    <row r="237" spans="2:10" x14ac:dyDescent="0.45">
      <c r="B237" t="s">
        <v>480</v>
      </c>
      <c r="C237" t="s">
        <v>18</v>
      </c>
      <c r="D237">
        <v>0.1869410288185514</v>
      </c>
      <c r="E237" t="s">
        <v>6</v>
      </c>
      <c r="G237" t="s">
        <v>481</v>
      </c>
      <c r="H237" t="s">
        <v>18</v>
      </c>
      <c r="I237">
        <v>0.11041593514415009</v>
      </c>
      <c r="J237" t="s">
        <v>6</v>
      </c>
    </row>
    <row r="238" spans="2:10" x14ac:dyDescent="0.45">
      <c r="B238" t="s">
        <v>480</v>
      </c>
      <c r="C238" t="s">
        <v>19</v>
      </c>
      <c r="D238">
        <v>1.7341523338668791E-3</v>
      </c>
      <c r="E238" t="s">
        <v>6</v>
      </c>
      <c r="G238" t="s">
        <v>481</v>
      </c>
      <c r="H238" t="s">
        <v>19</v>
      </c>
      <c r="I238">
        <v>6.8491856887005181E-2</v>
      </c>
      <c r="J238" t="s">
        <v>6</v>
      </c>
    </row>
    <row r="239" spans="2:10" x14ac:dyDescent="0.45">
      <c r="B239" t="s">
        <v>482</v>
      </c>
      <c r="C239" t="s">
        <v>5</v>
      </c>
      <c r="D239">
        <v>0</v>
      </c>
      <c r="E239" t="s">
        <v>6</v>
      </c>
      <c r="G239" t="s">
        <v>483</v>
      </c>
      <c r="H239" t="s">
        <v>5</v>
      </c>
      <c r="I239">
        <v>0.11239999641965326</v>
      </c>
      <c r="J239" t="s">
        <v>6</v>
      </c>
    </row>
    <row r="240" spans="2:10" x14ac:dyDescent="0.45">
      <c r="B240" t="s">
        <v>482</v>
      </c>
      <c r="C240" t="s">
        <v>9</v>
      </c>
      <c r="D240">
        <v>0.10758040469231554</v>
      </c>
      <c r="E240" t="s">
        <v>6</v>
      </c>
      <c r="G240" t="s">
        <v>483</v>
      </c>
      <c r="H240" t="s">
        <v>9</v>
      </c>
      <c r="I240">
        <v>0.14063872598051658</v>
      </c>
      <c r="J240" t="s">
        <v>6</v>
      </c>
    </row>
    <row r="241" spans="2:10" x14ac:dyDescent="0.45">
      <c r="B241" t="s">
        <v>482</v>
      </c>
      <c r="C241" t="s">
        <v>10</v>
      </c>
      <c r="D241">
        <v>1.7563320361391362E-4</v>
      </c>
      <c r="E241" t="s">
        <v>6</v>
      </c>
      <c r="G241" t="s">
        <v>483</v>
      </c>
      <c r="H241" t="s">
        <v>10</v>
      </c>
      <c r="I241">
        <v>8.6474261460488658E-2</v>
      </c>
      <c r="J241" t="s">
        <v>6</v>
      </c>
    </row>
    <row r="242" spans="2:10" x14ac:dyDescent="0.45">
      <c r="B242" t="s">
        <v>482</v>
      </c>
      <c r="C242" t="s">
        <v>11</v>
      </c>
      <c r="D242">
        <v>3.3951251267136402E-3</v>
      </c>
      <c r="E242" t="s">
        <v>6</v>
      </c>
      <c r="G242" t="s">
        <v>483</v>
      </c>
      <c r="H242" t="s">
        <v>11</v>
      </c>
      <c r="I242">
        <v>7.4631608174047667E-2</v>
      </c>
      <c r="J242" t="s">
        <v>6</v>
      </c>
    </row>
    <row r="243" spans="2:10" x14ac:dyDescent="0.45">
      <c r="B243" t="s">
        <v>482</v>
      </c>
      <c r="C243" t="s">
        <v>12</v>
      </c>
      <c r="D243">
        <v>0.29970085534836427</v>
      </c>
      <c r="E243" t="s">
        <v>6</v>
      </c>
      <c r="G243" t="s">
        <v>483</v>
      </c>
      <c r="H243" t="s">
        <v>12</v>
      </c>
      <c r="I243">
        <v>8.472709345274361E-2</v>
      </c>
      <c r="J243" t="s">
        <v>6</v>
      </c>
    </row>
    <row r="244" spans="2:10" x14ac:dyDescent="0.45">
      <c r="B244" t="s">
        <v>482</v>
      </c>
      <c r="C244" t="s">
        <v>13</v>
      </c>
      <c r="D244">
        <v>9.6995491232739119E-3</v>
      </c>
      <c r="E244" t="s">
        <v>6</v>
      </c>
      <c r="G244" t="s">
        <v>483</v>
      </c>
      <c r="H244" t="s">
        <v>13</v>
      </c>
      <c r="I244">
        <v>5.9430723992933393E-2</v>
      </c>
      <c r="J244" t="s">
        <v>6</v>
      </c>
    </row>
    <row r="245" spans="2:10" x14ac:dyDescent="0.45">
      <c r="B245" t="s">
        <v>482</v>
      </c>
      <c r="C245" t="s">
        <v>14</v>
      </c>
      <c r="D245">
        <v>8.176396496298529E-3</v>
      </c>
      <c r="E245" t="s">
        <v>6</v>
      </c>
      <c r="G245" t="s">
        <v>483</v>
      </c>
      <c r="H245" t="s">
        <v>14</v>
      </c>
      <c r="I245">
        <v>5.5259941011077965E-2</v>
      </c>
      <c r="J245" t="s">
        <v>6</v>
      </c>
    </row>
    <row r="246" spans="2:10" x14ac:dyDescent="0.45">
      <c r="B246" t="s">
        <v>482</v>
      </c>
      <c r="C246" t="s">
        <v>15</v>
      </c>
      <c r="D246">
        <v>0.37087062360742856</v>
      </c>
      <c r="E246" t="s">
        <v>6</v>
      </c>
      <c r="G246" t="s">
        <v>483</v>
      </c>
      <c r="H246" t="s">
        <v>15</v>
      </c>
      <c r="I246">
        <v>5.7321293395875592E-2</v>
      </c>
      <c r="J246" t="s">
        <v>6</v>
      </c>
    </row>
    <row r="247" spans="2:10" x14ac:dyDescent="0.45">
      <c r="B247" t="s">
        <v>482</v>
      </c>
      <c r="C247" t="s">
        <v>16</v>
      </c>
      <c r="D247">
        <v>1.8768204580756963E-2</v>
      </c>
      <c r="E247" t="s">
        <v>6</v>
      </c>
      <c r="G247" t="s">
        <v>483</v>
      </c>
      <c r="H247" t="s">
        <v>16</v>
      </c>
      <c r="I247">
        <v>3.9383901952269824E-2</v>
      </c>
      <c r="J247" t="s">
        <v>6</v>
      </c>
    </row>
    <row r="248" spans="2:10" x14ac:dyDescent="0.45">
      <c r="B248" t="s">
        <v>482</v>
      </c>
      <c r="C248" t="s">
        <v>17</v>
      </c>
      <c r="D248">
        <v>3.1960429503968721E-4</v>
      </c>
      <c r="E248" t="s">
        <v>6</v>
      </c>
      <c r="G248" t="s">
        <v>483</v>
      </c>
      <c r="H248" t="s">
        <v>17</v>
      </c>
      <c r="I248">
        <v>9.9743210068869298E-2</v>
      </c>
      <c r="J248" t="s">
        <v>6</v>
      </c>
    </row>
    <row r="249" spans="2:10" x14ac:dyDescent="0.45">
      <c r="B249" t="s">
        <v>482</v>
      </c>
      <c r="C249" t="s">
        <v>18</v>
      </c>
      <c r="D249">
        <v>0.17962635803711671</v>
      </c>
      <c r="E249" t="s">
        <v>6</v>
      </c>
      <c r="G249" t="s">
        <v>483</v>
      </c>
      <c r="H249" t="s">
        <v>18</v>
      </c>
      <c r="I249">
        <v>0.11474307041352258</v>
      </c>
      <c r="J249" t="s">
        <v>6</v>
      </c>
    </row>
    <row r="250" spans="2:10" x14ac:dyDescent="0.45">
      <c r="B250" t="s">
        <v>482</v>
      </c>
      <c r="C250" t="s">
        <v>19</v>
      </c>
      <c r="D250">
        <v>1.6872454890761415E-3</v>
      </c>
      <c r="E250" t="s">
        <v>6</v>
      </c>
      <c r="G250" t="s">
        <v>483</v>
      </c>
      <c r="H250" t="s">
        <v>19</v>
      </c>
      <c r="I250">
        <v>7.5246173678000683E-2</v>
      </c>
      <c r="J250" t="s">
        <v>6</v>
      </c>
    </row>
    <row r="251" spans="2:10" x14ac:dyDescent="0.45">
      <c r="B251" t="s">
        <v>484</v>
      </c>
      <c r="C251" t="s">
        <v>5</v>
      </c>
      <c r="D251">
        <v>0</v>
      </c>
      <c r="E251" t="s">
        <v>6</v>
      </c>
      <c r="G251" t="s">
        <v>485</v>
      </c>
      <c r="H251" t="s">
        <v>5</v>
      </c>
      <c r="I251">
        <v>0.10516323337108706</v>
      </c>
      <c r="J251" t="s">
        <v>6</v>
      </c>
    </row>
    <row r="252" spans="2:10" x14ac:dyDescent="0.45">
      <c r="B252" t="s">
        <v>484</v>
      </c>
      <c r="C252" t="s">
        <v>9</v>
      </c>
      <c r="D252">
        <v>0.11474622526600156</v>
      </c>
      <c r="E252" t="s">
        <v>6</v>
      </c>
      <c r="G252" t="s">
        <v>485</v>
      </c>
      <c r="H252" t="s">
        <v>9</v>
      </c>
      <c r="I252">
        <v>0.13141406906214126</v>
      </c>
      <c r="J252" t="s">
        <v>6</v>
      </c>
    </row>
    <row r="253" spans="2:10" x14ac:dyDescent="0.45">
      <c r="B253" t="s">
        <v>484</v>
      </c>
      <c r="C253" t="s">
        <v>10</v>
      </c>
      <c r="D253">
        <v>1.7398275855674161E-4</v>
      </c>
      <c r="E253" t="s">
        <v>6</v>
      </c>
      <c r="G253" t="s">
        <v>485</v>
      </c>
      <c r="H253" t="s">
        <v>10</v>
      </c>
      <c r="I253">
        <v>8.0841705347883874E-2</v>
      </c>
      <c r="J253" t="s">
        <v>6</v>
      </c>
    </row>
    <row r="254" spans="2:10" x14ac:dyDescent="0.45">
      <c r="B254" t="s">
        <v>484</v>
      </c>
      <c r="C254" t="s">
        <v>11</v>
      </c>
      <c r="D254">
        <v>3.6677277367385365E-3</v>
      </c>
      <c r="E254" t="s">
        <v>6</v>
      </c>
      <c r="G254" t="s">
        <v>485</v>
      </c>
      <c r="H254" t="s">
        <v>11</v>
      </c>
      <c r="I254">
        <v>8.2456138839308052E-2</v>
      </c>
      <c r="J254" t="s">
        <v>6</v>
      </c>
    </row>
    <row r="255" spans="2:10" x14ac:dyDescent="0.45">
      <c r="B255" t="s">
        <v>484</v>
      </c>
      <c r="C255" t="s">
        <v>12</v>
      </c>
      <c r="D255">
        <v>0.29608483155893595</v>
      </c>
      <c r="E255" t="s">
        <v>6</v>
      </c>
      <c r="G255" t="s">
        <v>485</v>
      </c>
      <c r="H255" t="s">
        <v>12</v>
      </c>
      <c r="I255">
        <v>8.3616761595381395E-2</v>
      </c>
      <c r="J255" t="s">
        <v>6</v>
      </c>
    </row>
    <row r="256" spans="2:10" x14ac:dyDescent="0.45">
      <c r="B256" t="s">
        <v>484</v>
      </c>
      <c r="C256" t="s">
        <v>13</v>
      </c>
      <c r="D256">
        <v>8.8321263290424869E-3</v>
      </c>
      <c r="E256" t="s">
        <v>6</v>
      </c>
      <c r="G256" t="s">
        <v>485</v>
      </c>
      <c r="H256" t="s">
        <v>13</v>
      </c>
      <c r="I256">
        <v>6.4907942399517485E-2</v>
      </c>
      <c r="J256" t="s">
        <v>6</v>
      </c>
    </row>
    <row r="257" spans="2:10" x14ac:dyDescent="0.45">
      <c r="B257" t="s">
        <v>484</v>
      </c>
      <c r="C257" t="s">
        <v>14</v>
      </c>
      <c r="D257">
        <v>8.4046613095145068E-3</v>
      </c>
      <c r="E257" t="s">
        <v>6</v>
      </c>
      <c r="G257" t="s">
        <v>485</v>
      </c>
      <c r="H257" t="s">
        <v>14</v>
      </c>
      <c r="I257">
        <v>5.8426234703366421E-2</v>
      </c>
      <c r="J257" t="s">
        <v>6</v>
      </c>
    </row>
    <row r="258" spans="2:10" x14ac:dyDescent="0.45">
      <c r="B258" t="s">
        <v>484</v>
      </c>
      <c r="C258" t="s">
        <v>15</v>
      </c>
      <c r="D258">
        <v>0.36501066308708768</v>
      </c>
      <c r="E258" t="s">
        <v>6</v>
      </c>
      <c r="G258" t="s">
        <v>485</v>
      </c>
      <c r="H258" t="s">
        <v>15</v>
      </c>
      <c r="I258">
        <v>6.5525333256743562E-2</v>
      </c>
      <c r="J258" t="s">
        <v>6</v>
      </c>
    </row>
    <row r="259" spans="2:10" x14ac:dyDescent="0.45">
      <c r="B259" t="s">
        <v>484</v>
      </c>
      <c r="C259" t="s">
        <v>16</v>
      </c>
      <c r="D259">
        <v>1.740120396741102E-2</v>
      </c>
      <c r="E259" t="s">
        <v>6</v>
      </c>
      <c r="G259" t="s">
        <v>485</v>
      </c>
      <c r="H259" t="s">
        <v>16</v>
      </c>
      <c r="I259">
        <v>4.3307338043761322E-2</v>
      </c>
      <c r="J259" t="s">
        <v>6</v>
      </c>
    </row>
    <row r="260" spans="2:10" x14ac:dyDescent="0.45">
      <c r="B260" t="s">
        <v>484</v>
      </c>
      <c r="C260" t="s">
        <v>17</v>
      </c>
      <c r="D260">
        <v>4.4889919301906509E-4</v>
      </c>
      <c r="E260" t="s">
        <v>6</v>
      </c>
      <c r="G260" t="s">
        <v>485</v>
      </c>
      <c r="H260" t="s">
        <v>17</v>
      </c>
      <c r="I260">
        <v>9.4743918406279715E-2</v>
      </c>
      <c r="J260" t="s">
        <v>6</v>
      </c>
    </row>
    <row r="261" spans="2:10" x14ac:dyDescent="0.45">
      <c r="B261" t="s">
        <v>484</v>
      </c>
      <c r="C261" t="s">
        <v>18</v>
      </c>
      <c r="D261">
        <v>0.18367737210036827</v>
      </c>
      <c r="E261" t="s">
        <v>6</v>
      </c>
      <c r="G261" t="s">
        <v>485</v>
      </c>
      <c r="H261" t="s">
        <v>18</v>
      </c>
      <c r="I261">
        <v>0.113852947361543</v>
      </c>
      <c r="J261" t="s">
        <v>6</v>
      </c>
    </row>
    <row r="262" spans="2:10" x14ac:dyDescent="0.45">
      <c r="B262" t="s">
        <v>484</v>
      </c>
      <c r="C262" t="s">
        <v>19</v>
      </c>
      <c r="D262">
        <v>1.5523066933247401E-3</v>
      </c>
      <c r="E262" t="s">
        <v>6</v>
      </c>
      <c r="G262" t="s">
        <v>485</v>
      </c>
      <c r="H262" t="s">
        <v>19</v>
      </c>
      <c r="I262">
        <v>7.5744377612983263E-2</v>
      </c>
      <c r="J262" t="s">
        <v>6</v>
      </c>
    </row>
    <row r="263" spans="2:10" x14ac:dyDescent="0.45">
      <c r="B263" t="s">
        <v>486</v>
      </c>
      <c r="C263" t="s">
        <v>5</v>
      </c>
      <c r="D263">
        <v>0</v>
      </c>
      <c r="E263" t="s">
        <v>6</v>
      </c>
      <c r="G263" t="s">
        <v>487</v>
      </c>
      <c r="H263" t="s">
        <v>5</v>
      </c>
      <c r="I263">
        <v>0.1072466073893433</v>
      </c>
      <c r="J263" t="s">
        <v>6</v>
      </c>
    </row>
    <row r="264" spans="2:10" x14ac:dyDescent="0.45">
      <c r="B264" t="s">
        <v>486</v>
      </c>
      <c r="C264" t="s">
        <v>9</v>
      </c>
      <c r="D264">
        <v>0.12845228823436311</v>
      </c>
      <c r="E264" t="s">
        <v>6</v>
      </c>
      <c r="G264" t="s">
        <v>487</v>
      </c>
      <c r="H264" t="s">
        <v>9</v>
      </c>
      <c r="I264">
        <v>0.13102128437690552</v>
      </c>
      <c r="J264" t="s">
        <v>6</v>
      </c>
    </row>
    <row r="265" spans="2:10" x14ac:dyDescent="0.45">
      <c r="B265" t="s">
        <v>486</v>
      </c>
      <c r="C265" t="s">
        <v>10</v>
      </c>
      <c r="D265">
        <v>4.4339678048816561E-4</v>
      </c>
      <c r="E265" t="s">
        <v>6</v>
      </c>
      <c r="G265" t="s">
        <v>487</v>
      </c>
      <c r="H265" t="s">
        <v>10</v>
      </c>
      <c r="I265">
        <v>7.8794520413924277E-2</v>
      </c>
      <c r="J265" t="s">
        <v>6</v>
      </c>
    </row>
    <row r="266" spans="2:10" x14ac:dyDescent="0.45">
      <c r="B266" t="s">
        <v>486</v>
      </c>
      <c r="C266" t="s">
        <v>11</v>
      </c>
      <c r="D266">
        <v>2.4025774754287358E-3</v>
      </c>
      <c r="E266" t="s">
        <v>6</v>
      </c>
      <c r="G266" t="s">
        <v>487</v>
      </c>
      <c r="H266" t="s">
        <v>11</v>
      </c>
      <c r="I266">
        <v>8.0608048807659968E-2</v>
      </c>
      <c r="J266" t="s">
        <v>6</v>
      </c>
    </row>
    <row r="267" spans="2:10" x14ac:dyDescent="0.45">
      <c r="B267" t="s">
        <v>486</v>
      </c>
      <c r="C267" t="s">
        <v>12</v>
      </c>
      <c r="D267">
        <v>0.28860180216569281</v>
      </c>
      <c r="E267" t="s">
        <v>6</v>
      </c>
      <c r="G267" t="s">
        <v>487</v>
      </c>
      <c r="H267" t="s">
        <v>12</v>
      </c>
      <c r="I267">
        <v>9.0392986432225902E-2</v>
      </c>
      <c r="J267" t="s">
        <v>6</v>
      </c>
    </row>
    <row r="268" spans="2:10" x14ac:dyDescent="0.45">
      <c r="B268" t="s">
        <v>486</v>
      </c>
      <c r="C268" t="s">
        <v>13</v>
      </c>
      <c r="D268">
        <v>1.0315920910362009E-2</v>
      </c>
      <c r="E268" t="s">
        <v>6</v>
      </c>
      <c r="G268" t="s">
        <v>487</v>
      </c>
      <c r="H268" t="s">
        <v>13</v>
      </c>
      <c r="I268">
        <v>6.2885170943454305E-2</v>
      </c>
      <c r="J268" t="s">
        <v>6</v>
      </c>
    </row>
    <row r="269" spans="2:10" x14ac:dyDescent="0.45">
      <c r="B269" t="s">
        <v>486</v>
      </c>
      <c r="C269" t="s">
        <v>14</v>
      </c>
      <c r="D269">
        <v>5.5944629847155302E-3</v>
      </c>
      <c r="E269" t="s">
        <v>6</v>
      </c>
      <c r="G269" t="s">
        <v>487</v>
      </c>
      <c r="H269" t="s">
        <v>14</v>
      </c>
      <c r="I269">
        <v>5.6968789135562095E-2</v>
      </c>
      <c r="J269" t="s">
        <v>6</v>
      </c>
    </row>
    <row r="270" spans="2:10" x14ac:dyDescent="0.45">
      <c r="B270" t="s">
        <v>486</v>
      </c>
      <c r="C270" t="s">
        <v>15</v>
      </c>
      <c r="D270">
        <v>0.35467309800702318</v>
      </c>
      <c r="E270" t="s">
        <v>6</v>
      </c>
      <c r="G270" t="s">
        <v>487</v>
      </c>
      <c r="H270" t="s">
        <v>15</v>
      </c>
      <c r="I270">
        <v>6.6880219416863715E-2</v>
      </c>
      <c r="J270" t="s">
        <v>6</v>
      </c>
    </row>
    <row r="271" spans="2:10" x14ac:dyDescent="0.45">
      <c r="B271" t="s">
        <v>486</v>
      </c>
      <c r="C271" t="s">
        <v>16</v>
      </c>
      <c r="D271">
        <v>2.0560513045834658E-2</v>
      </c>
      <c r="E271" t="s">
        <v>6</v>
      </c>
      <c r="G271" t="s">
        <v>487</v>
      </c>
      <c r="H271" t="s">
        <v>16</v>
      </c>
      <c r="I271">
        <v>4.4049174254820044E-2</v>
      </c>
      <c r="J271" t="s">
        <v>6</v>
      </c>
    </row>
    <row r="272" spans="2:10" x14ac:dyDescent="0.45">
      <c r="B272" t="s">
        <v>486</v>
      </c>
      <c r="C272" t="s">
        <v>17</v>
      </c>
      <c r="D272">
        <v>1.8755398916368835E-4</v>
      </c>
      <c r="E272" t="s">
        <v>6</v>
      </c>
      <c r="G272" t="s">
        <v>487</v>
      </c>
      <c r="H272" t="s">
        <v>17</v>
      </c>
      <c r="I272">
        <v>9.4489350688620966E-2</v>
      </c>
      <c r="J272" t="s">
        <v>6</v>
      </c>
    </row>
    <row r="273" spans="2:10" x14ac:dyDescent="0.45">
      <c r="B273" t="s">
        <v>486</v>
      </c>
      <c r="C273" t="s">
        <v>18</v>
      </c>
      <c r="D273">
        <v>0.18659712287324776</v>
      </c>
      <c r="E273" t="s">
        <v>6</v>
      </c>
      <c r="G273" t="s">
        <v>487</v>
      </c>
      <c r="H273" t="s">
        <v>18</v>
      </c>
      <c r="I273">
        <v>0.11453546108906153</v>
      </c>
      <c r="J273" t="s">
        <v>6</v>
      </c>
    </row>
    <row r="274" spans="2:10" x14ac:dyDescent="0.45">
      <c r="B274" t="s">
        <v>486</v>
      </c>
      <c r="C274" t="s">
        <v>19</v>
      </c>
      <c r="D274">
        <v>2.1712635336787311E-3</v>
      </c>
      <c r="E274" t="s">
        <v>6</v>
      </c>
      <c r="G274" t="s">
        <v>487</v>
      </c>
      <c r="H274" t="s">
        <v>19</v>
      </c>
      <c r="I274">
        <v>7.2128387051556442E-2</v>
      </c>
      <c r="J274" t="s">
        <v>6</v>
      </c>
    </row>
    <row r="275" spans="2:10" x14ac:dyDescent="0.45">
      <c r="B275" t="s">
        <v>488</v>
      </c>
      <c r="C275" t="s">
        <v>5</v>
      </c>
      <c r="D275">
        <v>0</v>
      </c>
      <c r="E275" t="s">
        <v>6</v>
      </c>
    </row>
    <row r="276" spans="2:10" x14ac:dyDescent="0.45">
      <c r="B276" t="s">
        <v>488</v>
      </c>
      <c r="C276" t="s">
        <v>9</v>
      </c>
      <c r="D276">
        <v>0.113156937509026</v>
      </c>
      <c r="E276" t="s">
        <v>6</v>
      </c>
    </row>
    <row r="277" spans="2:10" x14ac:dyDescent="0.45">
      <c r="B277" t="s">
        <v>488</v>
      </c>
      <c r="C277" t="s">
        <v>10</v>
      </c>
      <c r="D277">
        <v>3.9502006400379363E-4</v>
      </c>
      <c r="E277" t="s">
        <v>6</v>
      </c>
    </row>
    <row r="278" spans="2:10" x14ac:dyDescent="0.45">
      <c r="B278" t="s">
        <v>488</v>
      </c>
      <c r="C278" t="s">
        <v>11</v>
      </c>
      <c r="D278">
        <v>2.3876572320923467E-3</v>
      </c>
      <c r="E278" t="s">
        <v>6</v>
      </c>
    </row>
    <row r="279" spans="2:10" x14ac:dyDescent="0.45">
      <c r="B279" t="s">
        <v>488</v>
      </c>
      <c r="C279" t="s">
        <v>12</v>
      </c>
      <c r="D279">
        <v>0.29778652428550251</v>
      </c>
      <c r="E279" t="s">
        <v>6</v>
      </c>
    </row>
    <row r="280" spans="2:10" x14ac:dyDescent="0.45">
      <c r="B280" t="s">
        <v>488</v>
      </c>
      <c r="C280" t="s">
        <v>13</v>
      </c>
      <c r="D280">
        <v>1.1628995049017005E-2</v>
      </c>
      <c r="E280" t="s">
        <v>6</v>
      </c>
    </row>
    <row r="281" spans="2:10" x14ac:dyDescent="0.45">
      <c r="B281" t="s">
        <v>488</v>
      </c>
      <c r="C281" t="s">
        <v>14</v>
      </c>
      <c r="D281">
        <v>5.7969749434086679E-3</v>
      </c>
      <c r="E281" t="s">
        <v>6</v>
      </c>
    </row>
    <row r="282" spans="2:10" x14ac:dyDescent="0.45">
      <c r="B282" t="s">
        <v>488</v>
      </c>
      <c r="C282" t="s">
        <v>15</v>
      </c>
      <c r="D282">
        <v>0.36173921098852169</v>
      </c>
      <c r="E282" t="s">
        <v>6</v>
      </c>
    </row>
    <row r="283" spans="2:10" x14ac:dyDescent="0.45">
      <c r="B283" t="s">
        <v>488</v>
      </c>
      <c r="C283" t="s">
        <v>16</v>
      </c>
      <c r="D283">
        <v>2.1632490031173835E-2</v>
      </c>
      <c r="E283" t="s">
        <v>6</v>
      </c>
    </row>
    <row r="284" spans="2:10" x14ac:dyDescent="0.45">
      <c r="B284" t="s">
        <v>488</v>
      </c>
      <c r="C284" t="s">
        <v>17</v>
      </c>
      <c r="D284">
        <v>1.7003352308284206E-4</v>
      </c>
      <c r="E284" t="s">
        <v>6</v>
      </c>
    </row>
    <row r="285" spans="2:10" x14ac:dyDescent="0.45">
      <c r="B285" t="s">
        <v>488</v>
      </c>
      <c r="C285" t="s">
        <v>18</v>
      </c>
      <c r="D285">
        <v>0.18305697970668802</v>
      </c>
      <c r="E285" t="s">
        <v>6</v>
      </c>
    </row>
    <row r="286" spans="2:10" x14ac:dyDescent="0.45">
      <c r="B286" t="s">
        <v>488</v>
      </c>
      <c r="C286" t="s">
        <v>19</v>
      </c>
      <c r="D286">
        <v>2.2491766674818904E-3</v>
      </c>
      <c r="E286" t="s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89471-896C-481D-9A8E-D6E2B95F364B}">
  <dimension ref="B9:BL65"/>
  <sheetViews>
    <sheetView workbookViewId="0"/>
  </sheetViews>
  <sheetFormatPr defaultRowHeight="14.25" x14ac:dyDescent="0.45"/>
  <sheetData>
    <row r="9" spans="2:64" x14ac:dyDescent="0.45">
      <c r="B9" t="str">
        <f>IF(A11="x","DeActivated","~TFM_DINS-TSL: attribute=FLO_EMIS; other_indexes=ACT; region=DEU")</f>
        <v>~TFM_DINS-TSL: attribute=FLO_EMIS; other_indexes=ACT; region=DEU</v>
      </c>
      <c r="Q9" t="str">
        <f>IF(A11="x","DeActivated","~TFM_INS-TSL: attribute=FLO_SHAR; limtype=FX; region=DEU")</f>
        <v>~TFM_INS-TSL: attribute=FLO_SHAR; limtype=FX; region=DEU</v>
      </c>
      <c r="AF9" t="str">
        <f>IF(A11="x","DeActivated","~TFM_INS-TSL: attribute=FLO_SHAR; limtype=FX; region=DEU")</f>
        <v>~TFM_INS-TSL: attribute=FLO_SHAR; limtype=FX; region=DEU</v>
      </c>
      <c r="AU9" t="str">
        <f>IF(A11="x","DeActivated","~TFM_DINS-TSL: attribute=NCAP_PKCNT; region=DEU")</f>
        <v>~TFM_DINS-TSL: attribute=NCAP_PKCNT; region=DEU</v>
      </c>
      <c r="BI9" t="str">
        <f>IF(A11="x","DeActivated","~TFM_DINS-AT: region=DEU")</f>
        <v>~TFM_DINS-AT: region=DEU</v>
      </c>
    </row>
    <row r="10" spans="2:64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Q10" t="s">
        <v>3</v>
      </c>
      <c r="R10" t="s">
        <v>0</v>
      </c>
      <c r="S10" t="s">
        <v>5</v>
      </c>
      <c r="T10" t="s">
        <v>9</v>
      </c>
      <c r="U10" t="s">
        <v>10</v>
      </c>
      <c r="V10" t="s">
        <v>11</v>
      </c>
      <c r="W10" t="s">
        <v>12</v>
      </c>
      <c r="X10" t="s">
        <v>13</v>
      </c>
      <c r="Y10" t="s">
        <v>14</v>
      </c>
      <c r="Z10" t="s">
        <v>15</v>
      </c>
      <c r="AA10" t="s">
        <v>16</v>
      </c>
      <c r="AB10" t="s">
        <v>17</v>
      </c>
      <c r="AC10" t="s">
        <v>18</v>
      </c>
      <c r="AD10" t="s">
        <v>19</v>
      </c>
      <c r="AF10" t="s">
        <v>3</v>
      </c>
      <c r="AG10" t="s">
        <v>0</v>
      </c>
      <c r="AH10" t="s">
        <v>5</v>
      </c>
      <c r="AI10" t="s">
        <v>9</v>
      </c>
      <c r="AJ10" t="s">
        <v>10</v>
      </c>
      <c r="AK10" t="s">
        <v>11</v>
      </c>
      <c r="AL10" t="s">
        <v>12</v>
      </c>
      <c r="AM10" t="s">
        <v>13</v>
      </c>
      <c r="AN10" t="s">
        <v>14</v>
      </c>
      <c r="AO10" t="s">
        <v>15</v>
      </c>
      <c r="AP10" t="s">
        <v>16</v>
      </c>
      <c r="AQ10" t="s">
        <v>17</v>
      </c>
      <c r="AR10" t="s">
        <v>18</v>
      </c>
      <c r="AS10" t="s">
        <v>19</v>
      </c>
      <c r="AU10" t="s">
        <v>3</v>
      </c>
      <c r="AV10" t="s">
        <v>5</v>
      </c>
      <c r="AW10" t="s">
        <v>9</v>
      </c>
      <c r="AX10" t="s">
        <v>10</v>
      </c>
      <c r="AY10" t="s">
        <v>11</v>
      </c>
      <c r="AZ10" t="s">
        <v>12</v>
      </c>
      <c r="BA10" t="s">
        <v>13</v>
      </c>
      <c r="BB10" t="s">
        <v>14</v>
      </c>
      <c r="BC10" t="s">
        <v>15</v>
      </c>
      <c r="BD10" t="s">
        <v>16</v>
      </c>
      <c r="BE10" t="s">
        <v>17</v>
      </c>
      <c r="BF10" t="s">
        <v>18</v>
      </c>
      <c r="BG10" t="s">
        <v>19</v>
      </c>
      <c r="BI10" t="s">
        <v>3</v>
      </c>
      <c r="BJ10" t="s">
        <v>0</v>
      </c>
      <c r="BK10" t="s">
        <v>92</v>
      </c>
      <c r="BL10" t="s">
        <v>93</v>
      </c>
    </row>
    <row r="11" spans="2:64" x14ac:dyDescent="0.45">
      <c r="B11" t="s">
        <v>489</v>
      </c>
      <c r="C11" t="s">
        <v>95</v>
      </c>
      <c r="D11">
        <v>0</v>
      </c>
      <c r="E11">
        <v>0.46685816315581402</v>
      </c>
      <c r="F11">
        <v>0.98135676516532389</v>
      </c>
      <c r="G11">
        <v>0.85186139615839696</v>
      </c>
      <c r="H11">
        <v>0.25317509595335819</v>
      </c>
      <c r="I11">
        <v>0.72655443064497016</v>
      </c>
      <c r="J11">
        <v>0.76329881204367278</v>
      </c>
      <c r="K11">
        <v>0.17715088943698082</v>
      </c>
      <c r="L11">
        <v>0.62612759335243073</v>
      </c>
      <c r="M11">
        <v>0.95938766714852786</v>
      </c>
      <c r="N11">
        <v>0.36997045062009731</v>
      </c>
      <c r="O11">
        <v>0.92189235575942874</v>
      </c>
      <c r="Q11" t="s">
        <v>96</v>
      </c>
      <c r="R11" t="s">
        <v>97</v>
      </c>
      <c r="S11">
        <v>0</v>
      </c>
      <c r="T11">
        <v>0.21668283276144401</v>
      </c>
      <c r="U11">
        <v>0.75086685859680113</v>
      </c>
      <c r="V11">
        <v>0.72759541637498737</v>
      </c>
      <c r="W11">
        <v>9.7239180832715988E-2</v>
      </c>
      <c r="X11">
        <v>0.56059530700422644</v>
      </c>
      <c r="Y11">
        <v>0.61132946390902487</v>
      </c>
      <c r="Z11">
        <v>7.3246984288700343E-2</v>
      </c>
      <c r="AA11">
        <v>0.45927966210266047</v>
      </c>
      <c r="AB11">
        <v>0.89896964384733258</v>
      </c>
      <c r="AC11">
        <v>0.14823481774356018</v>
      </c>
      <c r="AD11">
        <v>0.70038064650123566</v>
      </c>
      <c r="AF11" t="s">
        <v>96</v>
      </c>
      <c r="AG11" t="s">
        <v>98</v>
      </c>
      <c r="AH11">
        <v>0</v>
      </c>
      <c r="AI11">
        <v>2.2554192001953688E-2</v>
      </c>
      <c r="AJ11">
        <v>0.17670861235909205</v>
      </c>
      <c r="AK11">
        <v>0</v>
      </c>
      <c r="AL11">
        <v>1.3028391086032936E-2</v>
      </c>
      <c r="AM11">
        <v>0</v>
      </c>
      <c r="AN11">
        <v>0</v>
      </c>
      <c r="AO11">
        <v>1.2602382281318705E-2</v>
      </c>
      <c r="AP11">
        <v>0</v>
      </c>
      <c r="AQ11">
        <v>0</v>
      </c>
      <c r="AR11">
        <v>3.7305750130262598E-2</v>
      </c>
      <c r="AS11">
        <v>0.13637021706828739</v>
      </c>
      <c r="AU11" t="s">
        <v>489</v>
      </c>
      <c r="AV11">
        <v>0</v>
      </c>
      <c r="AW11">
        <v>0.1048236009069652</v>
      </c>
      <c r="AX11">
        <v>1.9645019857801168E-4</v>
      </c>
      <c r="AY11">
        <v>5.5951449929833794E-3</v>
      </c>
      <c r="AZ11">
        <v>0.31966236022089223</v>
      </c>
      <c r="BA11">
        <v>1.6247640539660196E-2</v>
      </c>
      <c r="BB11">
        <v>1.2057942095005755E-2</v>
      </c>
      <c r="BC11">
        <v>0.39634791401284725</v>
      </c>
      <c r="BD11">
        <v>3.2118998117082569E-2</v>
      </c>
      <c r="BE11">
        <v>4.8637378487455328E-4</v>
      </c>
      <c r="BF11">
        <v>0.19478860686052274</v>
      </c>
      <c r="BG11">
        <v>2.468453710198007E-3</v>
      </c>
      <c r="BI11" t="s">
        <v>489</v>
      </c>
      <c r="BJ11" t="s">
        <v>99</v>
      </c>
      <c r="BK11" t="s">
        <v>100</v>
      </c>
      <c r="BL11">
        <v>0.35144795477732488</v>
      </c>
    </row>
    <row r="12" spans="2:64" x14ac:dyDescent="0.45">
      <c r="B12" t="s">
        <v>490</v>
      </c>
      <c r="C12" t="s">
        <v>95</v>
      </c>
      <c r="D12">
        <v>0</v>
      </c>
      <c r="E12">
        <v>0.4594799364114609</v>
      </c>
      <c r="F12">
        <v>0.99173099527796604</v>
      </c>
      <c r="G12">
        <v>0.83800021740167208</v>
      </c>
      <c r="H12">
        <v>0.23923181237220326</v>
      </c>
      <c r="I12">
        <v>0.73636230851527662</v>
      </c>
      <c r="J12">
        <v>0.74839990480140772</v>
      </c>
      <c r="K12">
        <v>0.17835511495776896</v>
      </c>
      <c r="L12">
        <v>0.63496094996842212</v>
      </c>
      <c r="M12">
        <v>0.95227499763554568</v>
      </c>
      <c r="N12">
        <v>0.37561568863201306</v>
      </c>
      <c r="O12">
        <v>0.93011561445647895</v>
      </c>
      <c r="Q12" t="s">
        <v>102</v>
      </c>
      <c r="R12" t="s">
        <v>97</v>
      </c>
      <c r="S12">
        <v>4.5682358390722513E-3</v>
      </c>
      <c r="T12">
        <v>2.1947929762711001E-3</v>
      </c>
      <c r="U12">
        <v>9.1059809717861735E-4</v>
      </c>
      <c r="V12">
        <v>8.5678199777764544E-3</v>
      </c>
      <c r="W12">
        <v>3.3241691665045364E-3</v>
      </c>
      <c r="X12">
        <v>1.0945406187327242E-2</v>
      </c>
      <c r="Y12">
        <v>1.0631787789162904E-2</v>
      </c>
      <c r="Z12">
        <v>7.096894088206687E-3</v>
      </c>
      <c r="AA12">
        <v>1.7382461087818702E-2</v>
      </c>
      <c r="AB12">
        <v>6.0086610545038738E-3</v>
      </c>
      <c r="AC12">
        <v>2.7732651196056847E-3</v>
      </c>
      <c r="AD12">
        <v>4.2238723635076606E-3</v>
      </c>
      <c r="AF12" t="s">
        <v>102</v>
      </c>
      <c r="AG12" t="s">
        <v>98</v>
      </c>
      <c r="AH12">
        <v>8.3578995470157263E-3</v>
      </c>
      <c r="AI12">
        <v>1.1951121791514216E-2</v>
      </c>
      <c r="AJ12">
        <v>8.3177242254456451E-3</v>
      </c>
      <c r="AK12">
        <v>2.5640900725922629E-2</v>
      </c>
      <c r="AL12">
        <v>1.9854843700577742E-2</v>
      </c>
      <c r="AM12">
        <v>1.2746268741998107E-2</v>
      </c>
      <c r="AN12">
        <v>3.2275857595475847E-2</v>
      </c>
      <c r="AO12">
        <v>1.9872801179120669E-2</v>
      </c>
      <c r="AP12">
        <v>8.345157228718824E-3</v>
      </c>
      <c r="AQ12">
        <v>1.9417758591432209E-2</v>
      </c>
      <c r="AR12">
        <v>1.5627864177308343E-2</v>
      </c>
      <c r="AS12">
        <v>1.6015477686623987E-2</v>
      </c>
      <c r="AU12" t="s">
        <v>490</v>
      </c>
      <c r="AV12">
        <v>0</v>
      </c>
      <c r="AW12">
        <v>0.10234236700511477</v>
      </c>
      <c r="AX12">
        <v>7.427074754661282E-5</v>
      </c>
      <c r="AY12">
        <v>7.8180084069810682E-3</v>
      </c>
      <c r="AZ12">
        <v>0.3301643416423336</v>
      </c>
      <c r="BA12">
        <v>1.4493969508640949E-2</v>
      </c>
      <c r="BB12">
        <v>1.4072561263868468E-2</v>
      </c>
      <c r="BC12">
        <v>0.3980056684062227</v>
      </c>
      <c r="BD12">
        <v>2.8309188587830495E-2</v>
      </c>
      <c r="BE12">
        <v>8.8790863328257685E-4</v>
      </c>
      <c r="BF12">
        <v>0.18963256504005369</v>
      </c>
      <c r="BG12">
        <v>1.9637954110266497E-3</v>
      </c>
      <c r="BI12" t="s">
        <v>490</v>
      </c>
      <c r="BJ12" t="s">
        <v>99</v>
      </c>
      <c r="BK12" t="s">
        <v>100</v>
      </c>
      <c r="BL12">
        <v>0.36466672619529172</v>
      </c>
    </row>
    <row r="13" spans="2:64" x14ac:dyDescent="0.45">
      <c r="B13" t="s">
        <v>491</v>
      </c>
      <c r="C13" t="s">
        <v>95</v>
      </c>
      <c r="D13">
        <v>0</v>
      </c>
      <c r="E13">
        <v>0.42533000791018744</v>
      </c>
      <c r="F13">
        <v>0.99444444444444435</v>
      </c>
      <c r="G13">
        <v>0.83004441033762366</v>
      </c>
      <c r="H13">
        <v>0.2497160159767772</v>
      </c>
      <c r="I13">
        <v>0.75221225547021675</v>
      </c>
      <c r="J13">
        <v>0.74934206598148678</v>
      </c>
      <c r="K13">
        <v>0.18421334171851103</v>
      </c>
      <c r="L13">
        <v>0.6529763588603783</v>
      </c>
      <c r="M13">
        <v>0.94590219160064259</v>
      </c>
      <c r="N13">
        <v>0.37770057306398186</v>
      </c>
      <c r="O13">
        <v>0.9408588754823991</v>
      </c>
      <c r="Q13" t="s">
        <v>104</v>
      </c>
      <c r="R13" t="s">
        <v>97</v>
      </c>
      <c r="S13">
        <v>2.8922797139283151E-3</v>
      </c>
      <c r="T13">
        <v>1.7232860968438431E-3</v>
      </c>
      <c r="U13">
        <v>5.958692288865916E-4</v>
      </c>
      <c r="V13">
        <v>4.3389951468103694E-3</v>
      </c>
      <c r="W13">
        <v>3.9474105779171579E-3</v>
      </c>
      <c r="X13">
        <v>4.9562220440087668E-3</v>
      </c>
      <c r="Y13">
        <v>1.0522486300581136E-2</v>
      </c>
      <c r="Z13">
        <v>5.2171932459714266E-3</v>
      </c>
      <c r="AA13">
        <v>5.6404986980380031E-3</v>
      </c>
      <c r="AB13">
        <v>4.200500093248293E-3</v>
      </c>
      <c r="AC13">
        <v>4.7301996675364333E-3</v>
      </c>
      <c r="AD13">
        <v>2.6550276788326974E-3</v>
      </c>
      <c r="AF13" t="s">
        <v>104</v>
      </c>
      <c r="AG13" t="s">
        <v>98</v>
      </c>
      <c r="AH13">
        <v>4.0878054507362122E-3</v>
      </c>
      <c r="AI13">
        <v>9.1743655110558663E-3</v>
      </c>
      <c r="AJ13">
        <v>3.2906910966951806E-3</v>
      </c>
      <c r="AK13">
        <v>1.9690619408117775E-2</v>
      </c>
      <c r="AL13">
        <v>7.8714282401214832E-3</v>
      </c>
      <c r="AM13">
        <v>1.2760008429737891E-2</v>
      </c>
      <c r="AN13">
        <v>1.4762025812314412E-2</v>
      </c>
      <c r="AO13">
        <v>1.6089888141614272E-2</v>
      </c>
      <c r="AP13">
        <v>1.0819300068818529E-2</v>
      </c>
      <c r="AQ13">
        <v>1.1437799478845732E-2</v>
      </c>
      <c r="AR13">
        <v>1.2471117971562256E-2</v>
      </c>
      <c r="AS13">
        <v>1.0930788051863888E-2</v>
      </c>
      <c r="AU13" t="s">
        <v>491</v>
      </c>
      <c r="AV13">
        <v>0</v>
      </c>
      <c r="AW13">
        <v>0.11077249258302632</v>
      </c>
      <c r="AX13">
        <v>7.9273392436783544E-6</v>
      </c>
      <c r="AY13">
        <v>8.5101662473179001E-3</v>
      </c>
      <c r="AZ13">
        <v>0.31984695764715482</v>
      </c>
      <c r="BA13">
        <v>1.1616367848655728E-2</v>
      </c>
      <c r="BB13">
        <v>1.4940061980409725E-2</v>
      </c>
      <c r="BC13">
        <v>0.38603182114306162</v>
      </c>
      <c r="BD13">
        <v>2.4162958297705702E-2</v>
      </c>
      <c r="BE13">
        <v>1.4249557203628133E-3</v>
      </c>
      <c r="BF13">
        <v>0.19493555500300327</v>
      </c>
      <c r="BG13">
        <v>1.3679917687090778E-3</v>
      </c>
      <c r="BI13" t="s">
        <v>491</v>
      </c>
      <c r="BJ13" t="s">
        <v>99</v>
      </c>
      <c r="BK13" t="s">
        <v>100</v>
      </c>
      <c r="BL13">
        <v>0.3642758293425879</v>
      </c>
    </row>
    <row r="14" spans="2:64" x14ac:dyDescent="0.45">
      <c r="B14" t="s">
        <v>492</v>
      </c>
      <c r="C14" t="s">
        <v>95</v>
      </c>
      <c r="D14">
        <v>0</v>
      </c>
      <c r="E14">
        <v>0.43403412094950827</v>
      </c>
      <c r="F14">
        <v>0.98333333333333339</v>
      </c>
      <c r="G14">
        <v>0.84901401184527103</v>
      </c>
      <c r="H14">
        <v>0.24878209559658437</v>
      </c>
      <c r="I14">
        <v>0.73904664893017469</v>
      </c>
      <c r="J14">
        <v>0.76065332996471846</v>
      </c>
      <c r="K14">
        <v>0.17223844055473211</v>
      </c>
      <c r="L14">
        <v>0.6366587204870392</v>
      </c>
      <c r="M14">
        <v>0.95539600291968974</v>
      </c>
      <c r="N14">
        <v>0.36829387380651185</v>
      </c>
      <c r="O14">
        <v>0.9266011603707287</v>
      </c>
      <c r="AU14" t="s">
        <v>492</v>
      </c>
      <c r="AV14">
        <v>0</v>
      </c>
      <c r="AW14">
        <v>0.11608748796370204</v>
      </c>
      <c r="AX14">
        <v>1.023421528335823E-4</v>
      </c>
      <c r="AY14">
        <v>6.0420383923398451E-3</v>
      </c>
      <c r="AZ14">
        <v>0.31491736095686723</v>
      </c>
      <c r="BA14">
        <v>1.4484289699801775E-2</v>
      </c>
      <c r="BB14">
        <v>1.316521650786019E-2</v>
      </c>
      <c r="BC14">
        <v>0.39763285857481456</v>
      </c>
      <c r="BD14">
        <v>2.9363377017997089E-2</v>
      </c>
      <c r="BE14">
        <v>8.0228097095387052E-4</v>
      </c>
      <c r="BF14">
        <v>0.19605833765041028</v>
      </c>
      <c r="BG14">
        <v>2.2482558389293147E-3</v>
      </c>
      <c r="BI14" t="s">
        <v>492</v>
      </c>
      <c r="BJ14" t="s">
        <v>99</v>
      </c>
      <c r="BK14" t="s">
        <v>100</v>
      </c>
      <c r="BL14">
        <v>0.36500240328090322</v>
      </c>
    </row>
    <row r="15" spans="2:64" x14ac:dyDescent="0.45">
      <c r="B15" t="s">
        <v>493</v>
      </c>
      <c r="C15" t="s">
        <v>95</v>
      </c>
      <c r="D15">
        <v>0</v>
      </c>
      <c r="E15">
        <v>0.41102035407741805</v>
      </c>
      <c r="F15">
        <v>0.98703703703703716</v>
      </c>
      <c r="G15">
        <v>0.84233199803296355</v>
      </c>
      <c r="H15">
        <v>0.23865748818074098</v>
      </c>
      <c r="I15">
        <v>0.74529529292892172</v>
      </c>
      <c r="J15">
        <v>0.75812982992844813</v>
      </c>
      <c r="K15">
        <v>0.17808807737942595</v>
      </c>
      <c r="L15">
        <v>0.64992864713981124</v>
      </c>
      <c r="M15">
        <v>0.94779501207508132</v>
      </c>
      <c r="N15">
        <v>0.36064064311852817</v>
      </c>
      <c r="O15">
        <v>0.9300480953756578</v>
      </c>
      <c r="AU15" t="s">
        <v>493</v>
      </c>
      <c r="AV15">
        <v>0</v>
      </c>
      <c r="AW15">
        <v>0.12439595435106927</v>
      </c>
      <c r="AX15">
        <v>3.5939338259135948E-5</v>
      </c>
      <c r="AY15">
        <v>6.8184717813344255E-3</v>
      </c>
      <c r="AZ15">
        <v>0.31574760370836269</v>
      </c>
      <c r="BA15">
        <v>1.3021375439803232E-2</v>
      </c>
      <c r="BB15">
        <v>1.3985192069167381E-2</v>
      </c>
      <c r="BC15">
        <v>0.39591623641444307</v>
      </c>
      <c r="BD15">
        <v>2.6703173810146513E-2</v>
      </c>
      <c r="BE15">
        <v>1.1266542768879294E-3</v>
      </c>
      <c r="BF15">
        <v>0.2046418273438273</v>
      </c>
      <c r="BG15">
        <v>1.8791247060490068E-3</v>
      </c>
      <c r="BI15" t="s">
        <v>493</v>
      </c>
      <c r="BJ15" t="s">
        <v>99</v>
      </c>
      <c r="BK15" t="s">
        <v>100</v>
      </c>
      <c r="BL15">
        <v>0.38218943691825152</v>
      </c>
    </row>
    <row r="16" spans="2:64" x14ac:dyDescent="0.45">
      <c r="B16" t="s">
        <v>494</v>
      </c>
      <c r="C16" t="s">
        <v>95</v>
      </c>
      <c r="D16">
        <v>0</v>
      </c>
      <c r="E16">
        <v>0.44239285250497473</v>
      </c>
      <c r="F16">
        <v>0.9981481481481479</v>
      </c>
      <c r="G16">
        <v>0.82463563801742612</v>
      </c>
      <c r="H16">
        <v>0.21715125586867737</v>
      </c>
      <c r="I16">
        <v>0.74412319114949033</v>
      </c>
      <c r="J16">
        <v>0.73754542307454563</v>
      </c>
      <c r="K16">
        <v>0.17930072979929079</v>
      </c>
      <c r="L16">
        <v>0.64290652412999694</v>
      </c>
      <c r="M16">
        <v>0.94656448519924163</v>
      </c>
      <c r="N16">
        <v>0.36892046912906212</v>
      </c>
      <c r="O16">
        <v>0.93916145333308887</v>
      </c>
      <c r="AU16" t="s">
        <v>494</v>
      </c>
      <c r="AV16">
        <v>0</v>
      </c>
      <c r="AW16">
        <v>9.9669720564491096E-2</v>
      </c>
      <c r="AX16">
        <v>1.0396480008392155E-5</v>
      </c>
      <c r="AY16">
        <v>9.7143879109211177E-3</v>
      </c>
      <c r="AZ16">
        <v>0.36280677559903313</v>
      </c>
      <c r="BA16">
        <v>1.3332682360819555E-2</v>
      </c>
      <c r="BB16">
        <v>1.6147658751785844E-2</v>
      </c>
      <c r="BC16">
        <v>0.39621729443185727</v>
      </c>
      <c r="BD16">
        <v>2.6117904798879092E-2</v>
      </c>
      <c r="BE16">
        <v>1.4062021451527484E-3</v>
      </c>
      <c r="BF16">
        <v>0.18854195553164549</v>
      </c>
      <c r="BG16">
        <v>1.3745071327272045E-3</v>
      </c>
      <c r="BI16" t="s">
        <v>494</v>
      </c>
      <c r="BJ16" t="s">
        <v>99</v>
      </c>
      <c r="BK16" t="s">
        <v>100</v>
      </c>
      <c r="BL16">
        <v>0.36543699149630648</v>
      </c>
    </row>
    <row r="17" spans="2:64" x14ac:dyDescent="0.45">
      <c r="B17" t="s">
        <v>495</v>
      </c>
      <c r="C17" t="s">
        <v>95</v>
      </c>
      <c r="D17">
        <v>0</v>
      </c>
      <c r="E17">
        <v>0.47268732214028358</v>
      </c>
      <c r="F17">
        <v>0.99074074074074081</v>
      </c>
      <c r="G17">
        <v>0.8348910499583686</v>
      </c>
      <c r="H17">
        <v>0.22132551802839573</v>
      </c>
      <c r="I17">
        <v>0.72755126519966606</v>
      </c>
      <c r="J17">
        <v>0.74072991390014586</v>
      </c>
      <c r="K17">
        <v>0.1712052995332233</v>
      </c>
      <c r="L17">
        <v>0.62710307901364104</v>
      </c>
      <c r="M17">
        <v>0.95325601922238501</v>
      </c>
      <c r="N17">
        <v>0.35512867135824333</v>
      </c>
      <c r="O17">
        <v>0.92693345599718657</v>
      </c>
      <c r="AU17" t="s">
        <v>495</v>
      </c>
      <c r="AV17">
        <v>0</v>
      </c>
      <c r="AW17">
        <v>0.10161725319505467</v>
      </c>
      <c r="AX17">
        <v>6.7659231744735419E-5</v>
      </c>
      <c r="AY17">
        <v>8.0634632823912561E-3</v>
      </c>
      <c r="AZ17">
        <v>0.36174003318034842</v>
      </c>
      <c r="BA17">
        <v>1.6536466256482765E-2</v>
      </c>
      <c r="BB17">
        <v>1.4835946438339308E-2</v>
      </c>
      <c r="BC17">
        <v>0.40379600388282838</v>
      </c>
      <c r="BD17">
        <v>3.0659461922069791E-2</v>
      </c>
      <c r="BE17">
        <v>9.240916668395051E-4</v>
      </c>
      <c r="BF17">
        <v>0.19566421879334028</v>
      </c>
      <c r="BG17">
        <v>2.1178986297976077E-3</v>
      </c>
      <c r="BI17" t="s">
        <v>495</v>
      </c>
      <c r="BJ17" t="s">
        <v>99</v>
      </c>
      <c r="BK17" t="s">
        <v>100</v>
      </c>
      <c r="BL17">
        <v>0.35671675553211102</v>
      </c>
    </row>
    <row r="18" spans="2:64" x14ac:dyDescent="0.45">
      <c r="B18" t="s">
        <v>496</v>
      </c>
      <c r="C18" t="s">
        <v>95</v>
      </c>
      <c r="D18">
        <v>0</v>
      </c>
      <c r="E18">
        <v>0.47581414103815084</v>
      </c>
      <c r="F18">
        <v>0.9925925925925928</v>
      </c>
      <c r="G18">
        <v>0.82944237105268226</v>
      </c>
      <c r="H18">
        <v>0.21142584525497574</v>
      </c>
      <c r="I18">
        <v>0.72990871533134838</v>
      </c>
      <c r="J18">
        <v>0.73255880143088192</v>
      </c>
      <c r="K18">
        <v>0.16107839775353155</v>
      </c>
      <c r="L18">
        <v>0.62657905366461009</v>
      </c>
      <c r="M18">
        <v>0.95200926089230287</v>
      </c>
      <c r="N18">
        <v>0.34125311562962796</v>
      </c>
      <c r="O18">
        <v>0.92698655261785579</v>
      </c>
      <c r="AU18" t="s">
        <v>496</v>
      </c>
      <c r="AV18">
        <v>0</v>
      </c>
      <c r="AW18">
        <v>0.1060655262437922</v>
      </c>
      <c r="AX18">
        <v>5.370606589159851E-5</v>
      </c>
      <c r="AY18">
        <v>8.6526425170007446E-3</v>
      </c>
      <c r="AZ18">
        <v>0.39717026999438276</v>
      </c>
      <c r="BA18">
        <v>1.8028030865297071E-2</v>
      </c>
      <c r="BB18">
        <v>1.5651232557042274E-2</v>
      </c>
      <c r="BC18">
        <v>0.42933439217759489</v>
      </c>
      <c r="BD18">
        <v>3.3333104876193155E-2</v>
      </c>
      <c r="BE18">
        <v>1.0947750376921628E-3</v>
      </c>
      <c r="BF18">
        <v>0.21313090975729351</v>
      </c>
      <c r="BG18">
        <v>2.095133691372424E-3</v>
      </c>
      <c r="BI18" t="s">
        <v>496</v>
      </c>
      <c r="BJ18" t="s">
        <v>99</v>
      </c>
      <c r="BK18" t="s">
        <v>100</v>
      </c>
      <c r="BL18">
        <v>0.3832065316167762</v>
      </c>
    </row>
    <row r="19" spans="2:64" x14ac:dyDescent="0.45">
      <c r="B19" t="s">
        <v>497</v>
      </c>
      <c r="C19" t="s">
        <v>95</v>
      </c>
      <c r="D19">
        <v>0</v>
      </c>
      <c r="E19">
        <v>0.48488241918765246</v>
      </c>
      <c r="F19">
        <v>0.98292452092498661</v>
      </c>
      <c r="G19">
        <v>0.84499380055490048</v>
      </c>
      <c r="H19">
        <v>0.24662528116553273</v>
      </c>
      <c r="I19">
        <v>0.72351431531668808</v>
      </c>
      <c r="J19">
        <v>0.75575581226899724</v>
      </c>
      <c r="K19">
        <v>0.17459595341160378</v>
      </c>
      <c r="L19">
        <v>0.62042286001466629</v>
      </c>
      <c r="M19">
        <v>0.96082203407172229</v>
      </c>
      <c r="N19">
        <v>0.35497709656439169</v>
      </c>
      <c r="O19">
        <v>0.91882212839709976</v>
      </c>
      <c r="AU19" t="s">
        <v>497</v>
      </c>
      <c r="AV19">
        <v>0</v>
      </c>
      <c r="AW19">
        <v>0.10038279217923451</v>
      </c>
      <c r="AX19">
        <v>1.5243798265612439E-4</v>
      </c>
      <c r="AY19">
        <v>6.0091732254833816E-3</v>
      </c>
      <c r="AZ19">
        <v>0.33978638386329985</v>
      </c>
      <c r="BA19">
        <v>1.9247228431655692E-2</v>
      </c>
      <c r="BB19">
        <v>1.2034126345373358E-2</v>
      </c>
      <c r="BC19">
        <v>0.39627270483642119</v>
      </c>
      <c r="BD19">
        <v>3.5971725653278219E-2</v>
      </c>
      <c r="BE19">
        <v>4.4067351390821919E-4</v>
      </c>
      <c r="BF19">
        <v>0.19742375479718255</v>
      </c>
      <c r="BG19">
        <v>2.6817882763308406E-3</v>
      </c>
      <c r="BI19" t="s">
        <v>497</v>
      </c>
      <c r="BJ19" t="s">
        <v>99</v>
      </c>
      <c r="BK19" t="s">
        <v>100</v>
      </c>
      <c r="BL19">
        <v>0.3781152402080239</v>
      </c>
    </row>
    <row r="20" spans="2:64" x14ac:dyDescent="0.45">
      <c r="B20" t="s">
        <v>498</v>
      </c>
      <c r="C20" t="s">
        <v>95</v>
      </c>
      <c r="D20">
        <v>0</v>
      </c>
      <c r="E20">
        <v>0.4830657085754485</v>
      </c>
      <c r="F20">
        <v>0.98305852928352788</v>
      </c>
      <c r="G20">
        <v>0.85070677298978892</v>
      </c>
      <c r="H20">
        <v>0.24898844965248274</v>
      </c>
      <c r="I20">
        <v>0.71999149268584028</v>
      </c>
      <c r="J20">
        <v>0.7636243990832533</v>
      </c>
      <c r="K20">
        <v>0.18319922000004923</v>
      </c>
      <c r="L20">
        <v>0.62214479774580833</v>
      </c>
      <c r="M20">
        <v>0.96062383752197977</v>
      </c>
      <c r="N20">
        <v>0.36165728980413481</v>
      </c>
      <c r="O20">
        <v>0.91534437121897727</v>
      </c>
      <c r="AU20" t="s">
        <v>498</v>
      </c>
      <c r="AV20">
        <v>0</v>
      </c>
      <c r="AW20">
        <v>9.9055776886008251E-2</v>
      </c>
      <c r="AX20">
        <v>2.4566943015833333E-4</v>
      </c>
      <c r="AY20">
        <v>5.4635657456287932E-3</v>
      </c>
      <c r="AZ20">
        <v>0.32287722789003015</v>
      </c>
      <c r="BA20">
        <v>1.8240797890758543E-2</v>
      </c>
      <c r="BB20">
        <v>1.116631122357606E-2</v>
      </c>
      <c r="BC20">
        <v>0.38704891046072332</v>
      </c>
      <c r="BD20">
        <v>3.5217011334533109E-2</v>
      </c>
      <c r="BE20">
        <v>3.5176954782644272E-4</v>
      </c>
      <c r="BF20">
        <v>0.1953436100729587</v>
      </c>
      <c r="BG20">
        <v>2.665174008944721E-3</v>
      </c>
      <c r="BI20" t="s">
        <v>498</v>
      </c>
      <c r="BJ20" t="s">
        <v>99</v>
      </c>
      <c r="BK20" t="s">
        <v>100</v>
      </c>
      <c r="BL20">
        <v>0.35553361761931163</v>
      </c>
    </row>
    <row r="21" spans="2:64" x14ac:dyDescent="0.45">
      <c r="B21" t="s">
        <v>499</v>
      </c>
      <c r="C21" t="s">
        <v>95</v>
      </c>
      <c r="D21">
        <v>0</v>
      </c>
      <c r="E21">
        <v>0.47297016987278973</v>
      </c>
      <c r="F21">
        <v>0.98316831667359972</v>
      </c>
      <c r="G21">
        <v>0.84637811321587531</v>
      </c>
      <c r="H21">
        <v>0.23479240701678336</v>
      </c>
      <c r="I21">
        <v>0.71633037975551095</v>
      </c>
      <c r="J21">
        <v>0.75448535622303914</v>
      </c>
      <c r="K21">
        <v>0.1724140326068592</v>
      </c>
      <c r="L21">
        <v>0.61558311233407448</v>
      </c>
      <c r="M21">
        <v>0.96026388959547782</v>
      </c>
      <c r="N21">
        <v>0.35514018526423602</v>
      </c>
      <c r="O21">
        <v>0.91793757993928737</v>
      </c>
      <c r="AU21" t="s">
        <v>499</v>
      </c>
      <c r="AV21">
        <v>0</v>
      </c>
      <c r="AW21">
        <v>0.1047938657967407</v>
      </c>
      <c r="AX21">
        <v>1.8089964934596043E-4</v>
      </c>
      <c r="AY21">
        <v>5.982062351092921E-3</v>
      </c>
      <c r="AZ21">
        <v>0.36370709111535376</v>
      </c>
      <c r="BA21">
        <v>2.2296330704833195E-2</v>
      </c>
      <c r="BB21">
        <v>1.1990124636436653E-2</v>
      </c>
      <c r="BC21">
        <v>0.40384572322696427</v>
      </c>
      <c r="BD21">
        <v>4.0060664170770678E-2</v>
      </c>
      <c r="BE21">
        <v>4.4779827437511454E-4</v>
      </c>
      <c r="BF21">
        <v>0.19850512838015619</v>
      </c>
      <c r="BG21">
        <v>2.7752696844180703E-3</v>
      </c>
      <c r="BI21" t="s">
        <v>499</v>
      </c>
      <c r="BJ21" t="s">
        <v>99</v>
      </c>
      <c r="BK21" t="s">
        <v>100</v>
      </c>
      <c r="BL21">
        <v>0.38524240952323496</v>
      </c>
    </row>
    <row r="22" spans="2:64" x14ac:dyDescent="0.45">
      <c r="B22" t="s">
        <v>500</v>
      </c>
      <c r="C22" t="s">
        <v>95</v>
      </c>
      <c r="D22">
        <v>0</v>
      </c>
      <c r="E22">
        <v>0.47240794785794055</v>
      </c>
      <c r="F22">
        <v>0.97404411921333289</v>
      </c>
      <c r="G22">
        <v>0.85932405887878094</v>
      </c>
      <c r="H22">
        <v>0.23597674192095835</v>
      </c>
      <c r="I22">
        <v>0.70229605629446568</v>
      </c>
      <c r="J22">
        <v>0.77372031952993736</v>
      </c>
      <c r="K22">
        <v>0.18089492277385258</v>
      </c>
      <c r="L22">
        <v>0.60815335532012671</v>
      </c>
      <c r="M22">
        <v>0.96696558603608029</v>
      </c>
      <c r="N22">
        <v>0.35090647003058845</v>
      </c>
      <c r="O22">
        <v>0.90270258657615954</v>
      </c>
      <c r="AU22" t="s">
        <v>500</v>
      </c>
      <c r="AV22">
        <v>0</v>
      </c>
      <c r="AW22">
        <v>0.11311480718093596</v>
      </c>
      <c r="AX22">
        <v>3.6272733976963921E-4</v>
      </c>
      <c r="AY22">
        <v>4.4850547838210745E-3</v>
      </c>
      <c r="AZ22">
        <v>0.34457861819214991</v>
      </c>
      <c r="BA22">
        <v>2.2987890864239507E-2</v>
      </c>
      <c r="BB22">
        <v>9.3564046979000785E-3</v>
      </c>
      <c r="BC22">
        <v>0.38904728437794384</v>
      </c>
      <c r="BD22">
        <v>4.175492917584922E-2</v>
      </c>
      <c r="BE22">
        <v>2.3328811992528821E-4</v>
      </c>
      <c r="BF22">
        <v>0.20415458558594471</v>
      </c>
      <c r="BG22">
        <v>3.5104270170328495E-3</v>
      </c>
      <c r="BI22" t="s">
        <v>500</v>
      </c>
      <c r="BJ22" t="s">
        <v>99</v>
      </c>
      <c r="BK22" t="s">
        <v>100</v>
      </c>
      <c r="BL22">
        <v>0.37396945861337078</v>
      </c>
    </row>
    <row r="23" spans="2:64" x14ac:dyDescent="0.45">
      <c r="B23" t="s">
        <v>501</v>
      </c>
      <c r="C23" t="s">
        <v>95</v>
      </c>
      <c r="D23">
        <v>0</v>
      </c>
      <c r="E23">
        <v>0.36982440693512031</v>
      </c>
      <c r="F23">
        <v>0.96111111111111092</v>
      </c>
      <c r="G23">
        <v>0.86556569400412486</v>
      </c>
      <c r="H23">
        <v>0.24239365631592794</v>
      </c>
      <c r="I23">
        <v>0.72928715301843638</v>
      </c>
      <c r="J23">
        <v>0.78948535038779577</v>
      </c>
      <c r="K23">
        <v>0.18999908013426361</v>
      </c>
      <c r="L23">
        <v>0.64297248955430086</v>
      </c>
      <c r="M23">
        <v>0.95721889976774266</v>
      </c>
      <c r="N23">
        <v>0.32619663032953911</v>
      </c>
      <c r="O23">
        <v>0.90521087372314502</v>
      </c>
      <c r="AU23" t="s">
        <v>501</v>
      </c>
      <c r="AV23">
        <v>0</v>
      </c>
      <c r="AW23">
        <v>0.20927683438113345</v>
      </c>
      <c r="AX23">
        <v>1.1326534633024335E-3</v>
      </c>
      <c r="AY23">
        <v>4.1702114822524524E-3</v>
      </c>
      <c r="AZ23">
        <v>0.34788614180976257</v>
      </c>
      <c r="BA23">
        <v>1.8382643612266287E-2</v>
      </c>
      <c r="BB23">
        <v>8.8472564815436847E-3</v>
      </c>
      <c r="BC23">
        <v>0.41070122405776249</v>
      </c>
      <c r="BD23">
        <v>3.4758454395977814E-2</v>
      </c>
      <c r="BE23">
        <v>4.8181890794049797E-4</v>
      </c>
      <c r="BF23">
        <v>0.24124870511720173</v>
      </c>
      <c r="BG23">
        <v>3.9222004611840717E-3</v>
      </c>
      <c r="BI23" t="s">
        <v>501</v>
      </c>
      <c r="BJ23" t="s">
        <v>99</v>
      </c>
      <c r="BK23" t="s">
        <v>100</v>
      </c>
      <c r="BL23">
        <v>0.38307109791162164</v>
      </c>
    </row>
    <row r="24" spans="2:64" x14ac:dyDescent="0.45">
      <c r="B24" t="s">
        <v>502</v>
      </c>
      <c r="C24" t="s">
        <v>95</v>
      </c>
      <c r="D24">
        <v>0</v>
      </c>
      <c r="E24">
        <v>0.39371198878299585</v>
      </c>
      <c r="F24">
        <v>0.97120155727405677</v>
      </c>
      <c r="G24">
        <v>0.86091014725966852</v>
      </c>
      <c r="H24">
        <v>0.24028204066717043</v>
      </c>
      <c r="I24">
        <v>0.73508123447267659</v>
      </c>
      <c r="J24">
        <v>0.78108569645503134</v>
      </c>
      <c r="K24">
        <v>0.18401388457159101</v>
      </c>
      <c r="L24">
        <v>0.63968684091838002</v>
      </c>
      <c r="M24">
        <v>0.95560056703667762</v>
      </c>
      <c r="N24">
        <v>0.35712573914521289</v>
      </c>
      <c r="O24">
        <v>0.91159000195650741</v>
      </c>
      <c r="AU24" t="s">
        <v>502</v>
      </c>
      <c r="AV24">
        <v>0</v>
      </c>
      <c r="AW24">
        <v>0.15314001035892674</v>
      </c>
      <c r="AX24">
        <v>3.7818900887823004E-4</v>
      </c>
      <c r="AY24">
        <v>5.0571995739947494E-3</v>
      </c>
      <c r="AZ24">
        <v>0.33467309181960586</v>
      </c>
      <c r="BA24">
        <v>1.6898117100868866E-2</v>
      </c>
      <c r="BB24">
        <v>1.0703822875477775E-2</v>
      </c>
      <c r="BC24">
        <v>0.40150497961474535</v>
      </c>
      <c r="BD24">
        <v>3.323047194656973E-2</v>
      </c>
      <c r="BE24">
        <v>5.4607718182571807E-4</v>
      </c>
      <c r="BF24">
        <v>0.21122865462553592</v>
      </c>
      <c r="BG24">
        <v>3.2370922303488385E-3</v>
      </c>
      <c r="BI24" t="s">
        <v>502</v>
      </c>
      <c r="BJ24" t="s">
        <v>99</v>
      </c>
      <c r="BK24" t="s">
        <v>100</v>
      </c>
      <c r="BL24">
        <v>0.38430205521243849</v>
      </c>
    </row>
    <row r="25" spans="2:64" x14ac:dyDescent="0.45">
      <c r="B25" t="s">
        <v>503</v>
      </c>
      <c r="C25" t="s">
        <v>95</v>
      </c>
      <c r="D25">
        <v>0</v>
      </c>
      <c r="E25">
        <v>0.39124378257425813</v>
      </c>
      <c r="F25">
        <v>0.98333306124031095</v>
      </c>
      <c r="G25">
        <v>0.84647731365731271</v>
      </c>
      <c r="H25">
        <v>0.22693728721441664</v>
      </c>
      <c r="I25">
        <v>0.74596896523027201</v>
      </c>
      <c r="J25">
        <v>0.77133099778183867</v>
      </c>
      <c r="K25">
        <v>0.17982822473622836</v>
      </c>
      <c r="L25">
        <v>0.66471329754869057</v>
      </c>
      <c r="M25">
        <v>0.94969121689129454</v>
      </c>
      <c r="N25">
        <v>0.33049658653226804</v>
      </c>
      <c r="O25">
        <v>0.92894440313913584</v>
      </c>
      <c r="AU25" t="s">
        <v>503</v>
      </c>
      <c r="AV25">
        <v>0</v>
      </c>
      <c r="AW25">
        <v>0.15221431140796696</v>
      </c>
      <c r="AX25">
        <v>2.0223718174063182E-4</v>
      </c>
      <c r="AY25">
        <v>7.0037091762603062E-3</v>
      </c>
      <c r="AZ25">
        <v>0.34720637857983722</v>
      </c>
      <c r="BA25">
        <v>1.372213673462205E-2</v>
      </c>
      <c r="BB25">
        <v>1.3304158296876372E-2</v>
      </c>
      <c r="BC25">
        <v>0.40894556904113055</v>
      </c>
      <c r="BD25">
        <v>2.6293818837305128E-2</v>
      </c>
      <c r="BE25">
        <v>1.1363133133646861E-3</v>
      </c>
      <c r="BF25">
        <v>0.22989008392030597</v>
      </c>
      <c r="BG25">
        <v>2.1273108847265783E-3</v>
      </c>
      <c r="BI25" t="s">
        <v>503</v>
      </c>
      <c r="BJ25" t="s">
        <v>99</v>
      </c>
      <c r="BK25" t="s">
        <v>100</v>
      </c>
      <c r="BL25">
        <v>0.39040305892080651</v>
      </c>
    </row>
    <row r="26" spans="2:64" x14ac:dyDescent="0.45">
      <c r="B26" t="s">
        <v>504</v>
      </c>
      <c r="C26" t="s">
        <v>95</v>
      </c>
      <c r="D26">
        <v>0</v>
      </c>
      <c r="E26">
        <v>0.37554779295437352</v>
      </c>
      <c r="F26">
        <v>0.97484255826511601</v>
      </c>
      <c r="G26">
        <v>0.85166263078254667</v>
      </c>
      <c r="H26">
        <v>0.22286200281015284</v>
      </c>
      <c r="I26">
        <v>0.74624527953452913</v>
      </c>
      <c r="J26">
        <v>0.77902672663990979</v>
      </c>
      <c r="K26">
        <v>0.19023462004104949</v>
      </c>
      <c r="L26">
        <v>0.665274953019378</v>
      </c>
      <c r="M26">
        <v>0.94987814199066722</v>
      </c>
      <c r="N26">
        <v>0.32342423758824129</v>
      </c>
      <c r="O26">
        <v>0.92447303095178712</v>
      </c>
      <c r="AU26" t="s">
        <v>504</v>
      </c>
      <c r="AV26">
        <v>0</v>
      </c>
      <c r="AW26">
        <v>0.19253814691481491</v>
      </c>
      <c r="AX26">
        <v>4.2719896604888428E-4</v>
      </c>
      <c r="AY26">
        <v>6.1461971942272384E-3</v>
      </c>
      <c r="AZ26">
        <v>0.35827280536961137</v>
      </c>
      <c r="BA26">
        <v>1.5151885466344328E-2</v>
      </c>
      <c r="BB26">
        <v>1.1581384281617937E-2</v>
      </c>
      <c r="BC26">
        <v>0.40473076269212943</v>
      </c>
      <c r="BD26">
        <v>2.7790545247904128E-2</v>
      </c>
      <c r="BE26">
        <v>8.4835219934672112E-4</v>
      </c>
      <c r="BF26">
        <v>0.23287721732565136</v>
      </c>
      <c r="BG26">
        <v>2.5248372982451129E-3</v>
      </c>
      <c r="BI26" t="s">
        <v>504</v>
      </c>
      <c r="BJ26" t="s">
        <v>99</v>
      </c>
      <c r="BK26" t="s">
        <v>100</v>
      </c>
      <c r="BL26">
        <v>0.39179656356746267</v>
      </c>
    </row>
    <row r="27" spans="2:64" x14ac:dyDescent="0.45">
      <c r="B27" t="s">
        <v>505</v>
      </c>
      <c r="C27" t="s">
        <v>95</v>
      </c>
      <c r="D27">
        <v>0</v>
      </c>
      <c r="E27">
        <v>0.44375090778217191</v>
      </c>
      <c r="F27">
        <v>0.96217104976440637</v>
      </c>
      <c r="G27">
        <v>0.86938833237817825</v>
      </c>
      <c r="H27">
        <v>0.2474974147303089</v>
      </c>
      <c r="I27">
        <v>0.69925391858029795</v>
      </c>
      <c r="J27">
        <v>0.78670068702494889</v>
      </c>
      <c r="K27">
        <v>0.18556625627384127</v>
      </c>
      <c r="L27">
        <v>0.61251473068173745</v>
      </c>
      <c r="M27">
        <v>0.96726569586026367</v>
      </c>
      <c r="N27">
        <v>0.34897485098215253</v>
      </c>
      <c r="O27">
        <v>0.9004461438721636</v>
      </c>
      <c r="AU27" t="s">
        <v>505</v>
      </c>
      <c r="AV27">
        <v>0</v>
      </c>
      <c r="AW27">
        <v>0.12552530271148418</v>
      </c>
      <c r="AX27">
        <v>5.6920783672108127E-4</v>
      </c>
      <c r="AY27">
        <v>3.3081495852278642E-3</v>
      </c>
      <c r="AZ27">
        <v>0.32715876001811484</v>
      </c>
      <c r="BA27">
        <v>2.2058715108798845E-2</v>
      </c>
      <c r="BB27">
        <v>7.5495346935075466E-3</v>
      </c>
      <c r="BC27">
        <v>0.37244580182595283</v>
      </c>
      <c r="BD27">
        <v>3.9310784856702155E-2</v>
      </c>
      <c r="BE27">
        <v>1.8165628455345741E-4</v>
      </c>
      <c r="BF27">
        <v>0.19902578554055361</v>
      </c>
      <c r="BG27">
        <v>3.6190974290211341E-3</v>
      </c>
      <c r="BI27" t="s">
        <v>505</v>
      </c>
      <c r="BJ27" t="s">
        <v>99</v>
      </c>
      <c r="BK27" t="s">
        <v>100</v>
      </c>
      <c r="BL27">
        <v>0.35522228704938708</v>
      </c>
    </row>
    <row r="28" spans="2:64" x14ac:dyDescent="0.45">
      <c r="B28" t="s">
        <v>506</v>
      </c>
      <c r="C28" t="s">
        <v>95</v>
      </c>
      <c r="D28">
        <v>0</v>
      </c>
      <c r="E28">
        <v>0.46882902048495684</v>
      </c>
      <c r="F28">
        <v>0.97037037037037044</v>
      </c>
      <c r="G28">
        <v>0.8677702896563696</v>
      </c>
      <c r="H28">
        <v>0.24642650616909001</v>
      </c>
      <c r="I28">
        <v>0.69783699381020092</v>
      </c>
      <c r="J28">
        <v>0.78407008153624169</v>
      </c>
      <c r="K28">
        <v>0.18918390599055215</v>
      </c>
      <c r="L28">
        <v>0.60902935242420286</v>
      </c>
      <c r="M28">
        <v>0.96985738222095952</v>
      </c>
      <c r="N28">
        <v>0.35976123080740474</v>
      </c>
      <c r="O28">
        <v>0.90260335521134327</v>
      </c>
      <c r="AU28" t="s">
        <v>506</v>
      </c>
      <c r="AV28">
        <v>0</v>
      </c>
      <c r="AW28">
        <v>0.11994985877279937</v>
      </c>
      <c r="AX28">
        <v>4.68796155791967E-4</v>
      </c>
      <c r="AY28">
        <v>3.7364171146604054E-3</v>
      </c>
      <c r="AZ28">
        <v>0.32651100419888707</v>
      </c>
      <c r="BA28">
        <v>2.2616272813518228E-2</v>
      </c>
      <c r="BB28">
        <v>7.9531463649494781E-3</v>
      </c>
      <c r="BC28">
        <v>0.36611054197921211</v>
      </c>
      <c r="BD28">
        <v>4.1583575667580377E-2</v>
      </c>
      <c r="BE28">
        <v>1.8899810046308895E-4</v>
      </c>
      <c r="BF28">
        <v>0.20026492147208796</v>
      </c>
      <c r="BG28">
        <v>3.5371048144226969E-3</v>
      </c>
      <c r="BI28" t="s">
        <v>506</v>
      </c>
      <c r="BJ28" t="s">
        <v>99</v>
      </c>
      <c r="BK28" t="s">
        <v>100</v>
      </c>
      <c r="BL28">
        <v>0.35001510872363961</v>
      </c>
    </row>
    <row r="29" spans="2:64" x14ac:dyDescent="0.45">
      <c r="B29" t="s">
        <v>507</v>
      </c>
      <c r="C29" t="s">
        <v>95</v>
      </c>
      <c r="D29">
        <v>0</v>
      </c>
      <c r="E29">
        <v>0.46486103293618841</v>
      </c>
      <c r="F29">
        <v>0.9740740740740742</v>
      </c>
      <c r="G29">
        <v>0.86089172920741341</v>
      </c>
      <c r="H29">
        <v>0.24793257412730976</v>
      </c>
      <c r="I29">
        <v>0.71127159426066411</v>
      </c>
      <c r="J29">
        <v>0.77679280376361148</v>
      </c>
      <c r="K29">
        <v>0.18340008284515638</v>
      </c>
      <c r="L29">
        <v>0.61736244139140617</v>
      </c>
      <c r="M29">
        <v>0.96338207889809035</v>
      </c>
      <c r="N29">
        <v>0.36127453091528577</v>
      </c>
      <c r="O29">
        <v>0.90774476513863989</v>
      </c>
      <c r="AU29" t="s">
        <v>507</v>
      </c>
      <c r="AV29">
        <v>0</v>
      </c>
      <c r="AW29">
        <v>0.11124814711902499</v>
      </c>
      <c r="AX29">
        <v>3.6487621275848307E-4</v>
      </c>
      <c r="AY29">
        <v>4.3387618007457145E-3</v>
      </c>
      <c r="AZ29">
        <v>0.3254523644081766</v>
      </c>
      <c r="BA29">
        <v>1.9646858353824355E-2</v>
      </c>
      <c r="BB29">
        <v>9.3091216370963323E-3</v>
      </c>
      <c r="BC29">
        <v>0.37011163175372852</v>
      </c>
      <c r="BD29">
        <v>3.6246134172513558E-2</v>
      </c>
      <c r="BE29">
        <v>2.5672704394231755E-4</v>
      </c>
      <c r="BF29">
        <v>0.19783338924938609</v>
      </c>
      <c r="BG29">
        <v>3.0586582646927583E-3</v>
      </c>
      <c r="BI29" t="s">
        <v>507</v>
      </c>
      <c r="BJ29" t="s">
        <v>99</v>
      </c>
      <c r="BK29" t="s">
        <v>100</v>
      </c>
      <c r="BL29">
        <v>0.35746656768151441</v>
      </c>
    </row>
    <row r="30" spans="2:64" x14ac:dyDescent="0.45">
      <c r="B30" t="s">
        <v>508</v>
      </c>
      <c r="C30" t="s">
        <v>95</v>
      </c>
      <c r="D30">
        <v>0</v>
      </c>
      <c r="E30">
        <v>0.45318336678838955</v>
      </c>
      <c r="F30">
        <v>0.97592592592592586</v>
      </c>
      <c r="G30">
        <v>0.85757094694566383</v>
      </c>
      <c r="H30">
        <v>0.24412146082039662</v>
      </c>
      <c r="I30">
        <v>0.72267647855876627</v>
      </c>
      <c r="J30">
        <v>0.77286530907311524</v>
      </c>
      <c r="K30">
        <v>0.17377573170764665</v>
      </c>
      <c r="L30">
        <v>0.62485226655955606</v>
      </c>
      <c r="M30">
        <v>0.96053950347709005</v>
      </c>
      <c r="N30">
        <v>0.37152820766143829</v>
      </c>
      <c r="O30">
        <v>0.91739584792456474</v>
      </c>
      <c r="AU30" t="s">
        <v>508</v>
      </c>
      <c r="AV30">
        <v>0</v>
      </c>
      <c r="AW30">
        <v>0.11632513918068305</v>
      </c>
      <c r="AX30">
        <v>3.1651608105847274E-4</v>
      </c>
      <c r="AY30">
        <v>4.489116611796292E-3</v>
      </c>
      <c r="AZ30">
        <v>0.31701737947224135</v>
      </c>
      <c r="BA30">
        <v>1.7099971467372917E-2</v>
      </c>
      <c r="BB30">
        <v>1.0811029333606816E-2</v>
      </c>
      <c r="BC30">
        <v>0.39229929151386611</v>
      </c>
      <c r="BD30">
        <v>3.3087699102907944E-2</v>
      </c>
      <c r="BE30">
        <v>4.2723236404979892E-4</v>
      </c>
      <c r="BF30">
        <v>0.19209302197975384</v>
      </c>
      <c r="BG30">
        <v>3.0072431867281266E-3</v>
      </c>
      <c r="BI30" t="s">
        <v>508</v>
      </c>
      <c r="BJ30" t="s">
        <v>99</v>
      </c>
      <c r="BK30" t="s">
        <v>100</v>
      </c>
      <c r="BL30">
        <v>0.36752694516073248</v>
      </c>
    </row>
    <row r="31" spans="2:64" x14ac:dyDescent="0.45">
      <c r="B31" t="s">
        <v>509</v>
      </c>
      <c r="C31" t="s">
        <v>95</v>
      </c>
      <c r="D31">
        <v>0</v>
      </c>
      <c r="E31">
        <v>0.43129465233115666</v>
      </c>
      <c r="F31">
        <v>0.97407407407407409</v>
      </c>
      <c r="G31">
        <v>0.85459885517077006</v>
      </c>
      <c r="H31">
        <v>0.22601488346060458</v>
      </c>
      <c r="I31">
        <v>0.73179735572764026</v>
      </c>
      <c r="J31">
        <v>0.77315922118605984</v>
      </c>
      <c r="K31">
        <v>0.17672397088667113</v>
      </c>
      <c r="L31">
        <v>0.63534375389914988</v>
      </c>
      <c r="M31">
        <v>0.95418882636383895</v>
      </c>
      <c r="N31">
        <v>0.36001983989665542</v>
      </c>
      <c r="O31">
        <v>0.91525436382923875</v>
      </c>
      <c r="AU31" t="s">
        <v>509</v>
      </c>
      <c r="AV31">
        <v>0</v>
      </c>
      <c r="AW31">
        <v>0.12872669854914146</v>
      </c>
      <c r="AX31">
        <v>3.2530084049334982E-4</v>
      </c>
      <c r="AY31">
        <v>5.0314366393534879E-3</v>
      </c>
      <c r="AZ31">
        <v>0.32493842003379564</v>
      </c>
      <c r="BA31">
        <v>1.6154701113796036E-2</v>
      </c>
      <c r="BB31">
        <v>1.1529623758728451E-2</v>
      </c>
      <c r="BC31">
        <v>0.40058110216091136</v>
      </c>
      <c r="BD31">
        <v>3.1828264071512985E-2</v>
      </c>
      <c r="BE31">
        <v>6.2257285095399157E-4</v>
      </c>
      <c r="BF31">
        <v>0.20379193722347688</v>
      </c>
      <c r="BG31">
        <v>2.8705004557733806E-3</v>
      </c>
      <c r="BI31" t="s">
        <v>509</v>
      </c>
      <c r="BJ31" t="s">
        <v>99</v>
      </c>
      <c r="BK31" t="s">
        <v>100</v>
      </c>
      <c r="BL31">
        <v>0.36845617286484228</v>
      </c>
    </row>
    <row r="32" spans="2:64" x14ac:dyDescent="0.45">
      <c r="B32" t="s">
        <v>510</v>
      </c>
      <c r="C32" t="s">
        <v>95</v>
      </c>
      <c r="D32">
        <v>0</v>
      </c>
      <c r="E32">
        <v>0.42357232095064418</v>
      </c>
      <c r="F32">
        <v>0.96164601433555208</v>
      </c>
      <c r="G32">
        <v>0.87073056617255851</v>
      </c>
      <c r="H32">
        <v>0.25202887912691085</v>
      </c>
      <c r="I32">
        <v>0.71944443993720208</v>
      </c>
      <c r="J32">
        <v>0.7924572562439901</v>
      </c>
      <c r="K32">
        <v>0.17777176952691867</v>
      </c>
      <c r="L32">
        <v>0.62690953165380869</v>
      </c>
      <c r="M32">
        <v>0.96909587921700924</v>
      </c>
      <c r="N32">
        <v>0.35484531390020851</v>
      </c>
      <c r="O32">
        <v>0.89980139391205249</v>
      </c>
      <c r="AU32" t="s">
        <v>510</v>
      </c>
      <c r="AV32">
        <v>0</v>
      </c>
      <c r="AW32">
        <v>0.15186500553473564</v>
      </c>
      <c r="AX32">
        <v>8.7368956791259984E-4</v>
      </c>
      <c r="AY32">
        <v>3.4734252850361406E-3</v>
      </c>
      <c r="AZ32">
        <v>0.33378712893175111</v>
      </c>
      <c r="BA32">
        <v>1.988507808520118E-2</v>
      </c>
      <c r="BB32">
        <v>8.0879594460703426E-3</v>
      </c>
      <c r="BC32">
        <v>0.41020296548642532</v>
      </c>
      <c r="BD32">
        <v>3.9632662070678122E-2</v>
      </c>
      <c r="BE32">
        <v>2.7412793910439439E-4</v>
      </c>
      <c r="BF32">
        <v>0.21818351063238753</v>
      </c>
      <c r="BG32">
        <v>4.2313433793573557E-3</v>
      </c>
      <c r="BI32" t="s">
        <v>510</v>
      </c>
      <c r="BJ32" t="s">
        <v>99</v>
      </c>
      <c r="BK32" t="s">
        <v>100</v>
      </c>
      <c r="BL32">
        <v>0.3975333996614579</v>
      </c>
    </row>
    <row r="33" spans="2:64" x14ac:dyDescent="0.45">
      <c r="B33" t="s">
        <v>511</v>
      </c>
      <c r="C33" t="s">
        <v>95</v>
      </c>
      <c r="D33">
        <v>0</v>
      </c>
      <c r="E33">
        <v>0.43195442950173463</v>
      </c>
      <c r="F33">
        <v>0.96100583745573731</v>
      </c>
      <c r="G33">
        <v>0.86965860705738396</v>
      </c>
      <c r="H33">
        <v>0.23945718066233962</v>
      </c>
      <c r="I33">
        <v>0.70759341479428572</v>
      </c>
      <c r="J33">
        <v>0.79025828002900322</v>
      </c>
      <c r="K33">
        <v>0.18196276581946727</v>
      </c>
      <c r="L33">
        <v>0.61853320901632314</v>
      </c>
      <c r="M33">
        <v>0.96840122382079041</v>
      </c>
      <c r="N33">
        <v>0.34890332462548074</v>
      </c>
      <c r="O33">
        <v>0.9004981507261931</v>
      </c>
      <c r="AU33" t="s">
        <v>511</v>
      </c>
      <c r="AV33">
        <v>0</v>
      </c>
      <c r="AW33">
        <v>0.12691824609241734</v>
      </c>
      <c r="AX33">
        <v>7.3843246377296244E-4</v>
      </c>
      <c r="AY33">
        <v>3.2747605669792307E-3</v>
      </c>
      <c r="AZ33">
        <v>0.32674022183775492</v>
      </c>
      <c r="BA33">
        <v>2.1266131452068054E-2</v>
      </c>
      <c r="BB33">
        <v>7.9507664237909066E-3</v>
      </c>
      <c r="BC33">
        <v>0.39691100975571658</v>
      </c>
      <c r="BD33">
        <v>3.9559684624457844E-2</v>
      </c>
      <c r="BE33">
        <v>2.3577000912857168E-4</v>
      </c>
      <c r="BF33">
        <v>0.20306276077320076</v>
      </c>
      <c r="BG33">
        <v>4.158304737477081E-3</v>
      </c>
      <c r="BI33" t="s">
        <v>511</v>
      </c>
      <c r="BJ33" t="s">
        <v>99</v>
      </c>
      <c r="BK33" t="s">
        <v>100</v>
      </c>
      <c r="BL33">
        <v>0.38699824734164012</v>
      </c>
    </row>
    <row r="34" spans="2:64" x14ac:dyDescent="0.45">
      <c r="B34" t="s">
        <v>512</v>
      </c>
      <c r="C34" t="s">
        <v>95</v>
      </c>
      <c r="D34">
        <v>0.24531411640859677</v>
      </c>
      <c r="E34">
        <v>0.25618518312797728</v>
      </c>
      <c r="F34">
        <v>0.24263702200567394</v>
      </c>
      <c r="G34">
        <v>0.29549563707461723</v>
      </c>
      <c r="H34">
        <v>0.28746470080834474</v>
      </c>
      <c r="I34">
        <v>0.25601627326515231</v>
      </c>
      <c r="J34">
        <v>0.33097908964890815</v>
      </c>
      <c r="K34">
        <v>0.31961476713982684</v>
      </c>
      <c r="L34">
        <v>0.31031314225823692</v>
      </c>
      <c r="M34">
        <v>0.25337521715060796</v>
      </c>
      <c r="N34">
        <v>0.25702091059923204</v>
      </c>
      <c r="O34">
        <v>0.24277883709628625</v>
      </c>
      <c r="AU34" t="s">
        <v>512</v>
      </c>
      <c r="AV34">
        <v>0.65393326166524124</v>
      </c>
      <c r="AW34">
        <v>0.65197252441721198</v>
      </c>
      <c r="AX34">
        <v>0.65895955896528213</v>
      </c>
      <c r="AY34">
        <v>0.57295411604303459</v>
      </c>
      <c r="AZ34">
        <v>0.57721018368761479</v>
      </c>
      <c r="BA34">
        <v>0.61191971762549324</v>
      </c>
      <c r="BB34">
        <v>0.43204857675483238</v>
      </c>
      <c r="BC34">
        <v>0.44714896464386766</v>
      </c>
      <c r="BD34">
        <v>0.42946110696242729</v>
      </c>
      <c r="BE34">
        <v>0.63143193573304923</v>
      </c>
      <c r="BF34">
        <v>0.62599915169629827</v>
      </c>
      <c r="BG34">
        <v>0.64641080062303213</v>
      </c>
      <c r="BI34" t="s">
        <v>513</v>
      </c>
      <c r="BJ34" t="s">
        <v>99</v>
      </c>
      <c r="BK34" t="s">
        <v>100</v>
      </c>
      <c r="BL34">
        <v>0.1709649807983491</v>
      </c>
    </row>
    <row r="35" spans="2:64" x14ac:dyDescent="0.45">
      <c r="B35" t="s">
        <v>514</v>
      </c>
      <c r="C35" t="s">
        <v>95</v>
      </c>
      <c r="D35">
        <v>0.24153540043608809</v>
      </c>
      <c r="E35">
        <v>0.25243780924771753</v>
      </c>
      <c r="F35">
        <v>0.2456745153605836</v>
      </c>
      <c r="G35">
        <v>0.29585253273522266</v>
      </c>
      <c r="H35">
        <v>0.29143397484317363</v>
      </c>
      <c r="I35">
        <v>0.26864757104111986</v>
      </c>
      <c r="J35">
        <v>0.32825663400366778</v>
      </c>
      <c r="K35">
        <v>0.32211045630767532</v>
      </c>
      <c r="L35">
        <v>0.30302650739085374</v>
      </c>
      <c r="M35">
        <v>0.24976357048460732</v>
      </c>
      <c r="N35">
        <v>0.25641559179085821</v>
      </c>
      <c r="O35">
        <v>0.23676032658317708</v>
      </c>
      <c r="AU35" t="s">
        <v>514</v>
      </c>
      <c r="AV35">
        <v>0.65275754919948159</v>
      </c>
      <c r="AW35">
        <v>0.65024719140129295</v>
      </c>
      <c r="AX35">
        <v>0.65853862783914963</v>
      </c>
      <c r="AY35">
        <v>0.56430971674364494</v>
      </c>
      <c r="AZ35">
        <v>0.55204366821429174</v>
      </c>
      <c r="BA35">
        <v>0.58399042608809859</v>
      </c>
      <c r="BB35">
        <v>0.42742137671625591</v>
      </c>
      <c r="BC35">
        <v>0.45509779928659227</v>
      </c>
      <c r="BD35">
        <v>0.45315307274896544</v>
      </c>
      <c r="BE35">
        <v>0.63428727970489596</v>
      </c>
      <c r="BF35">
        <v>0.61721579574505203</v>
      </c>
      <c r="BG35">
        <v>0.64180578467921334</v>
      </c>
      <c r="BI35" t="s">
        <v>515</v>
      </c>
      <c r="BJ35" t="s">
        <v>99</v>
      </c>
      <c r="BK35" t="s">
        <v>100</v>
      </c>
      <c r="BL35">
        <v>0.18321076815983517</v>
      </c>
    </row>
    <row r="36" spans="2:64" x14ac:dyDescent="0.45">
      <c r="B36" t="s">
        <v>516</v>
      </c>
      <c r="C36" t="s">
        <v>95</v>
      </c>
      <c r="D36">
        <v>0.24061557641599113</v>
      </c>
      <c r="E36">
        <v>0.24393519860746452</v>
      </c>
      <c r="F36">
        <v>0.24671004681973258</v>
      </c>
      <c r="G36">
        <v>0.29696321237517043</v>
      </c>
      <c r="H36">
        <v>0.30487983657329409</v>
      </c>
      <c r="I36">
        <v>0.28936098866706889</v>
      </c>
      <c r="J36">
        <v>0.34244897940517266</v>
      </c>
      <c r="K36">
        <v>0.33177432434523735</v>
      </c>
      <c r="L36">
        <v>0.30022656691845351</v>
      </c>
      <c r="M36">
        <v>0.25536513185468579</v>
      </c>
      <c r="N36">
        <v>0.28080431544567191</v>
      </c>
      <c r="O36">
        <v>0.24909720392484033</v>
      </c>
      <c r="AU36" t="s">
        <v>516</v>
      </c>
      <c r="AV36">
        <v>0.63532648323555951</v>
      </c>
      <c r="AW36">
        <v>0.6389855750842427</v>
      </c>
      <c r="AX36">
        <v>0.64471691956890265</v>
      </c>
      <c r="AY36">
        <v>0.53540361623052024</v>
      </c>
      <c r="AZ36">
        <v>0.50551778070296438</v>
      </c>
      <c r="BA36">
        <v>0.53763174041578876</v>
      </c>
      <c r="BB36">
        <v>0.41926637438953962</v>
      </c>
      <c r="BC36">
        <v>0.43564149552412335</v>
      </c>
      <c r="BD36">
        <v>0.44088084973990077</v>
      </c>
      <c r="BE36">
        <v>0.60360153838045705</v>
      </c>
      <c r="BF36">
        <v>0.57431435838786415</v>
      </c>
      <c r="BG36">
        <v>0.600228086758816</v>
      </c>
      <c r="BI36" t="s">
        <v>517</v>
      </c>
      <c r="BJ36" t="s">
        <v>99</v>
      </c>
      <c r="BK36" t="s">
        <v>100</v>
      </c>
      <c r="BL36">
        <v>0.23497171580477824</v>
      </c>
    </row>
    <row r="37" spans="2:64" x14ac:dyDescent="0.45">
      <c r="B37" t="s">
        <v>518</v>
      </c>
      <c r="C37" t="s">
        <v>95</v>
      </c>
      <c r="D37">
        <v>0.2444300061765777</v>
      </c>
      <c r="E37">
        <v>0.26328351421132884</v>
      </c>
      <c r="F37">
        <v>0.25108531267238293</v>
      </c>
      <c r="G37">
        <v>0.29474498866474697</v>
      </c>
      <c r="H37">
        <v>0.29379851109885347</v>
      </c>
      <c r="I37">
        <v>0.29898721014235635</v>
      </c>
      <c r="J37">
        <v>0.32526927491586127</v>
      </c>
      <c r="K37">
        <v>0.32691068805431023</v>
      </c>
      <c r="L37">
        <v>0.31292365893855895</v>
      </c>
      <c r="M37">
        <v>0.24987068085495973</v>
      </c>
      <c r="N37">
        <v>0.27533743312031189</v>
      </c>
      <c r="O37">
        <v>0.24652217088925008</v>
      </c>
      <c r="AU37" t="s">
        <v>518</v>
      </c>
      <c r="AV37">
        <v>0.63356243122798794</v>
      </c>
      <c r="AW37">
        <v>0.62853570291418626</v>
      </c>
      <c r="AX37">
        <v>0.63284741848629511</v>
      </c>
      <c r="AY37">
        <v>0.5379208575035157</v>
      </c>
      <c r="AZ37">
        <v>0.51109223138469784</v>
      </c>
      <c r="BA37">
        <v>0.55067199209965567</v>
      </c>
      <c r="BB37">
        <v>0.40395264441433754</v>
      </c>
      <c r="BC37">
        <v>0.41243023807319912</v>
      </c>
      <c r="BD37">
        <v>0.41578783838382283</v>
      </c>
      <c r="BE37">
        <v>0.60263210637045284</v>
      </c>
      <c r="BF37">
        <v>0.58331751410952004</v>
      </c>
      <c r="BG37">
        <v>0.60370944723848419</v>
      </c>
      <c r="BI37" t="s">
        <v>519</v>
      </c>
      <c r="BJ37" t="s">
        <v>99</v>
      </c>
      <c r="BK37" t="s">
        <v>100</v>
      </c>
      <c r="BL37">
        <v>0.24761437799622515</v>
      </c>
    </row>
    <row r="38" spans="2:64" x14ac:dyDescent="0.45">
      <c r="B38" t="s">
        <v>520</v>
      </c>
      <c r="C38" t="s">
        <v>95</v>
      </c>
      <c r="D38">
        <v>0.25529227952082034</v>
      </c>
      <c r="E38">
        <v>0.27375877741776949</v>
      </c>
      <c r="F38">
        <v>0.26748652705293419</v>
      </c>
      <c r="G38">
        <v>0.31054026026155079</v>
      </c>
      <c r="H38">
        <v>0.3231716759042943</v>
      </c>
      <c r="I38">
        <v>0.32619146144352817</v>
      </c>
      <c r="J38">
        <v>0.35595043209852745</v>
      </c>
      <c r="K38">
        <v>0.36263432897714509</v>
      </c>
      <c r="L38">
        <v>0.3250869411925551</v>
      </c>
      <c r="M38">
        <v>0.26416118893896001</v>
      </c>
      <c r="N38">
        <v>0.30357472849833711</v>
      </c>
      <c r="O38">
        <v>0.28534724295944375</v>
      </c>
      <c r="AU38" t="s">
        <v>520</v>
      </c>
      <c r="AV38">
        <v>0.55914598378778224</v>
      </c>
      <c r="AW38">
        <v>0.55917806079604659</v>
      </c>
      <c r="AX38">
        <v>0.56254848028763693</v>
      </c>
      <c r="AY38">
        <v>0.44774890970804504</v>
      </c>
      <c r="AZ38">
        <v>0.41289140023144444</v>
      </c>
      <c r="BA38">
        <v>0.4433746824855076</v>
      </c>
      <c r="BB38">
        <v>0.33252181594337071</v>
      </c>
      <c r="BC38">
        <v>0.32918243738894348</v>
      </c>
      <c r="BD38">
        <v>0.34237774108420205</v>
      </c>
      <c r="BE38">
        <v>0.50188678555481925</v>
      </c>
      <c r="BF38">
        <v>0.48480889018342116</v>
      </c>
      <c r="BG38">
        <v>0.49086073586630086</v>
      </c>
      <c r="BI38" t="s">
        <v>521</v>
      </c>
      <c r="BJ38" t="s">
        <v>99</v>
      </c>
      <c r="BK38" t="s">
        <v>100</v>
      </c>
      <c r="BL38">
        <v>0.20677099903177965</v>
      </c>
    </row>
    <row r="39" spans="2:64" x14ac:dyDescent="0.45">
      <c r="B39" t="s">
        <v>522</v>
      </c>
      <c r="C39" t="s">
        <v>95</v>
      </c>
      <c r="D39">
        <v>0.28094419180885893</v>
      </c>
      <c r="E39">
        <v>0.2568937679421251</v>
      </c>
      <c r="F39">
        <v>0.2536902664309163</v>
      </c>
      <c r="G39">
        <v>0.28736982801924166</v>
      </c>
      <c r="H39">
        <v>0.31385480108765068</v>
      </c>
      <c r="I39">
        <v>0.28008146305309906</v>
      </c>
      <c r="J39">
        <v>0.35628435412959963</v>
      </c>
      <c r="K39">
        <v>0.39522973283023771</v>
      </c>
      <c r="L39">
        <v>0.32896174638239362</v>
      </c>
      <c r="M39">
        <v>0.2842970188989748</v>
      </c>
      <c r="N39">
        <v>0.31440767335328001</v>
      </c>
      <c r="O39">
        <v>0.26880101850971799</v>
      </c>
      <c r="AU39" t="s">
        <v>522</v>
      </c>
      <c r="AV39">
        <v>0.55713105762739024</v>
      </c>
      <c r="AW39">
        <v>0.58198482037447252</v>
      </c>
      <c r="AX39">
        <v>0.59961997580644089</v>
      </c>
      <c r="AY39">
        <v>0.49334688614755889</v>
      </c>
      <c r="AZ39">
        <v>0.47396354402182217</v>
      </c>
      <c r="BA39">
        <v>0.53029889830015908</v>
      </c>
      <c r="BB39">
        <v>0.34632492660342268</v>
      </c>
      <c r="BC39">
        <v>0.32088412870081079</v>
      </c>
      <c r="BD39">
        <v>0.38275129115269135</v>
      </c>
      <c r="BE39">
        <v>0.49770318656009671</v>
      </c>
      <c r="BF39">
        <v>0.50350385881176196</v>
      </c>
      <c r="BG39">
        <v>0.5383203818722746</v>
      </c>
      <c r="BI39" t="s">
        <v>523</v>
      </c>
      <c r="BJ39" t="s">
        <v>99</v>
      </c>
      <c r="BK39" t="s">
        <v>100</v>
      </c>
      <c r="BL39">
        <v>0.12225824287704229</v>
      </c>
    </row>
    <row r="40" spans="2:64" x14ac:dyDescent="0.45">
      <c r="B40" t="s">
        <v>524</v>
      </c>
      <c r="C40" t="s">
        <v>95</v>
      </c>
      <c r="D40">
        <v>0.37294582376577973</v>
      </c>
      <c r="E40">
        <v>0.36644330667404085</v>
      </c>
      <c r="F40">
        <v>0.35310226512458581</v>
      </c>
      <c r="G40">
        <v>0.31025083921703395</v>
      </c>
      <c r="H40">
        <v>0.36106744406866842</v>
      </c>
      <c r="I40">
        <v>0.30740508743844386</v>
      </c>
      <c r="J40">
        <v>0.35407262114424304</v>
      </c>
      <c r="K40">
        <v>0.42782712212904483</v>
      </c>
      <c r="L40">
        <v>0.34484016879180152</v>
      </c>
      <c r="M40">
        <v>0.30625762802192685</v>
      </c>
      <c r="N40">
        <v>0.35661985484125863</v>
      </c>
      <c r="O40">
        <v>0.33483523219908934</v>
      </c>
      <c r="AU40" t="s">
        <v>524</v>
      </c>
      <c r="AV40">
        <v>0.34999620289794015</v>
      </c>
      <c r="AW40">
        <v>0.35437350195987771</v>
      </c>
      <c r="AX40">
        <v>0.36305597416487417</v>
      </c>
      <c r="AY40">
        <v>0.26585422542041709</v>
      </c>
      <c r="AZ40">
        <v>0.22122302560841806</v>
      </c>
      <c r="BA40">
        <v>0.28013090176028671</v>
      </c>
      <c r="BB40">
        <v>0.18662566982880968</v>
      </c>
      <c r="BC40">
        <v>0.17800404952305024</v>
      </c>
      <c r="BD40">
        <v>0.18107555908922013</v>
      </c>
      <c r="BE40">
        <v>0.30685350277885198</v>
      </c>
      <c r="BF40">
        <v>0.30601943725845421</v>
      </c>
      <c r="BG40">
        <v>0.33878580043936701</v>
      </c>
      <c r="BI40" t="s">
        <v>525</v>
      </c>
      <c r="BJ40" t="s">
        <v>99</v>
      </c>
      <c r="BK40" t="s">
        <v>100</v>
      </c>
      <c r="BL40">
        <v>0.23097818460688693</v>
      </c>
    </row>
    <row r="41" spans="2:64" x14ac:dyDescent="0.45">
      <c r="B41" t="s">
        <v>526</v>
      </c>
      <c r="C41" t="s">
        <v>95</v>
      </c>
      <c r="D41">
        <v>0.31989473340165792</v>
      </c>
      <c r="E41">
        <v>0.32721148025375946</v>
      </c>
      <c r="F41">
        <v>0.32685114922352282</v>
      </c>
      <c r="G41">
        <v>0.34332898968771275</v>
      </c>
      <c r="H41">
        <v>0.37934098657462456</v>
      </c>
      <c r="I41">
        <v>0.34887266221430357</v>
      </c>
      <c r="J41">
        <v>0.36201658870842029</v>
      </c>
      <c r="K41">
        <v>0.41155720648831035</v>
      </c>
      <c r="L41">
        <v>0.3255735469753262</v>
      </c>
      <c r="M41">
        <v>0.30099212155728122</v>
      </c>
      <c r="N41">
        <v>0.35571112821896866</v>
      </c>
      <c r="O41">
        <v>0.31905309233953272</v>
      </c>
      <c r="AU41" t="s">
        <v>526</v>
      </c>
      <c r="AV41">
        <v>0.40494857715111576</v>
      </c>
      <c r="AW41">
        <v>0.39652215225148818</v>
      </c>
      <c r="AX41">
        <v>0.40947229124038925</v>
      </c>
      <c r="AY41">
        <v>0.2907568664334646</v>
      </c>
      <c r="AZ41">
        <v>0.27668566656645993</v>
      </c>
      <c r="BA41">
        <v>0.28651954319453488</v>
      </c>
      <c r="BB41">
        <v>0.20262711550522283</v>
      </c>
      <c r="BC41">
        <v>0.20153308535712125</v>
      </c>
      <c r="BD41">
        <v>0.20686084028316726</v>
      </c>
      <c r="BE41">
        <v>0.33045120430016234</v>
      </c>
      <c r="BF41">
        <v>0.32929939432535105</v>
      </c>
      <c r="BG41">
        <v>0.33804020111591743</v>
      </c>
      <c r="BI41" t="s">
        <v>527</v>
      </c>
      <c r="BJ41" t="s">
        <v>99</v>
      </c>
      <c r="BK41" t="s">
        <v>100</v>
      </c>
      <c r="BL41">
        <v>0.29829552233091883</v>
      </c>
    </row>
    <row r="42" spans="2:64" x14ac:dyDescent="0.45">
      <c r="B42" t="s">
        <v>528</v>
      </c>
      <c r="C42" t="s">
        <v>95</v>
      </c>
      <c r="D42">
        <v>0.28657934960221532</v>
      </c>
      <c r="E42">
        <v>0.26940803460529711</v>
      </c>
      <c r="F42">
        <v>0.28811481819704943</v>
      </c>
      <c r="G42">
        <v>0.30476276213791392</v>
      </c>
      <c r="H42">
        <v>0.3552661124747219</v>
      </c>
      <c r="I42">
        <v>0.31576965760338915</v>
      </c>
      <c r="J42">
        <v>0.35084760314013907</v>
      </c>
      <c r="K42">
        <v>0.40618750754442212</v>
      </c>
      <c r="L42">
        <v>0.33993509131416544</v>
      </c>
      <c r="M42">
        <v>0.27925559742821754</v>
      </c>
      <c r="N42">
        <v>0.33059070788341316</v>
      </c>
      <c r="O42">
        <v>0.29018620888811059</v>
      </c>
      <c r="AU42" t="s">
        <v>528</v>
      </c>
      <c r="AV42">
        <v>0.50550316196016065</v>
      </c>
      <c r="AW42">
        <v>0.50297115922723035</v>
      </c>
      <c r="AX42">
        <v>0.50477942275686105</v>
      </c>
      <c r="AY42">
        <v>0.39044920827406887</v>
      </c>
      <c r="AZ42">
        <v>0.37038624884623023</v>
      </c>
      <c r="BA42">
        <v>0.39974439820237606</v>
      </c>
      <c r="BB42">
        <v>0.2811440409815445</v>
      </c>
      <c r="BC42">
        <v>0.25167130251462488</v>
      </c>
      <c r="BD42">
        <v>0.28867894702874147</v>
      </c>
      <c r="BE42">
        <v>0.43103292837193624</v>
      </c>
      <c r="BF42">
        <v>0.42674966691887012</v>
      </c>
      <c r="BG42">
        <v>0.43700774471148701</v>
      </c>
      <c r="BI42" t="s">
        <v>529</v>
      </c>
      <c r="BJ42" t="s">
        <v>99</v>
      </c>
      <c r="BK42" t="s">
        <v>100</v>
      </c>
      <c r="BL42">
        <v>0.27380960823438644</v>
      </c>
    </row>
    <row r="43" spans="2:64" x14ac:dyDescent="0.45">
      <c r="B43" t="s">
        <v>530</v>
      </c>
      <c r="C43" t="s">
        <v>95</v>
      </c>
      <c r="D43">
        <v>0.298021284922664</v>
      </c>
      <c r="E43">
        <v>0.27862127274540543</v>
      </c>
      <c r="F43">
        <v>0.29603640183648644</v>
      </c>
      <c r="G43">
        <v>0.30455036870592533</v>
      </c>
      <c r="H43">
        <v>0.35075273028678039</v>
      </c>
      <c r="I43">
        <v>0.30938943070227226</v>
      </c>
      <c r="J43">
        <v>0.35605464609719983</v>
      </c>
      <c r="K43">
        <v>0.40414850673977137</v>
      </c>
      <c r="L43">
        <v>0.33800927698029293</v>
      </c>
      <c r="M43">
        <v>0.2832653287280798</v>
      </c>
      <c r="N43">
        <v>0.336419378957242</v>
      </c>
      <c r="O43">
        <v>0.29994270346190705</v>
      </c>
      <c r="AU43" t="s">
        <v>530</v>
      </c>
      <c r="AV43">
        <v>0.5065250553015368</v>
      </c>
      <c r="AW43">
        <v>0.50826908404445559</v>
      </c>
      <c r="AX43">
        <v>0.50816642923015365</v>
      </c>
      <c r="AY43">
        <v>0.39069956137143125</v>
      </c>
      <c r="AZ43">
        <v>0.36737649543174716</v>
      </c>
      <c r="BA43">
        <v>0.40608803420403999</v>
      </c>
      <c r="BB43">
        <v>0.28770778256680246</v>
      </c>
      <c r="BC43">
        <v>0.2601210785004815</v>
      </c>
      <c r="BD43">
        <v>0.28826562205987577</v>
      </c>
      <c r="BE43">
        <v>0.44208295648168605</v>
      </c>
      <c r="BF43">
        <v>0.44137109227673699</v>
      </c>
      <c r="BG43">
        <v>0.44971325295641806</v>
      </c>
      <c r="BI43" t="s">
        <v>531</v>
      </c>
      <c r="BJ43" t="s">
        <v>99</v>
      </c>
      <c r="BK43" t="s">
        <v>100</v>
      </c>
      <c r="BL43">
        <v>0.26319815995829371</v>
      </c>
    </row>
    <row r="44" spans="2:64" x14ac:dyDescent="0.45">
      <c r="B44" t="s">
        <v>513</v>
      </c>
      <c r="C44" t="s">
        <v>95</v>
      </c>
      <c r="D44">
        <v>0.48891253501295134</v>
      </c>
      <c r="E44">
        <v>0.5049462074559522</v>
      </c>
      <c r="F44">
        <v>0.49199242766535195</v>
      </c>
      <c r="G44">
        <v>0.38348454305040541</v>
      </c>
      <c r="H44">
        <v>0.50503000887287219</v>
      </c>
      <c r="I44">
        <v>0.36790029861921208</v>
      </c>
      <c r="J44">
        <v>0.45289481212501359</v>
      </c>
      <c r="K44">
        <v>0.44043058670311064</v>
      </c>
      <c r="L44">
        <v>0.42630523430700423</v>
      </c>
      <c r="M44">
        <v>0.39636678299166578</v>
      </c>
      <c r="N44">
        <v>0.46640713378048182</v>
      </c>
      <c r="O44">
        <v>0.41428605932100981</v>
      </c>
      <c r="AU44" t="s">
        <v>513</v>
      </c>
      <c r="AV44">
        <v>0.16960526210251162</v>
      </c>
      <c r="AW44">
        <v>0.14259776941619837</v>
      </c>
      <c r="AX44">
        <v>0.17224294601360196</v>
      </c>
      <c r="AY44">
        <v>0.11228528006157627</v>
      </c>
      <c r="AZ44">
        <v>0.10715291974427114</v>
      </c>
      <c r="BA44">
        <v>0.1203689073410579</v>
      </c>
      <c r="BB44">
        <v>7.2601260673346033E-2</v>
      </c>
      <c r="BC44">
        <v>6.4120995507046252E-2</v>
      </c>
      <c r="BD44">
        <v>8.8728006574059104E-2</v>
      </c>
      <c r="BE44">
        <v>0.12707944092377002</v>
      </c>
      <c r="BF44">
        <v>0.10126694845033844</v>
      </c>
      <c r="BG44">
        <v>0.11517970769569381</v>
      </c>
      <c r="BI44" t="s">
        <v>532</v>
      </c>
      <c r="BJ44" t="s">
        <v>99</v>
      </c>
      <c r="BK44" t="s">
        <v>100</v>
      </c>
      <c r="BL44">
        <v>0.34809320545059724</v>
      </c>
    </row>
    <row r="45" spans="2:64" x14ac:dyDescent="0.45">
      <c r="B45" t="s">
        <v>515</v>
      </c>
      <c r="C45" t="s">
        <v>95</v>
      </c>
      <c r="D45">
        <v>0.44793741575588575</v>
      </c>
      <c r="E45">
        <v>0.50757444439066646</v>
      </c>
      <c r="F45">
        <v>0.4424382942926175</v>
      </c>
      <c r="G45">
        <v>0.40176149790008409</v>
      </c>
      <c r="H45">
        <v>0.47004429392098585</v>
      </c>
      <c r="I45">
        <v>0.37952401914388212</v>
      </c>
      <c r="J45">
        <v>0.44123407977306855</v>
      </c>
      <c r="K45">
        <v>0.43022422976068803</v>
      </c>
      <c r="L45">
        <v>0.34038307602335216</v>
      </c>
      <c r="M45">
        <v>0.35433497383358126</v>
      </c>
      <c r="N45">
        <v>0.39315886625138691</v>
      </c>
      <c r="O45">
        <v>0.36490555846034661</v>
      </c>
      <c r="AU45" t="s">
        <v>515</v>
      </c>
      <c r="AV45">
        <v>0.18667937592436382</v>
      </c>
      <c r="AW45">
        <v>0.16351488731925953</v>
      </c>
      <c r="AX45">
        <v>0.1850078533844515</v>
      </c>
      <c r="AY45">
        <v>0.13484749259988155</v>
      </c>
      <c r="AZ45">
        <v>0.13348469639932226</v>
      </c>
      <c r="BA45">
        <v>0.14762952133329782</v>
      </c>
      <c r="BB45">
        <v>8.101412480917454E-2</v>
      </c>
      <c r="BC45">
        <v>6.5729633143999253E-2</v>
      </c>
      <c r="BD45">
        <v>9.5277455514448037E-2</v>
      </c>
      <c r="BE45">
        <v>0.1615461423983236</v>
      </c>
      <c r="BF45">
        <v>0.14753910369243084</v>
      </c>
      <c r="BG45">
        <v>0.15309071157317103</v>
      </c>
      <c r="BI45" t="s">
        <v>533</v>
      </c>
      <c r="BJ45" t="s">
        <v>99</v>
      </c>
      <c r="BK45" t="s">
        <v>100</v>
      </c>
      <c r="BL45">
        <v>0.30100363610105935</v>
      </c>
    </row>
    <row r="46" spans="2:64" x14ac:dyDescent="0.45">
      <c r="B46" t="s">
        <v>517</v>
      </c>
      <c r="C46" t="s">
        <v>95</v>
      </c>
      <c r="D46">
        <v>0.40678887618188553</v>
      </c>
      <c r="E46">
        <v>0.45258616960444237</v>
      </c>
      <c r="F46">
        <v>0.39511217269704069</v>
      </c>
      <c r="G46">
        <v>0.3437073398860363</v>
      </c>
      <c r="H46">
        <v>0.46640153909036736</v>
      </c>
      <c r="I46">
        <v>0.34385666860028513</v>
      </c>
      <c r="J46">
        <v>0.3385110274964136</v>
      </c>
      <c r="K46">
        <v>0.41950128780245211</v>
      </c>
      <c r="L46">
        <v>0.34043694530203217</v>
      </c>
      <c r="M46">
        <v>0.30547629809622528</v>
      </c>
      <c r="N46">
        <v>0.42626050195935122</v>
      </c>
      <c r="O46">
        <v>0.35635164861703306</v>
      </c>
      <c r="AU46" t="s">
        <v>517</v>
      </c>
      <c r="AV46">
        <v>0.23593992939902206</v>
      </c>
      <c r="AW46">
        <v>0.18979668533937652</v>
      </c>
      <c r="AX46">
        <v>0.23781086848138322</v>
      </c>
      <c r="AY46">
        <v>0.17151500876037179</v>
      </c>
      <c r="AZ46">
        <v>0.13503778753534854</v>
      </c>
      <c r="BA46">
        <v>0.17437470910805897</v>
      </c>
      <c r="BB46">
        <v>0.114488959110395</v>
      </c>
      <c r="BC46">
        <v>6.8878179124982356E-2</v>
      </c>
      <c r="BD46">
        <v>0.11923274956700847</v>
      </c>
      <c r="BE46">
        <v>0.20310887614334552</v>
      </c>
      <c r="BF46">
        <v>0.1549053411848956</v>
      </c>
      <c r="BG46">
        <v>0.19392023269458633</v>
      </c>
      <c r="BI46" t="s">
        <v>534</v>
      </c>
      <c r="BJ46" t="s">
        <v>99</v>
      </c>
      <c r="BK46" t="s">
        <v>100</v>
      </c>
      <c r="BL46">
        <v>0.31463222728991697</v>
      </c>
    </row>
    <row r="47" spans="2:64" x14ac:dyDescent="0.45">
      <c r="B47" t="s">
        <v>519</v>
      </c>
      <c r="C47" t="s">
        <v>95</v>
      </c>
      <c r="D47">
        <v>0.38288105803576439</v>
      </c>
      <c r="E47">
        <v>0.41207081984523247</v>
      </c>
      <c r="F47">
        <v>0.36912670767653583</v>
      </c>
      <c r="G47">
        <v>0.34180173097993516</v>
      </c>
      <c r="H47">
        <v>0.41607501106591305</v>
      </c>
      <c r="I47">
        <v>0.34225254413367689</v>
      </c>
      <c r="J47">
        <v>0.34800794051421274</v>
      </c>
      <c r="K47">
        <v>0.40242117686315104</v>
      </c>
      <c r="L47">
        <v>0.31836801049623215</v>
      </c>
      <c r="M47">
        <v>0.30298514076029687</v>
      </c>
      <c r="N47">
        <v>0.39199923103429207</v>
      </c>
      <c r="O47">
        <v>0.33752653060375459</v>
      </c>
      <c r="AU47" t="s">
        <v>519</v>
      </c>
      <c r="AV47">
        <v>0.25248312209463691</v>
      </c>
      <c r="AW47">
        <v>0.2248209945969635</v>
      </c>
      <c r="AX47">
        <v>0.25368710952944307</v>
      </c>
      <c r="AY47">
        <v>0.18095774016534752</v>
      </c>
      <c r="AZ47">
        <v>0.16182917980524472</v>
      </c>
      <c r="BA47">
        <v>0.19244244886383466</v>
      </c>
      <c r="BB47">
        <v>0.11171973833388371</v>
      </c>
      <c r="BC47">
        <v>8.1205689092922126E-2</v>
      </c>
      <c r="BD47">
        <v>0.12220295916289353</v>
      </c>
      <c r="BE47">
        <v>0.22624418479430458</v>
      </c>
      <c r="BF47">
        <v>0.19843774677843132</v>
      </c>
      <c r="BG47">
        <v>0.21841884245258145</v>
      </c>
      <c r="BI47" t="s">
        <v>535</v>
      </c>
      <c r="BJ47" t="s">
        <v>99</v>
      </c>
      <c r="BK47" t="s">
        <v>100</v>
      </c>
      <c r="BL47">
        <v>0.37583125714055693</v>
      </c>
    </row>
    <row r="48" spans="2:64" x14ac:dyDescent="0.45">
      <c r="B48" t="s">
        <v>521</v>
      </c>
      <c r="C48" t="s">
        <v>95</v>
      </c>
      <c r="D48">
        <v>0.41912061378774157</v>
      </c>
      <c r="E48">
        <v>0.44655521132866111</v>
      </c>
      <c r="F48">
        <v>0.41638138822958365</v>
      </c>
      <c r="G48">
        <v>0.37913497693658021</v>
      </c>
      <c r="H48">
        <v>0.44254873318576493</v>
      </c>
      <c r="I48">
        <v>0.36187604837042747</v>
      </c>
      <c r="J48">
        <v>0.36369631641176869</v>
      </c>
      <c r="K48">
        <v>0.42202289965624945</v>
      </c>
      <c r="L48">
        <v>0.34881174823859057</v>
      </c>
      <c r="M48">
        <v>0.42889751522501324</v>
      </c>
      <c r="N48">
        <v>0.46928592945738568</v>
      </c>
      <c r="O48">
        <v>0.40289984122240874</v>
      </c>
      <c r="AU48" t="s">
        <v>521</v>
      </c>
      <c r="AV48">
        <v>0.19798501974115423</v>
      </c>
      <c r="AW48">
        <v>0.18537677384599091</v>
      </c>
      <c r="AX48">
        <v>0.21195971919173501</v>
      </c>
      <c r="AY48">
        <v>0.13703519060341898</v>
      </c>
      <c r="AZ48">
        <v>0.12295050503412749</v>
      </c>
      <c r="BA48">
        <v>0.13895445072973744</v>
      </c>
      <c r="BB48">
        <v>8.0815175992996952E-2</v>
      </c>
      <c r="BC48">
        <v>7.0294647704551988E-2</v>
      </c>
      <c r="BD48">
        <v>9.6625678318623176E-2</v>
      </c>
      <c r="BE48">
        <v>0.19266397662265269</v>
      </c>
      <c r="BF48">
        <v>0.16685814221186937</v>
      </c>
      <c r="BG48">
        <v>0.18423180477967691</v>
      </c>
      <c r="BI48" t="s">
        <v>536</v>
      </c>
      <c r="BJ48" t="s">
        <v>99</v>
      </c>
      <c r="BK48" t="s">
        <v>100</v>
      </c>
      <c r="BL48">
        <v>0.42103516265761459</v>
      </c>
    </row>
    <row r="49" spans="2:64" x14ac:dyDescent="0.45">
      <c r="B49" t="s">
        <v>523</v>
      </c>
      <c r="C49" t="s">
        <v>95</v>
      </c>
      <c r="D49">
        <v>0.48772772675171056</v>
      </c>
      <c r="E49">
        <v>0.50971872244718719</v>
      </c>
      <c r="F49">
        <v>0.50058191188500789</v>
      </c>
      <c r="G49">
        <v>0.41285967010969321</v>
      </c>
      <c r="H49">
        <v>0.4732199722086739</v>
      </c>
      <c r="I49">
        <v>0.40249367119006468</v>
      </c>
      <c r="J49">
        <v>0.39528655852800754</v>
      </c>
      <c r="K49">
        <v>0.45673857384806182</v>
      </c>
      <c r="L49">
        <v>0.38829107712018446</v>
      </c>
      <c r="M49">
        <v>0.47690152246771328</v>
      </c>
      <c r="N49">
        <v>0.51649663274916857</v>
      </c>
      <c r="O49">
        <v>0.46491480569019211</v>
      </c>
      <c r="AU49" t="s">
        <v>523</v>
      </c>
      <c r="AV49">
        <v>0.10750419928342142</v>
      </c>
      <c r="AW49">
        <v>0.10136320489268694</v>
      </c>
      <c r="AX49">
        <v>0.12368916561224153</v>
      </c>
      <c r="AY49">
        <v>8.015308908126749E-2</v>
      </c>
      <c r="AZ49">
        <v>7.9409303473526011E-2</v>
      </c>
      <c r="BA49">
        <v>8.9582830582750739E-2</v>
      </c>
      <c r="BB49">
        <v>5.3907146284011179E-2</v>
      </c>
      <c r="BC49">
        <v>5.1481471481210635E-2</v>
      </c>
      <c r="BD49">
        <v>5.9702465606031062E-2</v>
      </c>
      <c r="BE49">
        <v>9.8325550295188566E-2</v>
      </c>
      <c r="BF49">
        <v>0.10220853455383391</v>
      </c>
      <c r="BG49">
        <v>0.10786045239304001</v>
      </c>
      <c r="BI49" t="s">
        <v>537</v>
      </c>
      <c r="BJ49" t="s">
        <v>99</v>
      </c>
      <c r="BK49" t="s">
        <v>100</v>
      </c>
      <c r="BL49">
        <v>0.41290720003211895</v>
      </c>
    </row>
    <row r="50" spans="2:64" x14ac:dyDescent="0.45">
      <c r="B50" t="s">
        <v>525</v>
      </c>
      <c r="C50" t="s">
        <v>95</v>
      </c>
      <c r="D50">
        <v>0.3921961318876272</v>
      </c>
      <c r="E50">
        <v>0.44253803202676634</v>
      </c>
      <c r="F50">
        <v>0.40635441732930272</v>
      </c>
      <c r="G50">
        <v>0.39617174831337726</v>
      </c>
      <c r="H50">
        <v>0.47120054110590326</v>
      </c>
      <c r="I50">
        <v>0.37479286789872285</v>
      </c>
      <c r="J50">
        <v>0.34001345917938303</v>
      </c>
      <c r="K50">
        <v>0.44149212024366435</v>
      </c>
      <c r="L50">
        <v>0.35233013853824541</v>
      </c>
      <c r="M50">
        <v>0.39461400790298823</v>
      </c>
      <c r="N50">
        <v>0.47287231352157555</v>
      </c>
      <c r="O50">
        <v>0.38647550615944909</v>
      </c>
      <c r="AU50" t="s">
        <v>525</v>
      </c>
      <c r="AV50">
        <v>0.22460432773561184</v>
      </c>
      <c r="AW50">
        <v>0.18921706727632651</v>
      </c>
      <c r="AX50">
        <v>0.23425530070139383</v>
      </c>
      <c r="AY50">
        <v>0.17228983891700994</v>
      </c>
      <c r="AZ50">
        <v>0.13959828343101927</v>
      </c>
      <c r="BA50">
        <v>0.16973971696457912</v>
      </c>
      <c r="BB50">
        <v>0.11097575255075877</v>
      </c>
      <c r="BC50">
        <v>8.6914322407056238E-2</v>
      </c>
      <c r="BD50">
        <v>0.11742459867651912</v>
      </c>
      <c r="BE50">
        <v>0.19373030935019456</v>
      </c>
      <c r="BF50">
        <v>0.16019647571850254</v>
      </c>
      <c r="BG50">
        <v>0.20380817434598039</v>
      </c>
      <c r="BI50" t="s">
        <v>538</v>
      </c>
      <c r="BJ50" t="s">
        <v>99</v>
      </c>
      <c r="BK50" t="s">
        <v>100</v>
      </c>
      <c r="BL50">
        <v>0.52052178851292463</v>
      </c>
    </row>
    <row r="51" spans="2:64" x14ac:dyDescent="0.45">
      <c r="B51" t="s">
        <v>527</v>
      </c>
      <c r="C51" t="s">
        <v>95</v>
      </c>
      <c r="D51">
        <v>0.37105040210820983</v>
      </c>
      <c r="E51">
        <v>0.38604591623639778</v>
      </c>
      <c r="F51">
        <v>0.34513220899628544</v>
      </c>
      <c r="G51">
        <v>0.31826342876059188</v>
      </c>
      <c r="H51">
        <v>0.39209197493687703</v>
      </c>
      <c r="I51">
        <v>0.31058020216771437</v>
      </c>
      <c r="J51">
        <v>0.34482134479733556</v>
      </c>
      <c r="K51">
        <v>0.40987338595841172</v>
      </c>
      <c r="L51">
        <v>0.32495673831736616</v>
      </c>
      <c r="M51">
        <v>0.36139947908703463</v>
      </c>
      <c r="N51">
        <v>0.40604257737295774</v>
      </c>
      <c r="O51">
        <v>0.349981651817168</v>
      </c>
      <c r="AU51" t="s">
        <v>527</v>
      </c>
      <c r="AV51">
        <v>0.30166510321413598</v>
      </c>
      <c r="AW51">
        <v>0.26858952807931935</v>
      </c>
      <c r="AX51">
        <v>0.30339943467768343</v>
      </c>
      <c r="AY51">
        <v>0.22989317083604879</v>
      </c>
      <c r="AZ51">
        <v>0.2045658695866279</v>
      </c>
      <c r="BA51">
        <v>0.2246016142227269</v>
      </c>
      <c r="BB51">
        <v>0.15403387130782353</v>
      </c>
      <c r="BC51">
        <v>0.11453415544202968</v>
      </c>
      <c r="BD51">
        <v>0.15094240844471726</v>
      </c>
      <c r="BE51">
        <v>0.27320890273819703</v>
      </c>
      <c r="BF51">
        <v>0.23447228541579779</v>
      </c>
      <c r="BG51">
        <v>0.27511563313835175</v>
      </c>
      <c r="BI51" t="s">
        <v>539</v>
      </c>
      <c r="BJ51" t="s">
        <v>99</v>
      </c>
      <c r="BK51" t="s">
        <v>100</v>
      </c>
      <c r="BL51">
        <v>0.58209980728590982</v>
      </c>
    </row>
    <row r="52" spans="2:64" x14ac:dyDescent="0.45">
      <c r="B52" t="s">
        <v>529</v>
      </c>
      <c r="C52" t="s">
        <v>95</v>
      </c>
      <c r="D52">
        <v>0.37746704355970129</v>
      </c>
      <c r="E52">
        <v>0.38389516505686655</v>
      </c>
      <c r="F52">
        <v>0.35093814594712236</v>
      </c>
      <c r="G52">
        <v>0.34023972692194748</v>
      </c>
      <c r="H52">
        <v>0.40298830004723046</v>
      </c>
      <c r="I52">
        <v>0.348657304608742</v>
      </c>
      <c r="J52">
        <v>0.33395329630959958</v>
      </c>
      <c r="K52">
        <v>0.41574298773571</v>
      </c>
      <c r="L52">
        <v>0.34368293697212987</v>
      </c>
      <c r="M52">
        <v>0.34896212704495655</v>
      </c>
      <c r="N52">
        <v>0.42423767504968357</v>
      </c>
      <c r="O52">
        <v>0.36721546905329894</v>
      </c>
      <c r="AU52" t="s">
        <v>529</v>
      </c>
      <c r="AV52">
        <v>0.2715374355198899</v>
      </c>
      <c r="AW52">
        <v>0.25027228094596404</v>
      </c>
      <c r="AX52">
        <v>0.27788240497901384</v>
      </c>
      <c r="AY52">
        <v>0.19203636377742928</v>
      </c>
      <c r="AZ52">
        <v>0.17585324427798726</v>
      </c>
      <c r="BA52">
        <v>0.20343467570077228</v>
      </c>
      <c r="BB52">
        <v>0.12204267787790585</v>
      </c>
      <c r="BC52">
        <v>9.1863580131561234E-2</v>
      </c>
      <c r="BD52">
        <v>0.12893291694811643</v>
      </c>
      <c r="BE52">
        <v>0.24988445968243084</v>
      </c>
      <c r="BF52">
        <v>0.20731271927536749</v>
      </c>
      <c r="BG52">
        <v>0.24073854821341856</v>
      </c>
      <c r="BI52" t="s">
        <v>540</v>
      </c>
      <c r="BJ52" t="s">
        <v>99</v>
      </c>
      <c r="BK52" t="s">
        <v>100</v>
      </c>
      <c r="BL52">
        <v>0.48558890137670802</v>
      </c>
    </row>
    <row r="53" spans="2:64" x14ac:dyDescent="0.45">
      <c r="B53" t="s">
        <v>531</v>
      </c>
      <c r="C53" t="s">
        <v>95</v>
      </c>
      <c r="D53">
        <v>0.37869218918094655</v>
      </c>
      <c r="E53">
        <v>0.41220571753881491</v>
      </c>
      <c r="F53">
        <v>0.37259364889458146</v>
      </c>
      <c r="G53">
        <v>0.35885077328211351</v>
      </c>
      <c r="H53">
        <v>0.44480658164767051</v>
      </c>
      <c r="I53">
        <v>0.35268668457178975</v>
      </c>
      <c r="J53">
        <v>0.33692184757841542</v>
      </c>
      <c r="K53">
        <v>0.42121384665376022</v>
      </c>
      <c r="L53">
        <v>0.34525189468716844</v>
      </c>
      <c r="M53">
        <v>0.34276821201222996</v>
      </c>
      <c r="N53">
        <v>0.44186665869344294</v>
      </c>
      <c r="O53">
        <v>0.37119388823023775</v>
      </c>
      <c r="AU53" t="s">
        <v>531</v>
      </c>
      <c r="AV53">
        <v>0.26467994459005689</v>
      </c>
      <c r="AW53">
        <v>0.22658063445627388</v>
      </c>
      <c r="AX53">
        <v>0.26969154693843811</v>
      </c>
      <c r="AY53">
        <v>0.18312598529747171</v>
      </c>
      <c r="AZ53">
        <v>0.14989715578013763</v>
      </c>
      <c r="BA53">
        <v>0.18329210071578506</v>
      </c>
      <c r="BB53">
        <v>0.11191736274446935</v>
      </c>
      <c r="BC53">
        <v>7.9599133035380326E-2</v>
      </c>
      <c r="BD53">
        <v>0.1222770497844702</v>
      </c>
      <c r="BE53">
        <v>0.238505948623945</v>
      </c>
      <c r="BF53">
        <v>0.18593106982341862</v>
      </c>
      <c r="BG53">
        <v>0.22253962596769969</v>
      </c>
      <c r="BI53" t="s">
        <v>541</v>
      </c>
      <c r="BJ53" t="s">
        <v>99</v>
      </c>
      <c r="BK53" t="s">
        <v>100</v>
      </c>
      <c r="BL53">
        <v>0.32630218875087375</v>
      </c>
    </row>
    <row r="54" spans="2:64" x14ac:dyDescent="0.45">
      <c r="B54" t="s">
        <v>532</v>
      </c>
      <c r="C54" t="s">
        <v>95</v>
      </c>
      <c r="D54">
        <v>0.34348745468971098</v>
      </c>
      <c r="E54">
        <v>0.35392635030223529</v>
      </c>
      <c r="F54">
        <v>0.33955314560521022</v>
      </c>
      <c r="G54">
        <v>0.32160059232866073</v>
      </c>
      <c r="H54">
        <v>0.37818968497162336</v>
      </c>
      <c r="I54">
        <v>0.3168372558143866</v>
      </c>
      <c r="J54">
        <v>0.32216540501262209</v>
      </c>
      <c r="K54">
        <v>0.42177403208725195</v>
      </c>
      <c r="L54">
        <v>0.30866177261278194</v>
      </c>
      <c r="M54">
        <v>0.30060419806125099</v>
      </c>
      <c r="N54">
        <v>0.34635448492844645</v>
      </c>
      <c r="O54">
        <v>0.32026735045263555</v>
      </c>
      <c r="AU54" t="s">
        <v>532</v>
      </c>
      <c r="AV54">
        <v>0.36133557945262695</v>
      </c>
      <c r="AW54">
        <v>0.35167526867495719</v>
      </c>
      <c r="AX54">
        <v>0.35303619464440772</v>
      </c>
      <c r="AY54">
        <v>0.21845435745986047</v>
      </c>
      <c r="AZ54">
        <v>0.20109540268902673</v>
      </c>
      <c r="BA54">
        <v>0.22217507477969278</v>
      </c>
      <c r="BB54">
        <v>0.16451062781618234</v>
      </c>
      <c r="BC54">
        <v>0.15293675401456863</v>
      </c>
      <c r="BD54">
        <v>0.16186500921485045</v>
      </c>
      <c r="BE54">
        <v>0.30493930525754986</v>
      </c>
      <c r="BF54">
        <v>0.27516019149367638</v>
      </c>
      <c r="BG54">
        <v>0.29386317098525028</v>
      </c>
      <c r="BI54" t="s">
        <v>542</v>
      </c>
      <c r="BJ54" t="s">
        <v>99</v>
      </c>
      <c r="BK54" t="s">
        <v>100</v>
      </c>
      <c r="BL54">
        <v>0.37242001937270591</v>
      </c>
    </row>
    <row r="55" spans="2:64" x14ac:dyDescent="0.45">
      <c r="B55" t="s">
        <v>533</v>
      </c>
      <c r="C55" t="s">
        <v>95</v>
      </c>
      <c r="D55">
        <v>0.36582422564960571</v>
      </c>
      <c r="E55">
        <v>0.35843282432956974</v>
      </c>
      <c r="F55">
        <v>0.34827334514569175</v>
      </c>
      <c r="G55">
        <v>0.34561128911495226</v>
      </c>
      <c r="H55">
        <v>0.37722471319025824</v>
      </c>
      <c r="I55">
        <v>0.3327000460153362</v>
      </c>
      <c r="J55">
        <v>0.35549184614094986</v>
      </c>
      <c r="K55">
        <v>0.41689265910879603</v>
      </c>
      <c r="L55">
        <v>0.3258563858204287</v>
      </c>
      <c r="M55">
        <v>0.35045211750513905</v>
      </c>
      <c r="N55">
        <v>0.39205905783468226</v>
      </c>
      <c r="O55">
        <v>0.34535338438362451</v>
      </c>
      <c r="AU55" t="s">
        <v>533</v>
      </c>
      <c r="AV55">
        <v>0.30677191725623892</v>
      </c>
      <c r="AW55">
        <v>0.29251026782833323</v>
      </c>
      <c r="AX55">
        <v>0.30398375841742581</v>
      </c>
      <c r="AY55">
        <v>0.20294305264719192</v>
      </c>
      <c r="AZ55">
        <v>0.19731210683445088</v>
      </c>
      <c r="BA55">
        <v>0.21605639328003931</v>
      </c>
      <c r="BB55">
        <v>0.13395934790675582</v>
      </c>
      <c r="BC55">
        <v>0.12602835805363191</v>
      </c>
      <c r="BD55">
        <v>0.1387139505635186</v>
      </c>
      <c r="BE55">
        <v>0.26127962448605774</v>
      </c>
      <c r="BF55">
        <v>0.23659281491611422</v>
      </c>
      <c r="BG55">
        <v>0.26075454215510124</v>
      </c>
      <c r="BI55" t="s">
        <v>543</v>
      </c>
      <c r="BJ55" t="s">
        <v>99</v>
      </c>
      <c r="BK55" t="s">
        <v>100</v>
      </c>
      <c r="BL55">
        <v>0.38768574625317836</v>
      </c>
    </row>
    <row r="56" spans="2:64" x14ac:dyDescent="0.45">
      <c r="B56" t="s">
        <v>534</v>
      </c>
      <c r="C56" t="s">
        <v>95</v>
      </c>
      <c r="D56">
        <v>0.35932150132843788</v>
      </c>
      <c r="E56">
        <v>0.37183745090607795</v>
      </c>
      <c r="F56">
        <v>0.34720690017494754</v>
      </c>
      <c r="G56">
        <v>0.33650547671686321</v>
      </c>
      <c r="H56">
        <v>0.37040493831723859</v>
      </c>
      <c r="I56">
        <v>0.32510126033129572</v>
      </c>
      <c r="J56">
        <v>0.34224028298627929</v>
      </c>
      <c r="K56">
        <v>0.39846997376620569</v>
      </c>
      <c r="L56">
        <v>0.30774443180999589</v>
      </c>
      <c r="M56">
        <v>0.32582813538454092</v>
      </c>
      <c r="N56">
        <v>0.36667777123456807</v>
      </c>
      <c r="O56">
        <v>0.33719235359757038</v>
      </c>
      <c r="AU56" t="s">
        <v>534</v>
      </c>
      <c r="AV56">
        <v>0.32028693104242634</v>
      </c>
      <c r="AW56">
        <v>0.31485725758215938</v>
      </c>
      <c r="AX56">
        <v>0.31927741019698297</v>
      </c>
      <c r="AY56">
        <v>0.19884674508541539</v>
      </c>
      <c r="AZ56">
        <v>0.19203486411654894</v>
      </c>
      <c r="BA56">
        <v>0.20336264449829553</v>
      </c>
      <c r="BB56">
        <v>0.12991319502664844</v>
      </c>
      <c r="BC56">
        <v>0.12355730365126359</v>
      </c>
      <c r="BD56">
        <v>0.13807618681592018</v>
      </c>
      <c r="BE56">
        <v>0.27782982790025595</v>
      </c>
      <c r="BF56">
        <v>0.2499923861968554</v>
      </c>
      <c r="BG56">
        <v>0.27035666949203224</v>
      </c>
      <c r="BI56" t="s">
        <v>512</v>
      </c>
      <c r="BJ56" t="s">
        <v>99</v>
      </c>
      <c r="BK56" t="s">
        <v>100</v>
      </c>
      <c r="BL56">
        <v>0.65263570445685914</v>
      </c>
    </row>
    <row r="57" spans="2:64" x14ac:dyDescent="0.45">
      <c r="B57" t="s">
        <v>535</v>
      </c>
      <c r="C57" t="s">
        <v>95</v>
      </c>
      <c r="D57">
        <v>0.31724431255860258</v>
      </c>
      <c r="E57">
        <v>0.34863420507297588</v>
      </c>
      <c r="F57">
        <v>0.31739036575304569</v>
      </c>
      <c r="G57">
        <v>0.33152259589202854</v>
      </c>
      <c r="H57">
        <v>0.37313458857833892</v>
      </c>
      <c r="I57">
        <v>0.31695092149594289</v>
      </c>
      <c r="J57">
        <v>0.33113454923327873</v>
      </c>
      <c r="K57">
        <v>0.40743444501008141</v>
      </c>
      <c r="L57">
        <v>0.33679986512263288</v>
      </c>
      <c r="M57">
        <v>0.3384412130713722</v>
      </c>
      <c r="N57">
        <v>0.37135181275641299</v>
      </c>
      <c r="O57">
        <v>0.32600097934711186</v>
      </c>
      <c r="AU57" t="s">
        <v>535</v>
      </c>
      <c r="AV57">
        <v>0.39140641118376795</v>
      </c>
      <c r="AW57">
        <v>0.35208067995864573</v>
      </c>
      <c r="AX57">
        <v>0.38415832369391772</v>
      </c>
      <c r="AY57">
        <v>0.2595305093865537</v>
      </c>
      <c r="AZ57">
        <v>0.23594254568105147</v>
      </c>
      <c r="BA57">
        <v>0.26488935284944432</v>
      </c>
      <c r="BB57">
        <v>0.17629079586513599</v>
      </c>
      <c r="BC57">
        <v>0.15228154326011337</v>
      </c>
      <c r="BD57">
        <v>0.17018580069920691</v>
      </c>
      <c r="BE57">
        <v>0.33089007125321157</v>
      </c>
      <c r="BF57">
        <v>0.28981391473405527</v>
      </c>
      <c r="BG57">
        <v>0.32984467051760225</v>
      </c>
      <c r="BI57" t="s">
        <v>514</v>
      </c>
      <c r="BJ57" t="s">
        <v>99</v>
      </c>
      <c r="BK57" t="s">
        <v>100</v>
      </c>
      <c r="BL57">
        <v>0.6524587976488625</v>
      </c>
    </row>
    <row r="58" spans="2:64" x14ac:dyDescent="0.45">
      <c r="B58" t="s">
        <v>536</v>
      </c>
      <c r="C58" t="s">
        <v>95</v>
      </c>
      <c r="D58">
        <v>0.29735873581400252</v>
      </c>
      <c r="E58">
        <v>0.33323965681541756</v>
      </c>
      <c r="F58">
        <v>0.30935865108575755</v>
      </c>
      <c r="G58">
        <v>0.32986970074719429</v>
      </c>
      <c r="H58">
        <v>0.37982355212898167</v>
      </c>
      <c r="I58">
        <v>0.31266211834328728</v>
      </c>
      <c r="J58">
        <v>0.31103438718852694</v>
      </c>
      <c r="K58">
        <v>0.40137148019482</v>
      </c>
      <c r="L58">
        <v>0.31011907084764417</v>
      </c>
      <c r="M58">
        <v>0.31632083284099927</v>
      </c>
      <c r="N58">
        <v>0.36124805720121522</v>
      </c>
      <c r="O58">
        <v>0.31141394179682924</v>
      </c>
      <c r="AU58" t="s">
        <v>536</v>
      </c>
      <c r="AV58">
        <v>0.42625969027616822</v>
      </c>
      <c r="AW58">
        <v>0.40085495323370229</v>
      </c>
      <c r="AX58">
        <v>0.42118593974578994</v>
      </c>
      <c r="AY58">
        <v>0.29626162602746037</v>
      </c>
      <c r="AZ58">
        <v>0.27113323137971446</v>
      </c>
      <c r="BA58">
        <v>0.29367118294371336</v>
      </c>
      <c r="BB58">
        <v>0.20718614721363734</v>
      </c>
      <c r="BC58">
        <v>0.1887822472244593</v>
      </c>
      <c r="BD58">
        <v>0.20532401303719136</v>
      </c>
      <c r="BE58">
        <v>0.3504956728013795</v>
      </c>
      <c r="BF58">
        <v>0.31902731191177186</v>
      </c>
      <c r="BG58">
        <v>0.34588647155585411</v>
      </c>
      <c r="BI58" t="s">
        <v>516</v>
      </c>
      <c r="BJ58" t="s">
        <v>99</v>
      </c>
      <c r="BK58" t="s">
        <v>100</v>
      </c>
      <c r="BL58">
        <v>0.64066066328097071</v>
      </c>
    </row>
    <row r="59" spans="2:64" x14ac:dyDescent="0.45">
      <c r="B59" t="s">
        <v>537</v>
      </c>
      <c r="C59" t="s">
        <v>95</v>
      </c>
      <c r="D59">
        <v>0.30622338336392829</v>
      </c>
      <c r="E59">
        <v>0.32166951638838737</v>
      </c>
      <c r="F59">
        <v>0.3202336031193182</v>
      </c>
      <c r="G59">
        <v>0.32818751856909828</v>
      </c>
      <c r="H59">
        <v>0.37552013668244416</v>
      </c>
      <c r="I59">
        <v>0.31776458520673856</v>
      </c>
      <c r="J59">
        <v>0.32163462322078307</v>
      </c>
      <c r="K59">
        <v>0.40396345492332947</v>
      </c>
      <c r="L59">
        <v>0.30094205044553962</v>
      </c>
      <c r="M59">
        <v>0.28617936430264546</v>
      </c>
      <c r="N59">
        <v>0.33523823358315818</v>
      </c>
      <c r="O59">
        <v>0.30902202617564523</v>
      </c>
      <c r="AU59" t="s">
        <v>537</v>
      </c>
      <c r="AV59">
        <v>0.42150797823207459</v>
      </c>
      <c r="AW59">
        <v>0.41020165788561347</v>
      </c>
      <c r="AX59">
        <v>0.41466836163682796</v>
      </c>
      <c r="AY59">
        <v>0.30154130412416258</v>
      </c>
      <c r="AZ59">
        <v>0.27778367938840209</v>
      </c>
      <c r="BA59">
        <v>0.29960338522957991</v>
      </c>
      <c r="BB59">
        <v>0.21906012459981086</v>
      </c>
      <c r="BC59">
        <v>0.20629274056402419</v>
      </c>
      <c r="BD59">
        <v>0.21416662257681385</v>
      </c>
      <c r="BE59">
        <v>0.35780116545582275</v>
      </c>
      <c r="BF59">
        <v>0.33404728936447547</v>
      </c>
      <c r="BG59">
        <v>0.35015444683879221</v>
      </c>
      <c r="BI59" t="s">
        <v>518</v>
      </c>
      <c r="BJ59" t="s">
        <v>99</v>
      </c>
      <c r="BK59" t="s">
        <v>100</v>
      </c>
      <c r="BL59">
        <v>0.62648072288061019</v>
      </c>
    </row>
    <row r="60" spans="2:64" x14ac:dyDescent="0.45">
      <c r="B60" t="s">
        <v>538</v>
      </c>
      <c r="C60" t="s">
        <v>95</v>
      </c>
      <c r="D60">
        <v>0.29235342535393699</v>
      </c>
      <c r="E60">
        <v>0.27429198565100993</v>
      </c>
      <c r="F60">
        <v>0.2744695044548765</v>
      </c>
      <c r="G60">
        <v>0.27039244865906359</v>
      </c>
      <c r="H60">
        <v>0.31083642393065192</v>
      </c>
      <c r="I60">
        <v>0.27673596636122194</v>
      </c>
      <c r="J60">
        <v>0.33750237181084863</v>
      </c>
      <c r="K60">
        <v>0.3858144706113027</v>
      </c>
      <c r="L60">
        <v>0.32320155110857468</v>
      </c>
      <c r="M60">
        <v>0.2733722314396026</v>
      </c>
      <c r="N60">
        <v>0.31887827015377235</v>
      </c>
      <c r="O60">
        <v>0.27730701147122566</v>
      </c>
      <c r="AU60" t="s">
        <v>538</v>
      </c>
      <c r="AV60">
        <v>0.50290357202360558</v>
      </c>
      <c r="AW60">
        <v>0.51649553494307088</v>
      </c>
      <c r="AX60">
        <v>0.52549235702496422</v>
      </c>
      <c r="AY60">
        <v>0.42308195160889023</v>
      </c>
      <c r="AZ60">
        <v>0.39743204788586239</v>
      </c>
      <c r="BA60">
        <v>0.44791345914736136</v>
      </c>
      <c r="BB60">
        <v>0.29845256384940944</v>
      </c>
      <c r="BC60">
        <v>0.28235225912371653</v>
      </c>
      <c r="BD60">
        <v>0.31089281165230609</v>
      </c>
      <c r="BE60">
        <v>0.44815846054712372</v>
      </c>
      <c r="BF60">
        <v>0.44976969313702536</v>
      </c>
      <c r="BG60">
        <v>0.47649542375671172</v>
      </c>
      <c r="BI60" t="s">
        <v>520</v>
      </c>
      <c r="BJ60" t="s">
        <v>99</v>
      </c>
      <c r="BK60" t="s">
        <v>100</v>
      </c>
      <c r="BL60">
        <v>0.55716255010222093</v>
      </c>
    </row>
    <row r="61" spans="2:64" x14ac:dyDescent="0.45">
      <c r="B61" t="s">
        <v>539</v>
      </c>
      <c r="C61" t="s">
        <v>95</v>
      </c>
      <c r="D61">
        <v>0.24478814895401874</v>
      </c>
      <c r="E61">
        <v>0.26602590596211451</v>
      </c>
      <c r="F61">
        <v>0.25392468175059779</v>
      </c>
      <c r="G61">
        <v>0.28659550656952659</v>
      </c>
      <c r="H61">
        <v>0.29944094319079628</v>
      </c>
      <c r="I61">
        <v>0.29920030088757704</v>
      </c>
      <c r="J61">
        <v>0.32146628630518292</v>
      </c>
      <c r="K61">
        <v>0.34163260651390392</v>
      </c>
      <c r="L61">
        <v>0.30768263262356821</v>
      </c>
      <c r="M61">
        <v>0.24359410747493102</v>
      </c>
      <c r="N61">
        <v>0.28257773872069397</v>
      </c>
      <c r="O61">
        <v>0.26598433827658358</v>
      </c>
      <c r="AU61" t="s">
        <v>539</v>
      </c>
      <c r="AV61">
        <v>0.58979071320895338</v>
      </c>
      <c r="AW61">
        <v>0.58576356884579017</v>
      </c>
      <c r="AX61">
        <v>0.59283719306875893</v>
      </c>
      <c r="AY61">
        <v>0.4836169674565664</v>
      </c>
      <c r="AZ61">
        <v>0.44938774855962449</v>
      </c>
      <c r="BA61">
        <v>0.48424637421798095</v>
      </c>
      <c r="BB61">
        <v>0.36417332726633805</v>
      </c>
      <c r="BC61">
        <v>0.35921669290666186</v>
      </c>
      <c r="BD61">
        <v>0.37528434774400488</v>
      </c>
      <c r="BE61">
        <v>0.53756503570525926</v>
      </c>
      <c r="BF61">
        <v>0.51716881178032836</v>
      </c>
      <c r="BG61">
        <v>0.52870696292919928</v>
      </c>
      <c r="BI61" t="s">
        <v>522</v>
      </c>
      <c r="BJ61" t="s">
        <v>99</v>
      </c>
      <c r="BK61" t="s">
        <v>100</v>
      </c>
      <c r="BL61">
        <v>0.59139571665818025</v>
      </c>
    </row>
    <row r="62" spans="2:64" x14ac:dyDescent="0.45">
      <c r="B62" t="s">
        <v>540</v>
      </c>
      <c r="C62" t="s">
        <v>95</v>
      </c>
      <c r="D62">
        <v>0.27991199124908345</v>
      </c>
      <c r="E62">
        <v>0.27669145852305299</v>
      </c>
      <c r="F62">
        <v>0.28517999315924469</v>
      </c>
      <c r="G62">
        <v>0.30419004658587895</v>
      </c>
      <c r="H62">
        <v>0.34816251695385758</v>
      </c>
      <c r="I62">
        <v>0.30821243453462666</v>
      </c>
      <c r="J62">
        <v>0.34301875297454498</v>
      </c>
      <c r="K62">
        <v>0.38448450550901953</v>
      </c>
      <c r="L62">
        <v>0.30465864799034337</v>
      </c>
      <c r="M62">
        <v>0.27233660309644553</v>
      </c>
      <c r="N62">
        <v>0.32622004963569434</v>
      </c>
      <c r="O62">
        <v>0.28597630429868276</v>
      </c>
      <c r="AU62" t="s">
        <v>540</v>
      </c>
      <c r="AV62">
        <v>0.4893699265025227</v>
      </c>
      <c r="AW62">
        <v>0.4854987565574399</v>
      </c>
      <c r="AX62">
        <v>0.49515577799718169</v>
      </c>
      <c r="AY62">
        <v>0.38050001430881153</v>
      </c>
      <c r="AZ62">
        <v>0.36861201063412463</v>
      </c>
      <c r="BA62">
        <v>0.38437343544188624</v>
      </c>
      <c r="BB62">
        <v>0.26807335038485519</v>
      </c>
      <c r="BC62">
        <v>0.26739975988673981</v>
      </c>
      <c r="BD62">
        <v>0.28047408254275835</v>
      </c>
      <c r="BE62">
        <v>0.42213539428328467</v>
      </c>
      <c r="BF62">
        <v>0.41280270289281029</v>
      </c>
      <c r="BG62">
        <v>0.42677450515017801</v>
      </c>
      <c r="BI62" t="s">
        <v>524</v>
      </c>
      <c r="BJ62" t="s">
        <v>99</v>
      </c>
      <c r="BK62" t="s">
        <v>100</v>
      </c>
      <c r="BL62">
        <v>0.36160774544243596</v>
      </c>
    </row>
    <row r="63" spans="2:64" x14ac:dyDescent="0.45">
      <c r="B63" t="s">
        <v>541</v>
      </c>
      <c r="C63" t="s">
        <v>95</v>
      </c>
      <c r="D63">
        <v>0.3607333364476617</v>
      </c>
      <c r="E63">
        <v>0.373034516180132</v>
      </c>
      <c r="F63">
        <v>0.34379303977816827</v>
      </c>
      <c r="G63">
        <v>0.2880546217728584</v>
      </c>
      <c r="H63">
        <v>0.35149584144370727</v>
      </c>
      <c r="I63">
        <v>0.28794067570842863</v>
      </c>
      <c r="J63">
        <v>0.35221578489392041</v>
      </c>
      <c r="K63">
        <v>0.43504369152827299</v>
      </c>
      <c r="L63">
        <v>0.32409347229137453</v>
      </c>
      <c r="M63">
        <v>0.30055149889206167</v>
      </c>
      <c r="N63">
        <v>0.34167801814041043</v>
      </c>
      <c r="O63">
        <v>0.32182607903909916</v>
      </c>
      <c r="AU63" t="s">
        <v>541</v>
      </c>
      <c r="AV63">
        <v>0.32442066818517928</v>
      </c>
      <c r="AW63">
        <v>0.32474100290867086</v>
      </c>
      <c r="AX63">
        <v>0.33278812072899494</v>
      </c>
      <c r="AY63">
        <v>0.21072676453001726</v>
      </c>
      <c r="AZ63">
        <v>0.19138557196507203</v>
      </c>
      <c r="BA63">
        <v>0.22374155735732504</v>
      </c>
      <c r="BB63">
        <v>0.15602971532152254</v>
      </c>
      <c r="BC63">
        <v>0.12948005266421789</v>
      </c>
      <c r="BD63">
        <v>0.14827037204959534</v>
      </c>
      <c r="BE63">
        <v>0.28472570391653429</v>
      </c>
      <c r="BF63">
        <v>0.26203529219063182</v>
      </c>
      <c r="BG63">
        <v>0.28639569888452077</v>
      </c>
      <c r="BI63" t="s">
        <v>526</v>
      </c>
      <c r="BJ63" t="s">
        <v>99</v>
      </c>
      <c r="BK63" t="s">
        <v>100</v>
      </c>
      <c r="BL63">
        <v>0.40501732432277282</v>
      </c>
    </row>
    <row r="64" spans="2:64" x14ac:dyDescent="0.45">
      <c r="B64" t="s">
        <v>542</v>
      </c>
      <c r="C64" t="s">
        <v>95</v>
      </c>
      <c r="D64">
        <v>0.35637761297807963</v>
      </c>
      <c r="E64">
        <v>0.34828248481650165</v>
      </c>
      <c r="F64">
        <v>0.34285337378014302</v>
      </c>
      <c r="G64">
        <v>0.29873671592900891</v>
      </c>
      <c r="H64">
        <v>0.36255538889413474</v>
      </c>
      <c r="I64">
        <v>0.29792920606900536</v>
      </c>
      <c r="J64">
        <v>0.31998500868817104</v>
      </c>
      <c r="K64">
        <v>0.42983142504213051</v>
      </c>
      <c r="L64">
        <v>0.31036107163528842</v>
      </c>
      <c r="M64">
        <v>0.29073321739313435</v>
      </c>
      <c r="N64">
        <v>0.33719726175871118</v>
      </c>
      <c r="O64">
        <v>0.33025992735257476</v>
      </c>
      <c r="AU64" t="s">
        <v>542</v>
      </c>
      <c r="AV64">
        <v>0.36471120891072339</v>
      </c>
      <c r="AW64">
        <v>0.36460030723024855</v>
      </c>
      <c r="AX64">
        <v>0.37381728883379045</v>
      </c>
      <c r="AY64">
        <v>0.27974533745191649</v>
      </c>
      <c r="AZ64">
        <v>0.22694634522940238</v>
      </c>
      <c r="BA64">
        <v>0.29361378474194799</v>
      </c>
      <c r="BB64">
        <v>0.19822013222072521</v>
      </c>
      <c r="BC64">
        <v>0.17784394682151808</v>
      </c>
      <c r="BD64">
        <v>0.1959025499816528</v>
      </c>
      <c r="BE64">
        <v>0.32496578680913946</v>
      </c>
      <c r="BF64">
        <v>0.31240686044862659</v>
      </c>
      <c r="BG64">
        <v>0.34639804758508158</v>
      </c>
      <c r="BI64" t="s">
        <v>528</v>
      </c>
      <c r="BJ64" t="s">
        <v>99</v>
      </c>
      <c r="BK64" t="s">
        <v>100</v>
      </c>
      <c r="BL64">
        <v>0.50203818884630125</v>
      </c>
    </row>
    <row r="65" spans="2:64" x14ac:dyDescent="0.45">
      <c r="B65" t="s">
        <v>543</v>
      </c>
      <c r="C65" t="s">
        <v>95</v>
      </c>
      <c r="D65">
        <v>0.32889235403384165</v>
      </c>
      <c r="E65">
        <v>0.32111485924704963</v>
      </c>
      <c r="F65">
        <v>0.32807010398292741</v>
      </c>
      <c r="G65">
        <v>0.28775389512239513</v>
      </c>
      <c r="H65">
        <v>0.34837527413932007</v>
      </c>
      <c r="I65">
        <v>0.27413656966608785</v>
      </c>
      <c r="J65">
        <v>0.3104325063059179</v>
      </c>
      <c r="K65">
        <v>0.40674191432433021</v>
      </c>
      <c r="L65">
        <v>0.29239819200904354</v>
      </c>
      <c r="M65">
        <v>0.26956290118408205</v>
      </c>
      <c r="N65">
        <v>0.32856514602960157</v>
      </c>
      <c r="O65">
        <v>0.31570610539848809</v>
      </c>
      <c r="AU65" t="s">
        <v>543</v>
      </c>
      <c r="AV65">
        <v>0.39815423363757202</v>
      </c>
      <c r="AW65">
        <v>0.38913439103514846</v>
      </c>
      <c r="AX65">
        <v>0.39003405520453971</v>
      </c>
      <c r="AY65">
        <v>0.29275267100836516</v>
      </c>
      <c r="AZ65">
        <v>0.26263172087542069</v>
      </c>
      <c r="BA65">
        <v>0.30451552556398398</v>
      </c>
      <c r="BB65">
        <v>0.20689950234799998</v>
      </c>
      <c r="BC65">
        <v>0.19431670322283556</v>
      </c>
      <c r="BD65">
        <v>0.21330398323839272</v>
      </c>
      <c r="BE65">
        <v>0.34693790929359503</v>
      </c>
      <c r="BF65">
        <v>0.33643320116498393</v>
      </c>
      <c r="BG65">
        <v>0.35311311623324576</v>
      </c>
      <c r="BI65" t="s">
        <v>530</v>
      </c>
      <c r="BJ65" t="s">
        <v>99</v>
      </c>
      <c r="BK65" t="s">
        <v>100</v>
      </c>
      <c r="BL65">
        <v>0.50614011744863485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364B6-E280-4FB4-B130-F7901C5468CF}">
  <dimension ref="A9:S1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region=DEU")</f>
        <v>~TFM_DINS-AT: region=DEU</v>
      </c>
      <c r="H9" t="str">
        <f>IF(A11="x","DeActivated","~TFM_DINS-AT: region=DEU")</f>
        <v>~TFM_DINS-AT: region=DEU</v>
      </c>
      <c r="L9" t="str">
        <f>IF(A11="x","DeActivated","~TFM_DINS-AT: region=DEU")</f>
        <v>~TFM_DINS-AT: region=DEU</v>
      </c>
      <c r="P9" t="str">
        <f>IF(A11="x","DeActivated","~TFM_INS-AT: region=DEU")</f>
        <v>~TFM_INS-AT: region=DEU</v>
      </c>
    </row>
    <row r="10" spans="1:19" x14ac:dyDescent="0.45">
      <c r="A10" t="s">
        <v>177</v>
      </c>
      <c r="C10" t="s">
        <v>178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179</v>
      </c>
      <c r="P10" t="s">
        <v>180</v>
      </c>
      <c r="Q10" t="s">
        <v>1</v>
      </c>
      <c r="R10" t="s">
        <v>181</v>
      </c>
      <c r="S10" t="s">
        <v>182</v>
      </c>
    </row>
    <row r="11" spans="1:19" x14ac:dyDescent="0.45">
      <c r="C11">
        <v>8.2191780821917804E-2</v>
      </c>
      <c r="D11">
        <v>4.555602515973449E-2</v>
      </c>
      <c r="E11" t="s">
        <v>5</v>
      </c>
      <c r="F11" t="s">
        <v>183</v>
      </c>
      <c r="H11" t="s">
        <v>184</v>
      </c>
      <c r="I11" t="s">
        <v>5</v>
      </c>
      <c r="L11" t="s">
        <v>185</v>
      </c>
      <c r="M11" t="s">
        <v>5</v>
      </c>
      <c r="N11">
        <v>0.31841774733434391</v>
      </c>
      <c r="P11">
        <v>2020</v>
      </c>
      <c r="Q11" t="s">
        <v>186</v>
      </c>
      <c r="R11">
        <v>0.37186666666666662</v>
      </c>
      <c r="S11" t="s">
        <v>187</v>
      </c>
    </row>
    <row r="12" spans="1:19" x14ac:dyDescent="0.45">
      <c r="C12">
        <v>0.10273972602739725</v>
      </c>
      <c r="D12">
        <v>0.14672202471222937</v>
      </c>
      <c r="E12" t="s">
        <v>9</v>
      </c>
      <c r="F12" t="s">
        <v>183</v>
      </c>
      <c r="H12" t="s">
        <v>184</v>
      </c>
      <c r="I12" t="s">
        <v>9</v>
      </c>
      <c r="L12" t="s">
        <v>185</v>
      </c>
      <c r="M12" t="s">
        <v>9</v>
      </c>
      <c r="N12">
        <v>0.12508982877595964</v>
      </c>
      <c r="P12">
        <v>2020</v>
      </c>
      <c r="Q12" t="s">
        <v>188</v>
      </c>
      <c r="R12">
        <v>0.39409999999999995</v>
      </c>
      <c r="S12" t="s">
        <v>187</v>
      </c>
    </row>
    <row r="13" spans="1:19" x14ac:dyDescent="0.45">
      <c r="C13">
        <v>6.1643835616438353E-2</v>
      </c>
      <c r="D13">
        <v>5.4297292593789633E-2</v>
      </c>
      <c r="E13" t="s">
        <v>10</v>
      </c>
      <c r="F13" t="s">
        <v>183</v>
      </c>
      <c r="H13" t="s">
        <v>184</v>
      </c>
      <c r="I13" t="s">
        <v>10</v>
      </c>
      <c r="L13" t="s">
        <v>185</v>
      </c>
      <c r="M13" t="s">
        <v>10</v>
      </c>
      <c r="N13">
        <v>0.16504586069402949</v>
      </c>
      <c r="P13">
        <v>2020</v>
      </c>
      <c r="Q13" t="s">
        <v>189</v>
      </c>
      <c r="R13">
        <v>0.40926666666666667</v>
      </c>
      <c r="S13" t="s">
        <v>187</v>
      </c>
    </row>
    <row r="14" spans="1:19" x14ac:dyDescent="0.45">
      <c r="C14">
        <v>8.4018264840182655E-2</v>
      </c>
      <c r="D14">
        <v>4.6568381274395249E-2</v>
      </c>
      <c r="E14" t="s">
        <v>11</v>
      </c>
      <c r="F14" t="s">
        <v>183</v>
      </c>
      <c r="H14" t="s">
        <v>184</v>
      </c>
      <c r="I14" t="s">
        <v>11</v>
      </c>
      <c r="L14" t="s">
        <v>185</v>
      </c>
      <c r="M14" t="s">
        <v>11</v>
      </c>
      <c r="N14">
        <v>0.42473633357132323</v>
      </c>
      <c r="P14">
        <v>2020</v>
      </c>
      <c r="Q14" t="s">
        <v>190</v>
      </c>
      <c r="R14">
        <v>0.37690000000000001</v>
      </c>
      <c r="S14" t="s">
        <v>187</v>
      </c>
    </row>
    <row r="15" spans="1:19" x14ac:dyDescent="0.45">
      <c r="C15">
        <v>0.1050228310502283</v>
      </c>
      <c r="D15">
        <v>0.14998251415027888</v>
      </c>
      <c r="E15" t="s">
        <v>12</v>
      </c>
      <c r="F15" t="s">
        <v>183</v>
      </c>
      <c r="H15" t="s">
        <v>184</v>
      </c>
      <c r="I15" t="s">
        <v>12</v>
      </c>
      <c r="L15" t="s">
        <v>185</v>
      </c>
      <c r="M15" t="s">
        <v>12</v>
      </c>
      <c r="N15">
        <v>0.21388532458183862</v>
      </c>
      <c r="P15">
        <v>2021</v>
      </c>
      <c r="Q15" t="s">
        <v>186</v>
      </c>
      <c r="R15">
        <v>0.38003333333333339</v>
      </c>
      <c r="S15" t="s">
        <v>187</v>
      </c>
    </row>
    <row r="16" spans="1:19" x14ac:dyDescent="0.45">
      <c r="C16">
        <v>6.3013698630136991E-2</v>
      </c>
      <c r="D16">
        <v>5.5503899095873853E-2</v>
      </c>
      <c r="E16" t="s">
        <v>13</v>
      </c>
      <c r="F16" t="s">
        <v>183</v>
      </c>
      <c r="H16" t="s">
        <v>184</v>
      </c>
      <c r="I16" t="s">
        <v>13</v>
      </c>
      <c r="L16" t="s">
        <v>185</v>
      </c>
      <c r="M16" t="s">
        <v>13</v>
      </c>
      <c r="N16">
        <v>0.27243958785414035</v>
      </c>
      <c r="P16">
        <v>2021</v>
      </c>
      <c r="Q16" t="s">
        <v>188</v>
      </c>
      <c r="R16">
        <v>0.40186666666666665</v>
      </c>
      <c r="S16" t="s">
        <v>187</v>
      </c>
    </row>
    <row r="17" spans="3:19" x14ac:dyDescent="0.45">
      <c r="C17">
        <v>8.4018264840182655E-2</v>
      </c>
      <c r="D17">
        <v>4.6568381274395249E-2</v>
      </c>
      <c r="E17" t="s">
        <v>14</v>
      </c>
      <c r="F17" t="s">
        <v>183</v>
      </c>
      <c r="H17" t="s">
        <v>184</v>
      </c>
      <c r="I17" t="s">
        <v>14</v>
      </c>
      <c r="L17" t="s">
        <v>185</v>
      </c>
      <c r="M17" t="s">
        <v>14</v>
      </c>
      <c r="N17">
        <v>0.25589892338690312</v>
      </c>
      <c r="P17">
        <v>2021</v>
      </c>
      <c r="Q17" t="s">
        <v>189</v>
      </c>
      <c r="R17">
        <v>0.51386666666666658</v>
      </c>
      <c r="S17" t="s">
        <v>187</v>
      </c>
    </row>
    <row r="18" spans="3:19" x14ac:dyDescent="0.45">
      <c r="C18">
        <v>0.1050228310502283</v>
      </c>
      <c r="D18">
        <v>0.14998251415027888</v>
      </c>
      <c r="E18" t="s">
        <v>15</v>
      </c>
      <c r="F18" t="s">
        <v>183</v>
      </c>
      <c r="H18" t="s">
        <v>184</v>
      </c>
      <c r="I18" t="s">
        <v>15</v>
      </c>
      <c r="L18" t="s">
        <v>185</v>
      </c>
      <c r="M18" t="s">
        <v>15</v>
      </c>
      <c r="N18">
        <v>0.10744198933239324</v>
      </c>
      <c r="P18">
        <v>2021</v>
      </c>
      <c r="Q18" t="s">
        <v>190</v>
      </c>
      <c r="R18">
        <v>0.3231</v>
      </c>
      <c r="S18" t="s">
        <v>187</v>
      </c>
    </row>
    <row r="19" spans="3:19" x14ac:dyDescent="0.45">
      <c r="C19">
        <v>6.3013698630136991E-2</v>
      </c>
      <c r="D19">
        <v>5.5503899095873853E-2</v>
      </c>
      <c r="E19" t="s">
        <v>16</v>
      </c>
      <c r="F19" t="s">
        <v>183</v>
      </c>
      <c r="H19" t="s">
        <v>184</v>
      </c>
      <c r="I19" t="s">
        <v>16</v>
      </c>
      <c r="L19" t="s">
        <v>185</v>
      </c>
      <c r="M19" t="s">
        <v>16</v>
      </c>
      <c r="N19">
        <v>0.13223872405779158</v>
      </c>
      <c r="P19">
        <v>2022</v>
      </c>
      <c r="Q19" t="s">
        <v>186</v>
      </c>
      <c r="R19">
        <v>0.3735666666666666</v>
      </c>
      <c r="S19" t="s">
        <v>187</v>
      </c>
    </row>
    <row r="20" spans="3:19" x14ac:dyDescent="0.45">
      <c r="C20">
        <v>8.3105022831050229E-2</v>
      </c>
      <c r="D20">
        <v>4.6062203217064869E-2</v>
      </c>
      <c r="E20" t="s">
        <v>17</v>
      </c>
      <c r="F20" t="s">
        <v>183</v>
      </c>
      <c r="H20" t="s">
        <v>184</v>
      </c>
      <c r="I20" t="s">
        <v>17</v>
      </c>
      <c r="L20" t="s">
        <v>185</v>
      </c>
      <c r="M20" t="s">
        <v>17</v>
      </c>
      <c r="N20">
        <v>0.37853244187747426</v>
      </c>
      <c r="P20">
        <v>2022</v>
      </c>
      <c r="Q20" t="s">
        <v>188</v>
      </c>
      <c r="R20">
        <v>0.37166666666666665</v>
      </c>
      <c r="S20" t="s">
        <v>187</v>
      </c>
    </row>
    <row r="21" spans="3:19" x14ac:dyDescent="0.45">
      <c r="C21">
        <v>0.10388127853881278</v>
      </c>
      <c r="D21">
        <v>0.14835226943125412</v>
      </c>
      <c r="E21" t="s">
        <v>18</v>
      </c>
      <c r="F21" t="s">
        <v>183</v>
      </c>
      <c r="H21" t="s">
        <v>184</v>
      </c>
      <c r="I21" t="s">
        <v>18</v>
      </c>
      <c r="L21" t="s">
        <v>185</v>
      </c>
      <c r="M21" t="s">
        <v>18</v>
      </c>
      <c r="N21">
        <v>0.17190964853200108</v>
      </c>
      <c r="P21">
        <v>2022</v>
      </c>
      <c r="Q21" t="s">
        <v>189</v>
      </c>
      <c r="R21">
        <v>0.33203333333333335</v>
      </c>
      <c r="S21" t="s">
        <v>187</v>
      </c>
    </row>
    <row r="22" spans="3:19" x14ac:dyDescent="0.45">
      <c r="C22">
        <v>6.2328767123287672E-2</v>
      </c>
      <c r="D22">
        <v>5.4900595844831736E-2</v>
      </c>
      <c r="E22" t="s">
        <v>19</v>
      </c>
      <c r="F22" t="s">
        <v>183</v>
      </c>
      <c r="H22" t="s">
        <v>184</v>
      </c>
      <c r="I22" t="s">
        <v>19</v>
      </c>
      <c r="L22" t="s">
        <v>185</v>
      </c>
      <c r="M22" t="s">
        <v>19</v>
      </c>
      <c r="N22">
        <v>0.22513852669476719</v>
      </c>
      <c r="P22">
        <v>2022</v>
      </c>
      <c r="Q22" t="s">
        <v>190</v>
      </c>
      <c r="R22">
        <v>0.3450333333333333</v>
      </c>
      <c r="S22" t="s">
        <v>187</v>
      </c>
    </row>
    <row r="23" spans="3:19" x14ac:dyDescent="0.45">
      <c r="H23" t="s">
        <v>191</v>
      </c>
      <c r="I23" t="s">
        <v>5</v>
      </c>
      <c r="P23">
        <v>2025</v>
      </c>
      <c r="Q23" t="s">
        <v>186</v>
      </c>
      <c r="R23">
        <v>0.42873333333333336</v>
      </c>
      <c r="S23" t="s">
        <v>187</v>
      </c>
    </row>
    <row r="24" spans="3:19" x14ac:dyDescent="0.45">
      <c r="H24" t="s">
        <v>191</v>
      </c>
      <c r="I24" t="s">
        <v>9</v>
      </c>
      <c r="P24">
        <v>2025</v>
      </c>
      <c r="Q24" t="s">
        <v>188</v>
      </c>
      <c r="R24">
        <v>0.46270000000000006</v>
      </c>
      <c r="S24" t="s">
        <v>187</v>
      </c>
    </row>
    <row r="25" spans="3:19" x14ac:dyDescent="0.45">
      <c r="H25" t="s">
        <v>191</v>
      </c>
      <c r="I25" t="s">
        <v>10</v>
      </c>
      <c r="P25">
        <v>2025</v>
      </c>
      <c r="Q25" t="s">
        <v>189</v>
      </c>
      <c r="R25">
        <v>0.54426666666666668</v>
      </c>
      <c r="S25" t="s">
        <v>187</v>
      </c>
    </row>
    <row r="26" spans="3:19" x14ac:dyDescent="0.45">
      <c r="H26" t="s">
        <v>191</v>
      </c>
      <c r="I26" t="s">
        <v>11</v>
      </c>
      <c r="P26">
        <v>2025</v>
      </c>
      <c r="Q26" t="s">
        <v>190</v>
      </c>
      <c r="R26">
        <v>0.36153333333333332</v>
      </c>
      <c r="S26" t="s">
        <v>187</v>
      </c>
    </row>
    <row r="27" spans="3:19" x14ac:dyDescent="0.45">
      <c r="H27" t="s">
        <v>191</v>
      </c>
      <c r="I27" t="s">
        <v>12</v>
      </c>
      <c r="P27">
        <v>2026</v>
      </c>
      <c r="Q27" t="s">
        <v>186</v>
      </c>
      <c r="R27">
        <v>0.42759999999999998</v>
      </c>
      <c r="S27" t="s">
        <v>187</v>
      </c>
    </row>
    <row r="28" spans="3:19" x14ac:dyDescent="0.45">
      <c r="H28" t="s">
        <v>191</v>
      </c>
      <c r="I28" t="s">
        <v>13</v>
      </c>
      <c r="P28">
        <v>2026</v>
      </c>
      <c r="Q28" t="s">
        <v>188</v>
      </c>
      <c r="R28">
        <v>0.4840666666666667</v>
      </c>
      <c r="S28" t="s">
        <v>187</v>
      </c>
    </row>
    <row r="29" spans="3:19" x14ac:dyDescent="0.45">
      <c r="H29" t="s">
        <v>191</v>
      </c>
      <c r="I29" t="s">
        <v>14</v>
      </c>
      <c r="P29">
        <v>2026</v>
      </c>
      <c r="Q29" t="s">
        <v>189</v>
      </c>
      <c r="R29">
        <v>0.50856666666666661</v>
      </c>
      <c r="S29" t="s">
        <v>187</v>
      </c>
    </row>
    <row r="30" spans="3:19" x14ac:dyDescent="0.45">
      <c r="H30" t="s">
        <v>191</v>
      </c>
      <c r="I30" t="s">
        <v>15</v>
      </c>
      <c r="P30">
        <v>2026</v>
      </c>
      <c r="Q30" t="s">
        <v>190</v>
      </c>
      <c r="R30">
        <v>0.43013333333333331</v>
      </c>
      <c r="S30" t="s">
        <v>187</v>
      </c>
    </row>
    <row r="31" spans="3:19" x14ac:dyDescent="0.45">
      <c r="H31" t="s">
        <v>191</v>
      </c>
      <c r="I31" t="s">
        <v>16</v>
      </c>
      <c r="P31">
        <v>2027</v>
      </c>
      <c r="Q31" t="s">
        <v>186</v>
      </c>
      <c r="R31">
        <v>0.44336666666666663</v>
      </c>
      <c r="S31" t="s">
        <v>187</v>
      </c>
    </row>
    <row r="32" spans="3:19" x14ac:dyDescent="0.45">
      <c r="H32" t="s">
        <v>191</v>
      </c>
      <c r="I32" t="s">
        <v>17</v>
      </c>
      <c r="P32">
        <v>2027</v>
      </c>
      <c r="Q32" t="s">
        <v>188</v>
      </c>
      <c r="R32">
        <v>0.5099999999999999</v>
      </c>
      <c r="S32" t="s">
        <v>187</v>
      </c>
    </row>
    <row r="33" spans="8:19" x14ac:dyDescent="0.45">
      <c r="H33" t="s">
        <v>191</v>
      </c>
      <c r="I33" t="s">
        <v>18</v>
      </c>
      <c r="P33">
        <v>2027</v>
      </c>
      <c r="Q33" t="s">
        <v>189</v>
      </c>
      <c r="R33">
        <v>0.55646666666666667</v>
      </c>
      <c r="S33" t="s">
        <v>187</v>
      </c>
    </row>
    <row r="34" spans="8:19" x14ac:dyDescent="0.45">
      <c r="H34" t="s">
        <v>191</v>
      </c>
      <c r="I34" t="s">
        <v>19</v>
      </c>
      <c r="P34">
        <v>2027</v>
      </c>
      <c r="Q34" t="s">
        <v>190</v>
      </c>
      <c r="R34">
        <v>0.46943333333333331</v>
      </c>
      <c r="S34" t="s">
        <v>187</v>
      </c>
    </row>
    <row r="35" spans="8:19" x14ac:dyDescent="0.45">
      <c r="P35">
        <v>2028</v>
      </c>
      <c r="Q35" t="s">
        <v>186</v>
      </c>
      <c r="R35">
        <v>0.44713333333333338</v>
      </c>
      <c r="S35" t="s">
        <v>187</v>
      </c>
    </row>
    <row r="36" spans="8:19" x14ac:dyDescent="0.45">
      <c r="P36">
        <v>2028</v>
      </c>
      <c r="Q36" t="s">
        <v>188</v>
      </c>
      <c r="R36">
        <v>0.5043333333333333</v>
      </c>
      <c r="S36" t="s">
        <v>187</v>
      </c>
    </row>
    <row r="37" spans="8:19" x14ac:dyDescent="0.45">
      <c r="P37">
        <v>2028</v>
      </c>
      <c r="Q37" t="s">
        <v>189</v>
      </c>
      <c r="R37">
        <v>0.54176666666666673</v>
      </c>
      <c r="S37" t="s">
        <v>187</v>
      </c>
    </row>
    <row r="38" spans="8:19" x14ac:dyDescent="0.45">
      <c r="P38">
        <v>2028</v>
      </c>
      <c r="Q38" t="s">
        <v>190</v>
      </c>
      <c r="R38">
        <v>0.45649999999999996</v>
      </c>
      <c r="S38" t="s">
        <v>187</v>
      </c>
    </row>
    <row r="39" spans="8:19" x14ac:dyDescent="0.45">
      <c r="P39">
        <v>2029</v>
      </c>
      <c r="Q39" t="s">
        <v>186</v>
      </c>
      <c r="R39">
        <v>0.44156666666666666</v>
      </c>
      <c r="S39" t="s">
        <v>187</v>
      </c>
    </row>
    <row r="40" spans="8:19" x14ac:dyDescent="0.45">
      <c r="P40">
        <v>2029</v>
      </c>
      <c r="Q40" t="s">
        <v>188</v>
      </c>
      <c r="R40">
        <v>0.52226666666666666</v>
      </c>
      <c r="S40" t="s">
        <v>187</v>
      </c>
    </row>
    <row r="41" spans="8:19" x14ac:dyDescent="0.45">
      <c r="P41">
        <v>2029</v>
      </c>
      <c r="Q41" t="s">
        <v>189</v>
      </c>
      <c r="R41">
        <v>0.52056666666666673</v>
      </c>
      <c r="S41" t="s">
        <v>187</v>
      </c>
    </row>
    <row r="42" spans="8:19" x14ac:dyDescent="0.45">
      <c r="P42">
        <v>2029</v>
      </c>
      <c r="Q42" t="s">
        <v>190</v>
      </c>
      <c r="R42">
        <v>0.40516666666666667</v>
      </c>
      <c r="S42" t="s">
        <v>187</v>
      </c>
    </row>
    <row r="43" spans="8:19" x14ac:dyDescent="0.45">
      <c r="P43">
        <v>2030</v>
      </c>
      <c r="Q43" t="s">
        <v>186</v>
      </c>
      <c r="R43">
        <v>0.47</v>
      </c>
      <c r="S43" t="s">
        <v>187</v>
      </c>
    </row>
    <row r="44" spans="8:19" x14ac:dyDescent="0.45">
      <c r="P44">
        <v>2030</v>
      </c>
      <c r="Q44" t="s">
        <v>188</v>
      </c>
      <c r="R44">
        <v>0.45413333333333333</v>
      </c>
      <c r="S44" t="s">
        <v>187</v>
      </c>
    </row>
    <row r="45" spans="8:19" x14ac:dyDescent="0.45">
      <c r="P45">
        <v>2030</v>
      </c>
      <c r="Q45" t="s">
        <v>189</v>
      </c>
      <c r="R45">
        <v>0.55076666666666663</v>
      </c>
      <c r="S45" t="s">
        <v>187</v>
      </c>
    </row>
    <row r="46" spans="8:19" x14ac:dyDescent="0.45">
      <c r="P46">
        <v>2030</v>
      </c>
      <c r="Q46" t="s">
        <v>190</v>
      </c>
      <c r="R46">
        <v>0.43619999999999998</v>
      </c>
      <c r="S46" t="s">
        <v>187</v>
      </c>
    </row>
    <row r="47" spans="8:19" x14ac:dyDescent="0.45">
      <c r="P47">
        <v>2031</v>
      </c>
      <c r="Q47" t="s">
        <v>186</v>
      </c>
      <c r="R47">
        <v>0.37006666666666671</v>
      </c>
      <c r="S47" t="s">
        <v>187</v>
      </c>
    </row>
    <row r="48" spans="8:19" x14ac:dyDescent="0.45">
      <c r="P48">
        <v>2031</v>
      </c>
      <c r="Q48" t="s">
        <v>188</v>
      </c>
      <c r="R48">
        <v>0.49006666666666665</v>
      </c>
      <c r="S48" t="s">
        <v>187</v>
      </c>
    </row>
    <row r="49" spans="16:19" x14ac:dyDescent="0.45">
      <c r="P49">
        <v>2031</v>
      </c>
      <c r="Q49" t="s">
        <v>189</v>
      </c>
      <c r="R49">
        <v>0.44060000000000005</v>
      </c>
      <c r="S49" t="s">
        <v>187</v>
      </c>
    </row>
    <row r="50" spans="16:19" x14ac:dyDescent="0.45">
      <c r="P50">
        <v>2031</v>
      </c>
      <c r="Q50" t="s">
        <v>190</v>
      </c>
      <c r="R50">
        <v>0.41613333333333341</v>
      </c>
      <c r="S50" t="s">
        <v>187</v>
      </c>
    </row>
    <row r="51" spans="16:19" x14ac:dyDescent="0.45">
      <c r="P51">
        <v>2032</v>
      </c>
      <c r="Q51" t="s">
        <v>186</v>
      </c>
      <c r="R51">
        <v>0.41799999999999998</v>
      </c>
      <c r="S51" t="s">
        <v>187</v>
      </c>
    </row>
    <row r="52" spans="16:19" x14ac:dyDescent="0.45">
      <c r="P52">
        <v>2032</v>
      </c>
      <c r="Q52" t="s">
        <v>188</v>
      </c>
      <c r="R52">
        <v>0.41820000000000007</v>
      </c>
      <c r="S52" t="s">
        <v>187</v>
      </c>
    </row>
    <row r="53" spans="16:19" x14ac:dyDescent="0.45">
      <c r="P53">
        <v>2032</v>
      </c>
      <c r="Q53" t="s">
        <v>189</v>
      </c>
      <c r="R53">
        <v>0.42060000000000003</v>
      </c>
      <c r="S53" t="s">
        <v>187</v>
      </c>
    </row>
    <row r="54" spans="16:19" x14ac:dyDescent="0.45">
      <c r="P54">
        <v>2032</v>
      </c>
      <c r="Q54" t="s">
        <v>190</v>
      </c>
      <c r="R54">
        <v>0.38443333333333335</v>
      </c>
      <c r="S54" t="s">
        <v>187</v>
      </c>
    </row>
    <row r="55" spans="16:19" x14ac:dyDescent="0.45">
      <c r="P55">
        <v>2033</v>
      </c>
      <c r="Q55" t="s">
        <v>186</v>
      </c>
      <c r="R55">
        <v>0.34626666666666667</v>
      </c>
      <c r="S55" t="s">
        <v>187</v>
      </c>
    </row>
    <row r="56" spans="16:19" x14ac:dyDescent="0.45">
      <c r="P56">
        <v>2033</v>
      </c>
      <c r="Q56" t="s">
        <v>188</v>
      </c>
      <c r="R56">
        <v>0.41183333333333333</v>
      </c>
      <c r="S56" t="s">
        <v>187</v>
      </c>
    </row>
    <row r="57" spans="16:19" x14ac:dyDescent="0.45">
      <c r="P57">
        <v>2033</v>
      </c>
      <c r="Q57" t="s">
        <v>189</v>
      </c>
      <c r="R57">
        <v>0.50356666666666661</v>
      </c>
      <c r="S57" t="s">
        <v>187</v>
      </c>
    </row>
    <row r="58" spans="16:19" x14ac:dyDescent="0.45">
      <c r="P58">
        <v>2033</v>
      </c>
      <c r="Q58" t="s">
        <v>190</v>
      </c>
      <c r="R58">
        <v>0.44053333333333339</v>
      </c>
      <c r="S58" t="s">
        <v>187</v>
      </c>
    </row>
    <row r="59" spans="16:19" x14ac:dyDescent="0.45">
      <c r="P59">
        <v>2034</v>
      </c>
      <c r="Q59" t="s">
        <v>186</v>
      </c>
      <c r="R59">
        <v>0.42603333333333332</v>
      </c>
      <c r="S59" t="s">
        <v>187</v>
      </c>
    </row>
    <row r="60" spans="16:19" x14ac:dyDescent="0.45">
      <c r="P60">
        <v>2034</v>
      </c>
      <c r="Q60" t="s">
        <v>188</v>
      </c>
      <c r="R60">
        <v>0.5026666666666666</v>
      </c>
      <c r="S60" t="s">
        <v>187</v>
      </c>
    </row>
    <row r="61" spans="16:19" x14ac:dyDescent="0.45">
      <c r="P61">
        <v>2034</v>
      </c>
      <c r="Q61" t="s">
        <v>189</v>
      </c>
      <c r="R61">
        <v>0.46906666666666669</v>
      </c>
      <c r="S61" t="s">
        <v>187</v>
      </c>
    </row>
    <row r="62" spans="16:19" x14ac:dyDescent="0.45">
      <c r="P62">
        <v>2034</v>
      </c>
      <c r="Q62" t="s">
        <v>190</v>
      </c>
      <c r="R62">
        <v>0.4237333333333333</v>
      </c>
      <c r="S62" t="s">
        <v>187</v>
      </c>
    </row>
    <row r="63" spans="16:19" x14ac:dyDescent="0.45">
      <c r="P63">
        <v>2035</v>
      </c>
      <c r="Q63" t="s">
        <v>186</v>
      </c>
      <c r="R63">
        <v>0.43080000000000002</v>
      </c>
      <c r="S63" t="s">
        <v>187</v>
      </c>
    </row>
    <row r="64" spans="16:19" x14ac:dyDescent="0.45">
      <c r="P64">
        <v>2035</v>
      </c>
      <c r="Q64" t="s">
        <v>188</v>
      </c>
      <c r="R64">
        <v>0.55490000000000006</v>
      </c>
      <c r="S64" t="s">
        <v>187</v>
      </c>
    </row>
    <row r="65" spans="16:19" x14ac:dyDescent="0.45">
      <c r="P65">
        <v>2035</v>
      </c>
      <c r="Q65" t="s">
        <v>189</v>
      </c>
      <c r="R65">
        <v>0.60910000000000009</v>
      </c>
      <c r="S65" t="s">
        <v>187</v>
      </c>
    </row>
    <row r="66" spans="16:19" x14ac:dyDescent="0.45">
      <c r="P66">
        <v>2035</v>
      </c>
      <c r="Q66" t="s">
        <v>190</v>
      </c>
      <c r="R66">
        <v>0.41943333333333332</v>
      </c>
      <c r="S66" t="s">
        <v>187</v>
      </c>
    </row>
    <row r="67" spans="16:19" x14ac:dyDescent="0.45">
      <c r="P67">
        <v>2036</v>
      </c>
      <c r="Q67" t="s">
        <v>186</v>
      </c>
      <c r="R67">
        <v>0.43836666666666674</v>
      </c>
      <c r="S67" t="s">
        <v>187</v>
      </c>
    </row>
    <row r="68" spans="16:19" x14ac:dyDescent="0.45">
      <c r="P68">
        <v>2036</v>
      </c>
      <c r="Q68" t="s">
        <v>188</v>
      </c>
      <c r="R68">
        <v>0.50073333333333336</v>
      </c>
      <c r="S68" t="s">
        <v>187</v>
      </c>
    </row>
    <row r="69" spans="16:19" x14ac:dyDescent="0.45">
      <c r="P69">
        <v>2036</v>
      </c>
      <c r="Q69" t="s">
        <v>189</v>
      </c>
      <c r="R69">
        <v>0.56240000000000012</v>
      </c>
      <c r="S69" t="s">
        <v>187</v>
      </c>
    </row>
    <row r="70" spans="16:19" x14ac:dyDescent="0.45">
      <c r="P70">
        <v>2036</v>
      </c>
      <c r="Q70" t="s">
        <v>190</v>
      </c>
      <c r="R70">
        <v>0.41840000000000005</v>
      </c>
      <c r="S70" t="s">
        <v>187</v>
      </c>
    </row>
    <row r="71" spans="16:19" x14ac:dyDescent="0.45">
      <c r="P71">
        <v>2037</v>
      </c>
      <c r="Q71" t="s">
        <v>186</v>
      </c>
      <c r="R71">
        <v>0.44306666666666666</v>
      </c>
      <c r="S71" t="s">
        <v>187</v>
      </c>
    </row>
    <row r="72" spans="16:19" x14ac:dyDescent="0.45">
      <c r="P72">
        <v>2037</v>
      </c>
      <c r="Q72" t="s">
        <v>188</v>
      </c>
      <c r="R72">
        <v>0.48740000000000006</v>
      </c>
      <c r="S72" t="s">
        <v>187</v>
      </c>
    </row>
    <row r="73" spans="16:19" x14ac:dyDescent="0.45">
      <c r="P73">
        <v>2037</v>
      </c>
      <c r="Q73" t="s">
        <v>189</v>
      </c>
      <c r="R73">
        <v>0.5427333333333334</v>
      </c>
      <c r="S73" t="s">
        <v>187</v>
      </c>
    </row>
    <row r="74" spans="16:19" x14ac:dyDescent="0.45">
      <c r="P74">
        <v>2037</v>
      </c>
      <c r="Q74" t="s">
        <v>190</v>
      </c>
      <c r="R74">
        <v>0.46776666666666666</v>
      </c>
      <c r="S74" t="s">
        <v>187</v>
      </c>
    </row>
    <row r="75" spans="16:19" x14ac:dyDescent="0.45">
      <c r="P75">
        <v>2038</v>
      </c>
      <c r="Q75" t="s">
        <v>186</v>
      </c>
      <c r="R75">
        <v>0.42229999999999995</v>
      </c>
      <c r="S75" t="s">
        <v>187</v>
      </c>
    </row>
    <row r="76" spans="16:19" x14ac:dyDescent="0.45">
      <c r="P76">
        <v>2038</v>
      </c>
      <c r="Q76" t="s">
        <v>188</v>
      </c>
      <c r="R76">
        <v>0.48636666666666661</v>
      </c>
      <c r="S76" t="s">
        <v>187</v>
      </c>
    </row>
    <row r="77" spans="16:19" x14ac:dyDescent="0.45">
      <c r="P77">
        <v>2038</v>
      </c>
      <c r="Q77" t="s">
        <v>189</v>
      </c>
      <c r="R77">
        <v>0.52033333333333331</v>
      </c>
      <c r="S77" t="s">
        <v>187</v>
      </c>
    </row>
    <row r="78" spans="16:19" x14ac:dyDescent="0.45">
      <c r="P78">
        <v>2038</v>
      </c>
      <c r="Q78" t="s">
        <v>190</v>
      </c>
      <c r="R78">
        <v>0.46806666666666663</v>
      </c>
      <c r="S78" t="s">
        <v>187</v>
      </c>
    </row>
    <row r="79" spans="16:19" x14ac:dyDescent="0.45">
      <c r="P79">
        <v>2039</v>
      </c>
      <c r="Q79" t="s">
        <v>186</v>
      </c>
      <c r="R79">
        <v>0.46006666666666668</v>
      </c>
      <c r="S79" t="s">
        <v>187</v>
      </c>
    </row>
    <row r="80" spans="16:19" x14ac:dyDescent="0.45">
      <c r="P80">
        <v>2039</v>
      </c>
      <c r="Q80" t="s">
        <v>188</v>
      </c>
      <c r="R80">
        <v>0.49689999999999995</v>
      </c>
      <c r="S80" t="s">
        <v>187</v>
      </c>
    </row>
    <row r="81" spans="16:19" x14ac:dyDescent="0.45">
      <c r="P81">
        <v>2039</v>
      </c>
      <c r="Q81" t="s">
        <v>189</v>
      </c>
      <c r="R81">
        <v>0.65636666666666665</v>
      </c>
      <c r="S81" t="s">
        <v>187</v>
      </c>
    </row>
    <row r="82" spans="16:19" x14ac:dyDescent="0.45">
      <c r="P82">
        <v>2039</v>
      </c>
      <c r="Q82" t="s">
        <v>190</v>
      </c>
      <c r="R82">
        <v>0.50823333333333343</v>
      </c>
      <c r="S82" t="s">
        <v>187</v>
      </c>
    </row>
    <row r="83" spans="16:19" x14ac:dyDescent="0.45">
      <c r="P83">
        <v>2040</v>
      </c>
      <c r="Q83" t="s">
        <v>186</v>
      </c>
      <c r="R83">
        <v>0.47763333333333335</v>
      </c>
      <c r="S83" t="s">
        <v>187</v>
      </c>
    </row>
    <row r="84" spans="16:19" x14ac:dyDescent="0.45">
      <c r="P84">
        <v>2040</v>
      </c>
      <c r="Q84" t="s">
        <v>188</v>
      </c>
      <c r="R84">
        <v>0.46416666666666667</v>
      </c>
      <c r="S84" t="s">
        <v>187</v>
      </c>
    </row>
    <row r="85" spans="16:19" x14ac:dyDescent="0.45">
      <c r="P85">
        <v>2040</v>
      </c>
      <c r="Q85" t="s">
        <v>189</v>
      </c>
      <c r="R85">
        <v>0.57736666666666669</v>
      </c>
      <c r="S85" t="s">
        <v>187</v>
      </c>
    </row>
    <row r="86" spans="16:19" x14ac:dyDescent="0.45">
      <c r="P86">
        <v>2040</v>
      </c>
      <c r="Q86" t="s">
        <v>190</v>
      </c>
      <c r="R86">
        <v>0.50240000000000007</v>
      </c>
      <c r="S86" t="s">
        <v>187</v>
      </c>
    </row>
    <row r="87" spans="16:19" x14ac:dyDescent="0.45">
      <c r="P87">
        <v>2041</v>
      </c>
      <c r="Q87" t="s">
        <v>186</v>
      </c>
      <c r="R87">
        <v>0.46629999999999999</v>
      </c>
      <c r="S87" t="s">
        <v>187</v>
      </c>
    </row>
    <row r="88" spans="16:19" x14ac:dyDescent="0.45">
      <c r="P88">
        <v>2041</v>
      </c>
      <c r="Q88" t="s">
        <v>188</v>
      </c>
      <c r="R88">
        <v>0.58306666666666662</v>
      </c>
      <c r="S88" t="s">
        <v>187</v>
      </c>
    </row>
    <row r="89" spans="16:19" x14ac:dyDescent="0.45">
      <c r="P89">
        <v>2041</v>
      </c>
      <c r="Q89" t="s">
        <v>189</v>
      </c>
      <c r="R89">
        <v>0.55956666666666666</v>
      </c>
      <c r="S89" t="s">
        <v>187</v>
      </c>
    </row>
    <row r="90" spans="16:19" x14ac:dyDescent="0.45">
      <c r="P90">
        <v>2041</v>
      </c>
      <c r="Q90" t="s">
        <v>190</v>
      </c>
      <c r="R90">
        <v>0.42409999999999998</v>
      </c>
      <c r="S90" t="s">
        <v>187</v>
      </c>
    </row>
    <row r="91" spans="16:19" x14ac:dyDescent="0.45">
      <c r="P91">
        <v>2042</v>
      </c>
      <c r="Q91" t="s">
        <v>186</v>
      </c>
      <c r="R91">
        <v>0.50126666666666664</v>
      </c>
      <c r="S91" t="s">
        <v>187</v>
      </c>
    </row>
    <row r="92" spans="16:19" x14ac:dyDescent="0.45">
      <c r="P92">
        <v>2042</v>
      </c>
      <c r="Q92" t="s">
        <v>188</v>
      </c>
      <c r="R92">
        <v>0.51936666666666664</v>
      </c>
      <c r="S92" t="s">
        <v>187</v>
      </c>
    </row>
    <row r="93" spans="16:19" x14ac:dyDescent="0.45">
      <c r="P93">
        <v>2042</v>
      </c>
      <c r="Q93" t="s">
        <v>189</v>
      </c>
      <c r="R93">
        <v>0.55123333333333335</v>
      </c>
      <c r="S93" t="s">
        <v>187</v>
      </c>
    </row>
    <row r="94" spans="16:19" x14ac:dyDescent="0.45">
      <c r="P94">
        <v>2042</v>
      </c>
      <c r="Q94" t="s">
        <v>190</v>
      </c>
      <c r="R94">
        <v>0.47649999999999998</v>
      </c>
      <c r="S94" t="s">
        <v>187</v>
      </c>
    </row>
    <row r="95" spans="16:19" x14ac:dyDescent="0.45">
      <c r="P95">
        <v>2043</v>
      </c>
      <c r="Q95" t="s">
        <v>186</v>
      </c>
      <c r="R95">
        <v>0.44313333333333332</v>
      </c>
      <c r="S95" t="s">
        <v>187</v>
      </c>
    </row>
    <row r="96" spans="16:19" x14ac:dyDescent="0.45">
      <c r="P96">
        <v>2043</v>
      </c>
      <c r="Q96" t="s">
        <v>188</v>
      </c>
      <c r="R96">
        <v>0.46799999999999997</v>
      </c>
      <c r="S96" t="s">
        <v>187</v>
      </c>
    </row>
    <row r="97" spans="16:19" x14ac:dyDescent="0.45">
      <c r="P97">
        <v>2043</v>
      </c>
      <c r="Q97" t="s">
        <v>189</v>
      </c>
      <c r="R97">
        <v>0.49310000000000004</v>
      </c>
      <c r="S97" t="s">
        <v>187</v>
      </c>
    </row>
    <row r="98" spans="16:19" x14ac:dyDescent="0.45">
      <c r="P98">
        <v>2043</v>
      </c>
      <c r="Q98" t="s">
        <v>190</v>
      </c>
      <c r="R98">
        <v>0.37753333333333333</v>
      </c>
      <c r="S98" t="s">
        <v>187</v>
      </c>
    </row>
    <row r="99" spans="16:19" x14ac:dyDescent="0.45">
      <c r="P99">
        <v>2044</v>
      </c>
      <c r="Q99" t="s">
        <v>186</v>
      </c>
      <c r="R99">
        <v>0.47313333333333335</v>
      </c>
      <c r="S99" t="s">
        <v>187</v>
      </c>
    </row>
    <row r="100" spans="16:19" x14ac:dyDescent="0.45">
      <c r="P100">
        <v>2044</v>
      </c>
      <c r="Q100" t="s">
        <v>188</v>
      </c>
      <c r="R100">
        <v>0.49306666666666671</v>
      </c>
      <c r="S100" t="s">
        <v>187</v>
      </c>
    </row>
    <row r="101" spans="16:19" x14ac:dyDescent="0.45">
      <c r="P101">
        <v>2044</v>
      </c>
      <c r="Q101" t="s">
        <v>189</v>
      </c>
      <c r="R101">
        <v>0.59036666666666671</v>
      </c>
      <c r="S101" t="s">
        <v>187</v>
      </c>
    </row>
    <row r="102" spans="16:19" x14ac:dyDescent="0.45">
      <c r="P102">
        <v>2044</v>
      </c>
      <c r="Q102" t="s">
        <v>190</v>
      </c>
      <c r="R102">
        <v>0.43323333333333336</v>
      </c>
      <c r="S102" t="s">
        <v>187</v>
      </c>
    </row>
    <row r="103" spans="16:19" x14ac:dyDescent="0.45">
      <c r="P103">
        <v>2045</v>
      </c>
      <c r="Q103" t="s">
        <v>186</v>
      </c>
      <c r="R103">
        <v>0.33493333333333336</v>
      </c>
      <c r="S103" t="s">
        <v>187</v>
      </c>
    </row>
    <row r="104" spans="16:19" x14ac:dyDescent="0.45">
      <c r="P104">
        <v>2045</v>
      </c>
      <c r="Q104" t="s">
        <v>188</v>
      </c>
      <c r="R104">
        <v>0.41310000000000002</v>
      </c>
      <c r="S104" t="s">
        <v>187</v>
      </c>
    </row>
    <row r="105" spans="16:19" x14ac:dyDescent="0.45">
      <c r="P105">
        <v>2045</v>
      </c>
      <c r="Q105" t="s">
        <v>189</v>
      </c>
      <c r="R105">
        <v>0.40243333333333337</v>
      </c>
      <c r="S105" t="s">
        <v>187</v>
      </c>
    </row>
    <row r="106" spans="16:19" x14ac:dyDescent="0.45">
      <c r="P106">
        <v>2045</v>
      </c>
      <c r="Q106" t="s">
        <v>190</v>
      </c>
      <c r="R106">
        <v>0.28946666666666671</v>
      </c>
      <c r="S106" t="s">
        <v>187</v>
      </c>
    </row>
    <row r="107" spans="16:19" x14ac:dyDescent="0.45">
      <c r="P107">
        <v>2046</v>
      </c>
      <c r="Q107" t="s">
        <v>186</v>
      </c>
      <c r="R107">
        <v>0.36099999999999999</v>
      </c>
      <c r="S107" t="s">
        <v>187</v>
      </c>
    </row>
    <row r="108" spans="16:19" x14ac:dyDescent="0.45">
      <c r="P108">
        <v>2046</v>
      </c>
      <c r="Q108" t="s">
        <v>188</v>
      </c>
      <c r="R108">
        <v>0.38506666666666667</v>
      </c>
      <c r="S108" t="s">
        <v>187</v>
      </c>
    </row>
    <row r="109" spans="16:19" x14ac:dyDescent="0.45">
      <c r="P109">
        <v>2046</v>
      </c>
      <c r="Q109" t="s">
        <v>189</v>
      </c>
      <c r="R109">
        <v>0.39926666666666666</v>
      </c>
      <c r="S109" t="s">
        <v>187</v>
      </c>
    </row>
    <row r="110" spans="16:19" x14ac:dyDescent="0.45">
      <c r="P110">
        <v>2046</v>
      </c>
      <c r="Q110" t="s">
        <v>190</v>
      </c>
      <c r="R110">
        <v>0.32676666666666671</v>
      </c>
      <c r="S110" t="s">
        <v>187</v>
      </c>
    </row>
    <row r="111" spans="16:19" x14ac:dyDescent="0.45">
      <c r="P111">
        <v>2047</v>
      </c>
      <c r="Q111" t="s">
        <v>186</v>
      </c>
      <c r="R111">
        <v>0.33713333333333334</v>
      </c>
      <c r="S111" t="s">
        <v>187</v>
      </c>
    </row>
    <row r="112" spans="16:19" x14ac:dyDescent="0.45">
      <c r="P112">
        <v>2047</v>
      </c>
      <c r="Q112" t="s">
        <v>188</v>
      </c>
      <c r="R112">
        <v>0.47839999999999999</v>
      </c>
      <c r="S112" t="s">
        <v>187</v>
      </c>
    </row>
    <row r="113" spans="16:19" x14ac:dyDescent="0.45">
      <c r="P113">
        <v>2047</v>
      </c>
      <c r="Q113" t="s">
        <v>189</v>
      </c>
      <c r="R113">
        <v>0.42959999999999998</v>
      </c>
      <c r="S113" t="s">
        <v>187</v>
      </c>
    </row>
    <row r="114" spans="16:19" x14ac:dyDescent="0.45">
      <c r="P114">
        <v>2047</v>
      </c>
      <c r="Q114" t="s">
        <v>190</v>
      </c>
      <c r="R114">
        <v>0.35446666666666665</v>
      </c>
      <c r="S114" t="s">
        <v>187</v>
      </c>
    </row>
    <row r="115" spans="16:19" x14ac:dyDescent="0.45">
      <c r="P115">
        <v>2048</v>
      </c>
      <c r="Q115" t="s">
        <v>186</v>
      </c>
      <c r="R115">
        <v>0.33816666666666667</v>
      </c>
      <c r="S115" t="s">
        <v>187</v>
      </c>
    </row>
    <row r="116" spans="16:19" x14ac:dyDescent="0.45">
      <c r="P116">
        <v>2048</v>
      </c>
      <c r="Q116" t="s">
        <v>188</v>
      </c>
      <c r="R116">
        <v>0.43759999999999999</v>
      </c>
      <c r="S116" t="s">
        <v>187</v>
      </c>
    </row>
    <row r="117" spans="16:19" x14ac:dyDescent="0.45">
      <c r="P117">
        <v>2048</v>
      </c>
      <c r="Q117" t="s">
        <v>189</v>
      </c>
      <c r="R117">
        <v>0.43633333333333341</v>
      </c>
      <c r="S117" t="s">
        <v>187</v>
      </c>
    </row>
    <row r="118" spans="16:19" x14ac:dyDescent="0.45">
      <c r="P118">
        <v>2048</v>
      </c>
      <c r="Q118" t="s">
        <v>190</v>
      </c>
      <c r="R118">
        <v>0.34786666666666671</v>
      </c>
      <c r="S118" t="s">
        <v>187</v>
      </c>
    </row>
    <row r="119" spans="16:19" x14ac:dyDescent="0.45">
      <c r="P119">
        <v>2049</v>
      </c>
      <c r="Q119" t="s">
        <v>186</v>
      </c>
      <c r="R119">
        <v>0.34460000000000002</v>
      </c>
      <c r="S119" t="s">
        <v>187</v>
      </c>
    </row>
    <row r="120" spans="16:19" x14ac:dyDescent="0.45">
      <c r="P120">
        <v>2049</v>
      </c>
      <c r="Q120" t="s">
        <v>188</v>
      </c>
      <c r="R120">
        <v>0.40759999999999996</v>
      </c>
      <c r="S120" t="s">
        <v>187</v>
      </c>
    </row>
    <row r="121" spans="16:19" x14ac:dyDescent="0.45">
      <c r="P121">
        <v>2049</v>
      </c>
      <c r="Q121" t="s">
        <v>189</v>
      </c>
      <c r="R121">
        <v>0.41073333333333334</v>
      </c>
      <c r="S121" t="s">
        <v>187</v>
      </c>
    </row>
    <row r="122" spans="16:19" x14ac:dyDescent="0.45">
      <c r="P122">
        <v>2049</v>
      </c>
      <c r="Q122" t="s">
        <v>190</v>
      </c>
      <c r="R122">
        <v>0.36756666666666665</v>
      </c>
      <c r="S122" t="s">
        <v>187</v>
      </c>
    </row>
    <row r="123" spans="16:19" x14ac:dyDescent="0.45">
      <c r="P123">
        <v>2050</v>
      </c>
      <c r="Q123" t="s">
        <v>186</v>
      </c>
      <c r="R123">
        <v>0.38023333333333326</v>
      </c>
      <c r="S123" t="s">
        <v>187</v>
      </c>
    </row>
    <row r="124" spans="16:19" x14ac:dyDescent="0.45">
      <c r="P124">
        <v>2050</v>
      </c>
      <c r="Q124" t="s">
        <v>188</v>
      </c>
      <c r="R124">
        <v>0.4415</v>
      </c>
      <c r="S124" t="s">
        <v>187</v>
      </c>
    </row>
    <row r="125" spans="16:19" x14ac:dyDescent="0.45">
      <c r="P125">
        <v>2050</v>
      </c>
      <c r="Q125" t="s">
        <v>189</v>
      </c>
      <c r="R125">
        <v>0.46733333333333332</v>
      </c>
      <c r="S125" t="s">
        <v>187</v>
      </c>
    </row>
    <row r="126" spans="16:19" x14ac:dyDescent="0.45">
      <c r="P126">
        <v>2050</v>
      </c>
      <c r="Q126" t="s">
        <v>190</v>
      </c>
      <c r="R126">
        <v>0.36506666666666665</v>
      </c>
      <c r="S126" t="s">
        <v>187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8E765-D81D-4C7F-8F34-CBC41D0CAF5A}">
  <dimension ref="B9:J130"/>
  <sheetViews>
    <sheetView workbookViewId="0"/>
  </sheetViews>
  <sheetFormatPr defaultRowHeight="14.25" x14ac:dyDescent="0.45"/>
  <sheetData>
    <row r="9" spans="2:10" x14ac:dyDescent="0.45">
      <c r="B9" t="str">
        <f>IF(A11="x","DeActivated","~TFM_DINS-AT: region=CHE")</f>
        <v>~TFM_DINS-AT: region=CHE</v>
      </c>
      <c r="G9" t="str">
        <f>IF(A11="x","DeActivated","~TFM_DINS-AT: region=CHE")</f>
        <v>~TFM_DINS-AT: region=CHE</v>
      </c>
    </row>
    <row r="10" spans="2:10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</row>
    <row r="11" spans="2:10" x14ac:dyDescent="0.45">
      <c r="B11" t="s">
        <v>544</v>
      </c>
      <c r="C11" t="s">
        <v>5</v>
      </c>
      <c r="D11">
        <v>0</v>
      </c>
      <c r="E11" t="s">
        <v>6</v>
      </c>
      <c r="G11" t="s">
        <v>545</v>
      </c>
      <c r="H11" t="s">
        <v>5</v>
      </c>
      <c r="I11">
        <v>0.10452552212931503</v>
      </c>
      <c r="J11" t="s">
        <v>6</v>
      </c>
    </row>
    <row r="12" spans="2:10" x14ac:dyDescent="0.45">
      <c r="B12" t="s">
        <v>544</v>
      </c>
      <c r="C12" t="s">
        <v>9</v>
      </c>
      <c r="D12">
        <v>0.18176038006453343</v>
      </c>
      <c r="E12" t="s">
        <v>6</v>
      </c>
      <c r="G12" t="s">
        <v>545</v>
      </c>
      <c r="H12" t="s">
        <v>9</v>
      </c>
      <c r="I12">
        <v>0.11381184197280551</v>
      </c>
      <c r="J12" t="s">
        <v>6</v>
      </c>
    </row>
    <row r="13" spans="2:10" x14ac:dyDescent="0.45">
      <c r="B13" t="s">
        <v>544</v>
      </c>
      <c r="C13" t="s">
        <v>10</v>
      </c>
      <c r="D13">
        <v>9.2621926413304643E-4</v>
      </c>
      <c r="E13" t="s">
        <v>6</v>
      </c>
      <c r="G13" t="s">
        <v>545</v>
      </c>
      <c r="H13" t="s">
        <v>10</v>
      </c>
      <c r="I13">
        <v>8.7280637363363167E-2</v>
      </c>
      <c r="J13" t="s">
        <v>6</v>
      </c>
    </row>
    <row r="14" spans="2:10" x14ac:dyDescent="0.45">
      <c r="B14" t="s">
        <v>544</v>
      </c>
      <c r="C14" t="s">
        <v>11</v>
      </c>
      <c r="D14">
        <v>2.0922371173331643E-3</v>
      </c>
      <c r="E14" t="s">
        <v>6</v>
      </c>
      <c r="G14" t="s">
        <v>545</v>
      </c>
      <c r="H14" t="s">
        <v>11</v>
      </c>
      <c r="I14">
        <v>6.5116235021623156E-2</v>
      </c>
      <c r="J14" t="s">
        <v>6</v>
      </c>
    </row>
    <row r="15" spans="2:10" x14ac:dyDescent="0.45">
      <c r="B15" t="s">
        <v>544</v>
      </c>
      <c r="C15" t="s">
        <v>12</v>
      </c>
      <c r="D15">
        <v>0.27183946728592945</v>
      </c>
      <c r="E15" t="s">
        <v>6</v>
      </c>
      <c r="G15" t="s">
        <v>545</v>
      </c>
      <c r="H15" t="s">
        <v>12</v>
      </c>
      <c r="I15">
        <v>8.6917003491904787E-2</v>
      </c>
      <c r="J15" t="s">
        <v>6</v>
      </c>
    </row>
    <row r="16" spans="2:10" x14ac:dyDescent="0.45">
      <c r="B16" t="s">
        <v>544</v>
      </c>
      <c r="C16" t="s">
        <v>13</v>
      </c>
      <c r="D16">
        <v>9.8067263332028524E-3</v>
      </c>
      <c r="E16" t="s">
        <v>6</v>
      </c>
      <c r="G16" t="s">
        <v>545</v>
      </c>
      <c r="H16" t="s">
        <v>13</v>
      </c>
      <c r="I16">
        <v>5.5278502567927074E-2</v>
      </c>
      <c r="J16" t="s">
        <v>6</v>
      </c>
    </row>
    <row r="17" spans="2:10" x14ac:dyDescent="0.45">
      <c r="B17" t="s">
        <v>544</v>
      </c>
      <c r="C17" t="s">
        <v>14</v>
      </c>
      <c r="D17">
        <v>4.5158317723904811E-3</v>
      </c>
      <c r="E17" t="s">
        <v>6</v>
      </c>
      <c r="G17" t="s">
        <v>545</v>
      </c>
      <c r="H17" t="s">
        <v>14</v>
      </c>
      <c r="I17">
        <v>4.5534961345631161E-2</v>
      </c>
      <c r="J17" t="s">
        <v>6</v>
      </c>
    </row>
    <row r="18" spans="2:10" x14ac:dyDescent="0.45">
      <c r="B18" t="s">
        <v>544</v>
      </c>
      <c r="C18" t="s">
        <v>15</v>
      </c>
      <c r="D18">
        <v>0.31003723409577755</v>
      </c>
      <c r="E18" t="s">
        <v>6</v>
      </c>
      <c r="G18" t="s">
        <v>545</v>
      </c>
      <c r="H18" t="s">
        <v>15</v>
      </c>
      <c r="I18">
        <v>5.4163319376160826E-2</v>
      </c>
      <c r="J18" t="s">
        <v>6</v>
      </c>
    </row>
    <row r="19" spans="2:10" x14ac:dyDescent="0.45">
      <c r="B19" t="s">
        <v>544</v>
      </c>
      <c r="C19" t="s">
        <v>16</v>
      </c>
      <c r="D19">
        <v>1.6699214616885557E-2</v>
      </c>
      <c r="E19" t="s">
        <v>6</v>
      </c>
      <c r="G19" t="s">
        <v>545</v>
      </c>
      <c r="H19" t="s">
        <v>16</v>
      </c>
      <c r="I19">
        <v>4.0216553910691129E-2</v>
      </c>
      <c r="J19" t="s">
        <v>6</v>
      </c>
    </row>
    <row r="20" spans="2:10" x14ac:dyDescent="0.45">
      <c r="B20" t="s">
        <v>544</v>
      </c>
      <c r="C20" t="s">
        <v>17</v>
      </c>
      <c r="D20">
        <v>1.9730960393944905E-4</v>
      </c>
      <c r="E20" t="s">
        <v>6</v>
      </c>
      <c r="G20" t="s">
        <v>545</v>
      </c>
      <c r="H20" t="s">
        <v>17</v>
      </c>
      <c r="I20">
        <v>0.11317104663953352</v>
      </c>
      <c r="J20" t="s">
        <v>6</v>
      </c>
    </row>
    <row r="21" spans="2:10" x14ac:dyDescent="0.45">
      <c r="B21" t="s">
        <v>544</v>
      </c>
      <c r="C21" t="s">
        <v>18</v>
      </c>
      <c r="D21">
        <v>0.20008427759639352</v>
      </c>
      <c r="E21" t="s">
        <v>6</v>
      </c>
      <c r="G21" t="s">
        <v>545</v>
      </c>
      <c r="H21" t="s">
        <v>18</v>
      </c>
      <c r="I21">
        <v>0.15052107657914057</v>
      </c>
      <c r="J21" t="s">
        <v>6</v>
      </c>
    </row>
    <row r="22" spans="2:10" x14ac:dyDescent="0.45">
      <c r="B22" t="s">
        <v>544</v>
      </c>
      <c r="C22" t="s">
        <v>19</v>
      </c>
      <c r="D22">
        <v>2.0411022494800004E-3</v>
      </c>
      <c r="E22" t="s">
        <v>6</v>
      </c>
      <c r="G22" t="s">
        <v>545</v>
      </c>
      <c r="H22" t="s">
        <v>19</v>
      </c>
      <c r="I22">
        <v>8.3463299601904059E-2</v>
      </c>
      <c r="J22" t="s">
        <v>6</v>
      </c>
    </row>
    <row r="23" spans="2:10" x14ac:dyDescent="0.45">
      <c r="B23" t="s">
        <v>546</v>
      </c>
      <c r="C23" t="s">
        <v>5</v>
      </c>
      <c r="D23">
        <v>0</v>
      </c>
      <c r="E23" t="s">
        <v>6</v>
      </c>
      <c r="G23" t="s">
        <v>547</v>
      </c>
      <c r="H23" t="s">
        <v>5</v>
      </c>
      <c r="I23">
        <v>0.11334911490440523</v>
      </c>
      <c r="J23" t="s">
        <v>6</v>
      </c>
    </row>
    <row r="24" spans="2:10" x14ac:dyDescent="0.45">
      <c r="B24" t="s">
        <v>546</v>
      </c>
      <c r="C24" t="s">
        <v>9</v>
      </c>
      <c r="D24">
        <v>0.17129001137859412</v>
      </c>
      <c r="E24" t="s">
        <v>6</v>
      </c>
      <c r="G24" t="s">
        <v>547</v>
      </c>
      <c r="H24" t="s">
        <v>9</v>
      </c>
      <c r="I24">
        <v>0.12242737643064415</v>
      </c>
      <c r="J24" t="s">
        <v>6</v>
      </c>
    </row>
    <row r="25" spans="2:10" x14ac:dyDescent="0.45">
      <c r="B25" t="s">
        <v>546</v>
      </c>
      <c r="C25" t="s">
        <v>10</v>
      </c>
      <c r="D25">
        <v>6.1923833660172082E-4</v>
      </c>
      <c r="E25" t="s">
        <v>6</v>
      </c>
      <c r="G25" t="s">
        <v>547</v>
      </c>
      <c r="H25" t="s">
        <v>10</v>
      </c>
      <c r="I25">
        <v>9.093654230829433E-2</v>
      </c>
      <c r="J25" t="s">
        <v>6</v>
      </c>
    </row>
    <row r="26" spans="2:10" x14ac:dyDescent="0.45">
      <c r="B26" t="s">
        <v>546</v>
      </c>
      <c r="C26" t="s">
        <v>11</v>
      </c>
      <c r="D26">
        <v>2.4282846248338515E-3</v>
      </c>
      <c r="E26" t="s">
        <v>6</v>
      </c>
      <c r="G26" t="s">
        <v>547</v>
      </c>
      <c r="H26" t="s">
        <v>11</v>
      </c>
      <c r="I26">
        <v>7.0826103741879559E-2</v>
      </c>
      <c r="J26" t="s">
        <v>6</v>
      </c>
    </row>
    <row r="27" spans="2:10" x14ac:dyDescent="0.45">
      <c r="B27" t="s">
        <v>546</v>
      </c>
      <c r="C27" t="s">
        <v>12</v>
      </c>
      <c r="D27">
        <v>0.27546148881284738</v>
      </c>
      <c r="E27" t="s">
        <v>6</v>
      </c>
      <c r="G27" t="s">
        <v>547</v>
      </c>
      <c r="H27" t="s">
        <v>12</v>
      </c>
      <c r="I27">
        <v>7.90665668688013E-2</v>
      </c>
      <c r="J27" t="s">
        <v>6</v>
      </c>
    </row>
    <row r="28" spans="2:10" x14ac:dyDescent="0.45">
      <c r="B28" t="s">
        <v>546</v>
      </c>
      <c r="C28" t="s">
        <v>13</v>
      </c>
      <c r="D28">
        <v>9.0188673231496302E-3</v>
      </c>
      <c r="E28" t="s">
        <v>6</v>
      </c>
      <c r="G28" t="s">
        <v>547</v>
      </c>
      <c r="H28" t="s">
        <v>13</v>
      </c>
      <c r="I28">
        <v>5.3761655691170751E-2</v>
      </c>
      <c r="J28" t="s">
        <v>6</v>
      </c>
    </row>
    <row r="29" spans="2:10" x14ac:dyDescent="0.45">
      <c r="B29" t="s">
        <v>546</v>
      </c>
      <c r="C29" t="s">
        <v>14</v>
      </c>
      <c r="D29">
        <v>5.20267270272666E-3</v>
      </c>
      <c r="E29" t="s">
        <v>6</v>
      </c>
      <c r="G29" t="s">
        <v>547</v>
      </c>
      <c r="H29" t="s">
        <v>14</v>
      </c>
      <c r="I29">
        <v>4.8229695231418776E-2</v>
      </c>
      <c r="J29" t="s">
        <v>6</v>
      </c>
    </row>
    <row r="30" spans="2:10" x14ac:dyDescent="0.45">
      <c r="B30" t="s">
        <v>546</v>
      </c>
      <c r="C30" t="s">
        <v>15</v>
      </c>
      <c r="D30">
        <v>0.32056989866338337</v>
      </c>
      <c r="E30" t="s">
        <v>6</v>
      </c>
      <c r="G30" t="s">
        <v>547</v>
      </c>
      <c r="H30" t="s">
        <v>15</v>
      </c>
      <c r="I30">
        <v>4.9400754627868491E-2</v>
      </c>
      <c r="J30" t="s">
        <v>6</v>
      </c>
    </row>
    <row r="31" spans="2:10" x14ac:dyDescent="0.45">
      <c r="B31" t="s">
        <v>546</v>
      </c>
      <c r="C31" t="s">
        <v>16</v>
      </c>
      <c r="D31">
        <v>1.6277160584963465E-2</v>
      </c>
      <c r="E31" t="s">
        <v>6</v>
      </c>
      <c r="G31" t="s">
        <v>547</v>
      </c>
      <c r="H31" t="s">
        <v>16</v>
      </c>
      <c r="I31">
        <v>3.7781165731119573E-2</v>
      </c>
      <c r="J31" t="s">
        <v>6</v>
      </c>
    </row>
    <row r="32" spans="2:10" x14ac:dyDescent="0.45">
      <c r="B32" t="s">
        <v>546</v>
      </c>
      <c r="C32" t="s">
        <v>17</v>
      </c>
      <c r="D32">
        <v>2.8462739725953985E-4</v>
      </c>
      <c r="E32" t="s">
        <v>6</v>
      </c>
      <c r="G32" t="s">
        <v>547</v>
      </c>
      <c r="H32" t="s">
        <v>17</v>
      </c>
      <c r="I32">
        <v>0.11761786521736028</v>
      </c>
      <c r="J32" t="s">
        <v>6</v>
      </c>
    </row>
    <row r="33" spans="2:10" x14ac:dyDescent="0.45">
      <c r="B33" t="s">
        <v>546</v>
      </c>
      <c r="C33" t="s">
        <v>18</v>
      </c>
      <c r="D33">
        <v>0.1969767111467961</v>
      </c>
      <c r="E33" t="s">
        <v>6</v>
      </c>
      <c r="G33" t="s">
        <v>547</v>
      </c>
      <c r="H33" t="s">
        <v>18</v>
      </c>
      <c r="I33">
        <v>0.13476894888441635</v>
      </c>
      <c r="J33" t="s">
        <v>6</v>
      </c>
    </row>
    <row r="34" spans="2:10" x14ac:dyDescent="0.45">
      <c r="B34" t="s">
        <v>546</v>
      </c>
      <c r="C34" t="s">
        <v>19</v>
      </c>
      <c r="D34">
        <v>1.8710390288453119E-3</v>
      </c>
      <c r="E34" t="s">
        <v>6</v>
      </c>
      <c r="G34" t="s">
        <v>547</v>
      </c>
      <c r="H34" t="s">
        <v>19</v>
      </c>
      <c r="I34">
        <v>8.1834210362621188E-2</v>
      </c>
      <c r="J34" t="s">
        <v>6</v>
      </c>
    </row>
    <row r="35" spans="2:10" x14ac:dyDescent="0.45">
      <c r="B35" t="s">
        <v>548</v>
      </c>
      <c r="C35" t="s">
        <v>5</v>
      </c>
      <c r="D35">
        <v>0</v>
      </c>
      <c r="E35" t="s">
        <v>6</v>
      </c>
      <c r="G35" t="s">
        <v>549</v>
      </c>
      <c r="H35" t="s">
        <v>5</v>
      </c>
      <c r="I35">
        <v>0.10592644384614773</v>
      </c>
      <c r="J35" t="s">
        <v>6</v>
      </c>
    </row>
    <row r="36" spans="2:10" x14ac:dyDescent="0.45">
      <c r="B36" t="s">
        <v>548</v>
      </c>
      <c r="C36" t="s">
        <v>9</v>
      </c>
      <c r="D36">
        <v>0.1636285479290133</v>
      </c>
      <c r="E36" t="s">
        <v>6</v>
      </c>
      <c r="G36" t="s">
        <v>549</v>
      </c>
      <c r="H36" t="s">
        <v>9</v>
      </c>
      <c r="I36">
        <v>0.12161669389361174</v>
      </c>
      <c r="J36" t="s">
        <v>6</v>
      </c>
    </row>
    <row r="37" spans="2:10" x14ac:dyDescent="0.45">
      <c r="B37" t="s">
        <v>548</v>
      </c>
      <c r="C37" t="s">
        <v>10</v>
      </c>
      <c r="D37">
        <v>9.9592817484443503E-4</v>
      </c>
      <c r="E37" t="s">
        <v>6</v>
      </c>
      <c r="G37" t="s">
        <v>549</v>
      </c>
      <c r="H37" t="s">
        <v>10</v>
      </c>
      <c r="I37">
        <v>8.7952700619297886E-2</v>
      </c>
      <c r="J37" t="s">
        <v>6</v>
      </c>
    </row>
    <row r="38" spans="2:10" x14ac:dyDescent="0.45">
      <c r="B38" t="s">
        <v>548</v>
      </c>
      <c r="C38" t="s">
        <v>11</v>
      </c>
      <c r="D38">
        <v>1.8366692745689899E-3</v>
      </c>
      <c r="E38" t="s">
        <v>6</v>
      </c>
      <c r="G38" t="s">
        <v>549</v>
      </c>
      <c r="H38" t="s">
        <v>11</v>
      </c>
      <c r="I38">
        <v>6.3992692037619356E-2</v>
      </c>
      <c r="J38" t="s">
        <v>6</v>
      </c>
    </row>
    <row r="39" spans="2:10" x14ac:dyDescent="0.45">
      <c r="B39" t="s">
        <v>548</v>
      </c>
      <c r="C39" t="s">
        <v>12</v>
      </c>
      <c r="D39">
        <v>0.26374121611859908</v>
      </c>
      <c r="E39" t="s">
        <v>6</v>
      </c>
      <c r="G39" t="s">
        <v>549</v>
      </c>
      <c r="H39" t="s">
        <v>12</v>
      </c>
      <c r="I39">
        <v>8.7665290136056839E-2</v>
      </c>
      <c r="J39" t="s">
        <v>6</v>
      </c>
    </row>
    <row r="40" spans="2:10" x14ac:dyDescent="0.45">
      <c r="B40" t="s">
        <v>548</v>
      </c>
      <c r="C40" t="s">
        <v>13</v>
      </c>
      <c r="D40">
        <v>1.0455604426895851E-2</v>
      </c>
      <c r="E40" t="s">
        <v>6</v>
      </c>
      <c r="G40" t="s">
        <v>549</v>
      </c>
      <c r="H40" t="s">
        <v>13</v>
      </c>
      <c r="I40">
        <v>5.49016244414431E-2</v>
      </c>
      <c r="J40" t="s">
        <v>6</v>
      </c>
    </row>
    <row r="41" spans="2:10" x14ac:dyDescent="0.45">
      <c r="B41" t="s">
        <v>548</v>
      </c>
      <c r="C41" t="s">
        <v>14</v>
      </c>
      <c r="D41">
        <v>4.4215523757567604E-3</v>
      </c>
      <c r="E41" t="s">
        <v>6</v>
      </c>
      <c r="G41" t="s">
        <v>549</v>
      </c>
      <c r="H41" t="s">
        <v>14</v>
      </c>
      <c r="I41">
        <v>4.2115369482835188E-2</v>
      </c>
      <c r="J41" t="s">
        <v>6</v>
      </c>
    </row>
    <row r="42" spans="2:10" x14ac:dyDescent="0.45">
      <c r="B42" t="s">
        <v>548</v>
      </c>
      <c r="C42" t="s">
        <v>15</v>
      </c>
      <c r="D42">
        <v>0.34022092568187245</v>
      </c>
      <c r="E42" t="s">
        <v>6</v>
      </c>
      <c r="G42" t="s">
        <v>549</v>
      </c>
      <c r="H42" t="s">
        <v>15</v>
      </c>
      <c r="I42">
        <v>5.7399827210457492E-2</v>
      </c>
      <c r="J42" t="s">
        <v>6</v>
      </c>
    </row>
    <row r="43" spans="2:10" x14ac:dyDescent="0.45">
      <c r="B43" t="s">
        <v>548</v>
      </c>
      <c r="C43" t="s">
        <v>16</v>
      </c>
      <c r="D43">
        <v>1.9848938442425145E-2</v>
      </c>
      <c r="E43" t="s">
        <v>6</v>
      </c>
      <c r="G43" t="s">
        <v>549</v>
      </c>
      <c r="H43" t="s">
        <v>16</v>
      </c>
      <c r="I43">
        <v>3.7378263237954901E-2</v>
      </c>
      <c r="J43" t="s">
        <v>6</v>
      </c>
    </row>
    <row r="44" spans="2:10" x14ac:dyDescent="0.45">
      <c r="B44" t="s">
        <v>548</v>
      </c>
      <c r="C44" t="s">
        <v>17</v>
      </c>
      <c r="D44">
        <v>1.4828706309437013E-4</v>
      </c>
      <c r="E44" t="s">
        <v>6</v>
      </c>
      <c r="G44" t="s">
        <v>549</v>
      </c>
      <c r="H44" t="s">
        <v>17</v>
      </c>
      <c r="I44">
        <v>0.11085006407301248</v>
      </c>
      <c r="J44" t="s">
        <v>6</v>
      </c>
    </row>
    <row r="45" spans="2:10" x14ac:dyDescent="0.45">
      <c r="B45" t="s">
        <v>548</v>
      </c>
      <c r="C45" t="s">
        <v>18</v>
      </c>
      <c r="D45">
        <v>0.19238558906811604</v>
      </c>
      <c r="E45" t="s">
        <v>6</v>
      </c>
      <c r="G45" t="s">
        <v>549</v>
      </c>
      <c r="H45" t="s">
        <v>18</v>
      </c>
      <c r="I45">
        <v>0.14856831560663575</v>
      </c>
      <c r="J45" t="s">
        <v>6</v>
      </c>
    </row>
    <row r="46" spans="2:10" x14ac:dyDescent="0.45">
      <c r="B46" t="s">
        <v>548</v>
      </c>
      <c r="C46" t="s">
        <v>19</v>
      </c>
      <c r="D46">
        <v>2.316741444815004E-3</v>
      </c>
      <c r="E46" t="s">
        <v>6</v>
      </c>
      <c r="G46" t="s">
        <v>549</v>
      </c>
      <c r="H46" t="s">
        <v>19</v>
      </c>
      <c r="I46">
        <v>8.1632715414927531E-2</v>
      </c>
      <c r="J46" t="s">
        <v>6</v>
      </c>
    </row>
    <row r="47" spans="2:10" x14ac:dyDescent="0.45">
      <c r="B47" t="s">
        <v>550</v>
      </c>
      <c r="C47" t="s">
        <v>5</v>
      </c>
      <c r="D47">
        <v>0</v>
      </c>
      <c r="E47" t="s">
        <v>6</v>
      </c>
      <c r="G47" t="s">
        <v>551</v>
      </c>
      <c r="H47" t="s">
        <v>5</v>
      </c>
      <c r="I47">
        <v>0.10292441293540523</v>
      </c>
      <c r="J47" t="s">
        <v>6</v>
      </c>
    </row>
    <row r="48" spans="2:10" x14ac:dyDescent="0.45">
      <c r="B48" t="s">
        <v>550</v>
      </c>
      <c r="C48" t="s">
        <v>9</v>
      </c>
      <c r="D48">
        <v>0.17573987306649919</v>
      </c>
      <c r="E48" t="s">
        <v>6</v>
      </c>
      <c r="G48" t="s">
        <v>551</v>
      </c>
      <c r="H48" t="s">
        <v>9</v>
      </c>
      <c r="I48">
        <v>0.12208999447523007</v>
      </c>
      <c r="J48" t="s">
        <v>6</v>
      </c>
    </row>
    <row r="49" spans="2:10" x14ac:dyDescent="0.45">
      <c r="B49" t="s">
        <v>550</v>
      </c>
      <c r="C49" t="s">
        <v>10</v>
      </c>
      <c r="D49">
        <v>1.2818677054239863E-3</v>
      </c>
      <c r="E49" t="s">
        <v>6</v>
      </c>
      <c r="G49" t="s">
        <v>551</v>
      </c>
      <c r="H49" t="s">
        <v>10</v>
      </c>
      <c r="I49">
        <v>8.6580249309929552E-2</v>
      </c>
      <c r="J49" t="s">
        <v>6</v>
      </c>
    </row>
    <row r="50" spans="2:10" x14ac:dyDescent="0.45">
      <c r="B50" t="s">
        <v>550</v>
      </c>
      <c r="C50" t="s">
        <v>11</v>
      </c>
      <c r="D50">
        <v>1.4980714637352289E-3</v>
      </c>
      <c r="E50" t="s">
        <v>6</v>
      </c>
      <c r="G50" t="s">
        <v>551</v>
      </c>
      <c r="H50" t="s">
        <v>11</v>
      </c>
      <c r="I50">
        <v>7.3395393992032959E-2</v>
      </c>
      <c r="J50" t="s">
        <v>6</v>
      </c>
    </row>
    <row r="51" spans="2:10" x14ac:dyDescent="0.45">
      <c r="B51" t="s">
        <v>550</v>
      </c>
      <c r="C51" t="s">
        <v>12</v>
      </c>
      <c r="D51">
        <v>0.26264185304508425</v>
      </c>
      <c r="E51" t="s">
        <v>6</v>
      </c>
      <c r="G51" t="s">
        <v>551</v>
      </c>
      <c r="H51" t="s">
        <v>12</v>
      </c>
      <c r="I51">
        <v>8.8160105712831199E-2</v>
      </c>
      <c r="J51" t="s">
        <v>6</v>
      </c>
    </row>
    <row r="52" spans="2:10" x14ac:dyDescent="0.45">
      <c r="B52" t="s">
        <v>550</v>
      </c>
      <c r="C52" t="s">
        <v>13</v>
      </c>
      <c r="D52">
        <v>1.0809035511377983E-2</v>
      </c>
      <c r="E52" t="s">
        <v>6</v>
      </c>
      <c r="G52" t="s">
        <v>551</v>
      </c>
      <c r="H52" t="s">
        <v>13</v>
      </c>
      <c r="I52">
        <v>5.9627037251792366E-2</v>
      </c>
      <c r="J52" t="s">
        <v>6</v>
      </c>
    </row>
    <row r="53" spans="2:10" x14ac:dyDescent="0.45">
      <c r="B53" t="s">
        <v>550</v>
      </c>
      <c r="C53" t="s">
        <v>14</v>
      </c>
      <c r="D53">
        <v>3.6705678391373495E-3</v>
      </c>
      <c r="E53" t="s">
        <v>6</v>
      </c>
      <c r="G53" t="s">
        <v>551</v>
      </c>
      <c r="H53" t="s">
        <v>14</v>
      </c>
      <c r="I53">
        <v>5.2310323282364492E-2</v>
      </c>
      <c r="J53" t="s">
        <v>6</v>
      </c>
    </row>
    <row r="54" spans="2:10" x14ac:dyDescent="0.45">
      <c r="B54" t="s">
        <v>550</v>
      </c>
      <c r="C54" t="s">
        <v>15</v>
      </c>
      <c r="D54">
        <v>0.32566754781643159</v>
      </c>
      <c r="E54" t="s">
        <v>6</v>
      </c>
      <c r="G54" t="s">
        <v>551</v>
      </c>
      <c r="H54" t="s">
        <v>15</v>
      </c>
      <c r="I54">
        <v>5.7659234762958152E-2</v>
      </c>
      <c r="J54" t="s">
        <v>6</v>
      </c>
    </row>
    <row r="55" spans="2:10" x14ac:dyDescent="0.45">
      <c r="B55" t="s">
        <v>550</v>
      </c>
      <c r="C55" t="s">
        <v>16</v>
      </c>
      <c r="D55">
        <v>1.9218217185392419E-2</v>
      </c>
      <c r="E55" t="s">
        <v>6</v>
      </c>
      <c r="G55" t="s">
        <v>551</v>
      </c>
      <c r="H55" t="s">
        <v>16</v>
      </c>
      <c r="I55">
        <v>4.1947516819763359E-2</v>
      </c>
      <c r="J55" t="s">
        <v>6</v>
      </c>
    </row>
    <row r="56" spans="2:10" x14ac:dyDescent="0.45">
      <c r="B56" t="s">
        <v>550</v>
      </c>
      <c r="C56" t="s">
        <v>17</v>
      </c>
      <c r="D56">
        <v>9.3974432922971105E-5</v>
      </c>
      <c r="E56" t="s">
        <v>6</v>
      </c>
      <c r="G56" t="s">
        <v>551</v>
      </c>
      <c r="H56" t="s">
        <v>17</v>
      </c>
      <c r="I56">
        <v>0.10671745651758931</v>
      </c>
      <c r="J56" t="s">
        <v>6</v>
      </c>
    </row>
    <row r="57" spans="2:10" x14ac:dyDescent="0.45">
      <c r="B57" t="s">
        <v>550</v>
      </c>
      <c r="C57" t="s">
        <v>18</v>
      </c>
      <c r="D57">
        <v>0.19692988359635866</v>
      </c>
      <c r="E57" t="s">
        <v>6</v>
      </c>
      <c r="G57" t="s">
        <v>551</v>
      </c>
      <c r="H57" t="s">
        <v>18</v>
      </c>
      <c r="I57">
        <v>0.12976946777170939</v>
      </c>
      <c r="J57" t="s">
        <v>6</v>
      </c>
    </row>
    <row r="58" spans="2:10" x14ac:dyDescent="0.45">
      <c r="B58" t="s">
        <v>550</v>
      </c>
      <c r="C58" t="s">
        <v>19</v>
      </c>
      <c r="D58">
        <v>2.4491083376361527E-3</v>
      </c>
      <c r="E58" t="s">
        <v>6</v>
      </c>
      <c r="G58" t="s">
        <v>551</v>
      </c>
      <c r="H58" t="s">
        <v>19</v>
      </c>
      <c r="I58">
        <v>7.8818807168393915E-2</v>
      </c>
      <c r="J58" t="s">
        <v>6</v>
      </c>
    </row>
    <row r="59" spans="2:10" x14ac:dyDescent="0.45">
      <c r="B59" t="s">
        <v>552</v>
      </c>
      <c r="C59" t="s">
        <v>5</v>
      </c>
      <c r="D59">
        <v>0</v>
      </c>
      <c r="E59" t="s">
        <v>6</v>
      </c>
      <c r="G59" t="s">
        <v>553</v>
      </c>
      <c r="H59" t="s">
        <v>5</v>
      </c>
      <c r="I59">
        <v>0.10331827961440684</v>
      </c>
      <c r="J59" t="s">
        <v>6</v>
      </c>
    </row>
    <row r="60" spans="2:10" x14ac:dyDescent="0.45">
      <c r="B60" t="s">
        <v>552</v>
      </c>
      <c r="C60" t="s">
        <v>9</v>
      </c>
      <c r="D60">
        <v>0.2019338215799189</v>
      </c>
      <c r="E60" t="s">
        <v>6</v>
      </c>
      <c r="G60" t="s">
        <v>553</v>
      </c>
      <c r="H60" t="s">
        <v>9</v>
      </c>
      <c r="I60">
        <v>0.12549823137716251</v>
      </c>
      <c r="J60" t="s">
        <v>6</v>
      </c>
    </row>
    <row r="61" spans="2:10" x14ac:dyDescent="0.45">
      <c r="B61" t="s">
        <v>552</v>
      </c>
      <c r="C61" t="s">
        <v>10</v>
      </c>
      <c r="D61">
        <v>6.8416473592066915E-4</v>
      </c>
      <c r="E61" t="s">
        <v>6</v>
      </c>
      <c r="G61" t="s">
        <v>553</v>
      </c>
      <c r="H61" t="s">
        <v>10</v>
      </c>
      <c r="I61">
        <v>9.0645902880471099E-2</v>
      </c>
      <c r="J61" t="s">
        <v>6</v>
      </c>
    </row>
    <row r="62" spans="2:10" x14ac:dyDescent="0.45">
      <c r="B62" t="s">
        <v>552</v>
      </c>
      <c r="C62" t="s">
        <v>11</v>
      </c>
      <c r="D62">
        <v>2.7911633902787734E-3</v>
      </c>
      <c r="E62" t="s">
        <v>6</v>
      </c>
      <c r="G62" t="s">
        <v>553</v>
      </c>
      <c r="H62" t="s">
        <v>11</v>
      </c>
      <c r="I62">
        <v>7.2546657790828306E-2</v>
      </c>
      <c r="J62" t="s">
        <v>6</v>
      </c>
    </row>
    <row r="63" spans="2:10" x14ac:dyDescent="0.45">
      <c r="B63" t="s">
        <v>552</v>
      </c>
      <c r="C63" t="s">
        <v>12</v>
      </c>
      <c r="D63">
        <v>0.26407983607219054</v>
      </c>
      <c r="E63" t="s">
        <v>6</v>
      </c>
      <c r="G63" t="s">
        <v>553</v>
      </c>
      <c r="H63" t="s">
        <v>12</v>
      </c>
      <c r="I63">
        <v>9.3061009246005133E-2</v>
      </c>
      <c r="J63" t="s">
        <v>6</v>
      </c>
    </row>
    <row r="64" spans="2:10" x14ac:dyDescent="0.45">
      <c r="B64" t="s">
        <v>552</v>
      </c>
      <c r="C64" t="s">
        <v>13</v>
      </c>
      <c r="D64">
        <v>8.5532617091956791E-3</v>
      </c>
      <c r="E64" t="s">
        <v>6</v>
      </c>
      <c r="G64" t="s">
        <v>553</v>
      </c>
      <c r="H64" t="s">
        <v>13</v>
      </c>
      <c r="I64">
        <v>5.9306784006586601E-2</v>
      </c>
      <c r="J64" t="s">
        <v>6</v>
      </c>
    </row>
    <row r="65" spans="2:10" x14ac:dyDescent="0.45">
      <c r="B65" t="s">
        <v>552</v>
      </c>
      <c r="C65" t="s">
        <v>14</v>
      </c>
      <c r="D65">
        <v>5.6737667522823191E-3</v>
      </c>
      <c r="E65" t="s">
        <v>6</v>
      </c>
      <c r="G65" t="s">
        <v>553</v>
      </c>
      <c r="H65" t="s">
        <v>14</v>
      </c>
      <c r="I65">
        <v>4.469912730957578E-2</v>
      </c>
      <c r="J65" t="s">
        <v>6</v>
      </c>
    </row>
    <row r="66" spans="2:10" x14ac:dyDescent="0.45">
      <c r="B66" t="s">
        <v>552</v>
      </c>
      <c r="C66" t="s">
        <v>15</v>
      </c>
      <c r="D66">
        <v>0.30101446876177418</v>
      </c>
      <c r="E66" t="s">
        <v>6</v>
      </c>
      <c r="G66" t="s">
        <v>553</v>
      </c>
      <c r="H66" t="s">
        <v>15</v>
      </c>
      <c r="I66">
        <v>5.8071392551635986E-2</v>
      </c>
      <c r="J66" t="s">
        <v>6</v>
      </c>
    </row>
    <row r="67" spans="2:10" x14ac:dyDescent="0.45">
      <c r="B67" t="s">
        <v>552</v>
      </c>
      <c r="C67" t="s">
        <v>16</v>
      </c>
      <c r="D67">
        <v>1.3912969728895306E-2</v>
      </c>
      <c r="E67" t="s">
        <v>6</v>
      </c>
      <c r="G67" t="s">
        <v>553</v>
      </c>
      <c r="H67" t="s">
        <v>16</v>
      </c>
      <c r="I67">
        <v>4.0416431034075162E-2</v>
      </c>
      <c r="J67" t="s">
        <v>6</v>
      </c>
    </row>
    <row r="68" spans="2:10" x14ac:dyDescent="0.45">
      <c r="B68" t="s">
        <v>552</v>
      </c>
      <c r="C68" t="s">
        <v>17</v>
      </c>
      <c r="D68">
        <v>3.7179754532441252E-4</v>
      </c>
      <c r="E68" t="s">
        <v>6</v>
      </c>
      <c r="G68" t="s">
        <v>553</v>
      </c>
      <c r="H68" t="s">
        <v>17</v>
      </c>
      <c r="I68">
        <v>0.10212845149317502</v>
      </c>
      <c r="J68" t="s">
        <v>6</v>
      </c>
    </row>
    <row r="69" spans="2:10" x14ac:dyDescent="0.45">
      <c r="B69" t="s">
        <v>552</v>
      </c>
      <c r="C69" t="s">
        <v>18</v>
      </c>
      <c r="D69">
        <v>0.1991659814899148</v>
      </c>
      <c r="E69" t="s">
        <v>6</v>
      </c>
      <c r="G69" t="s">
        <v>553</v>
      </c>
      <c r="H69" t="s">
        <v>18</v>
      </c>
      <c r="I69">
        <v>0.13215169590097972</v>
      </c>
      <c r="J69" t="s">
        <v>6</v>
      </c>
    </row>
    <row r="70" spans="2:10" x14ac:dyDescent="0.45">
      <c r="B70" t="s">
        <v>552</v>
      </c>
      <c r="C70" t="s">
        <v>19</v>
      </c>
      <c r="D70">
        <v>1.8187682343049814E-3</v>
      </c>
      <c r="E70" t="s">
        <v>6</v>
      </c>
      <c r="G70" t="s">
        <v>553</v>
      </c>
      <c r="H70" t="s">
        <v>19</v>
      </c>
      <c r="I70">
        <v>7.8156036795097833E-2</v>
      </c>
      <c r="J70" t="s">
        <v>6</v>
      </c>
    </row>
    <row r="71" spans="2:10" x14ac:dyDescent="0.45">
      <c r="B71" t="s">
        <v>554</v>
      </c>
      <c r="C71" t="s">
        <v>5</v>
      </c>
      <c r="D71">
        <v>0</v>
      </c>
      <c r="E71" t="s">
        <v>6</v>
      </c>
      <c r="G71" t="s">
        <v>555</v>
      </c>
      <c r="H71" t="s">
        <v>5</v>
      </c>
      <c r="I71">
        <v>0.1014841360967393</v>
      </c>
      <c r="J71" t="s">
        <v>6</v>
      </c>
    </row>
    <row r="72" spans="2:10" x14ac:dyDescent="0.45">
      <c r="B72" t="s">
        <v>554</v>
      </c>
      <c r="C72" t="s">
        <v>9</v>
      </c>
      <c r="D72">
        <v>0.19809053937345603</v>
      </c>
      <c r="E72" t="s">
        <v>6</v>
      </c>
      <c r="G72" t="s">
        <v>555</v>
      </c>
      <c r="H72" t="s">
        <v>9</v>
      </c>
      <c r="I72">
        <v>0.11738002682407568</v>
      </c>
      <c r="J72" t="s">
        <v>6</v>
      </c>
    </row>
    <row r="73" spans="2:10" x14ac:dyDescent="0.45">
      <c r="B73" t="s">
        <v>554</v>
      </c>
      <c r="C73" t="s">
        <v>10</v>
      </c>
      <c r="D73">
        <v>8.8502178494084946E-4</v>
      </c>
      <c r="E73" t="s">
        <v>6</v>
      </c>
      <c r="G73" t="s">
        <v>555</v>
      </c>
      <c r="H73" t="s">
        <v>10</v>
      </c>
      <c r="I73">
        <v>8.7143415219372022E-2</v>
      </c>
      <c r="J73" t="s">
        <v>6</v>
      </c>
    </row>
    <row r="74" spans="2:10" x14ac:dyDescent="0.45">
      <c r="B74" t="s">
        <v>554</v>
      </c>
      <c r="C74" t="s">
        <v>11</v>
      </c>
      <c r="D74">
        <v>2.4965876664959125E-3</v>
      </c>
      <c r="E74" t="s">
        <v>6</v>
      </c>
      <c r="G74" t="s">
        <v>555</v>
      </c>
      <c r="H74" t="s">
        <v>11</v>
      </c>
      <c r="I74">
        <v>7.9614513601437231E-2</v>
      </c>
      <c r="J74" t="s">
        <v>6</v>
      </c>
    </row>
    <row r="75" spans="2:10" x14ac:dyDescent="0.45">
      <c r="B75" t="s">
        <v>554</v>
      </c>
      <c r="C75" t="s">
        <v>12</v>
      </c>
      <c r="D75">
        <v>0.26952921808080837</v>
      </c>
      <c r="E75" t="s">
        <v>6</v>
      </c>
      <c r="G75" t="s">
        <v>555</v>
      </c>
      <c r="H75" t="s">
        <v>12</v>
      </c>
      <c r="I75">
        <v>9.7992011705114554E-2</v>
      </c>
      <c r="J75" t="s">
        <v>6</v>
      </c>
    </row>
    <row r="76" spans="2:10" x14ac:dyDescent="0.45">
      <c r="B76" t="s">
        <v>554</v>
      </c>
      <c r="C76" t="s">
        <v>13</v>
      </c>
      <c r="D76">
        <v>9.8342812626060257E-3</v>
      </c>
      <c r="E76" t="s">
        <v>6</v>
      </c>
      <c r="G76" t="s">
        <v>555</v>
      </c>
      <c r="H76" t="s">
        <v>13</v>
      </c>
      <c r="I76">
        <v>6.8384483969041412E-2</v>
      </c>
      <c r="J76" t="s">
        <v>6</v>
      </c>
    </row>
    <row r="77" spans="2:10" x14ac:dyDescent="0.45">
      <c r="B77" t="s">
        <v>554</v>
      </c>
      <c r="C77" t="s">
        <v>14</v>
      </c>
      <c r="D77">
        <v>4.9837887469083818E-3</v>
      </c>
      <c r="E77" t="s">
        <v>6</v>
      </c>
      <c r="G77" t="s">
        <v>555</v>
      </c>
      <c r="H77" t="s">
        <v>14</v>
      </c>
      <c r="I77">
        <v>5.538526440518788E-2</v>
      </c>
      <c r="J77" t="s">
        <v>6</v>
      </c>
    </row>
    <row r="78" spans="2:10" x14ac:dyDescent="0.45">
      <c r="B78" t="s">
        <v>554</v>
      </c>
      <c r="C78" t="s">
        <v>15</v>
      </c>
      <c r="D78">
        <v>0.30680380522346123</v>
      </c>
      <c r="E78" t="s">
        <v>6</v>
      </c>
      <c r="G78" t="s">
        <v>555</v>
      </c>
      <c r="H78" t="s">
        <v>15</v>
      </c>
      <c r="I78">
        <v>6.428379789448635E-2</v>
      </c>
      <c r="J78" t="s">
        <v>6</v>
      </c>
    </row>
    <row r="79" spans="2:10" x14ac:dyDescent="0.45">
      <c r="B79" t="s">
        <v>554</v>
      </c>
      <c r="C79" t="s">
        <v>16</v>
      </c>
      <c r="D79">
        <v>1.5411438354639987E-2</v>
      </c>
      <c r="E79" t="s">
        <v>6</v>
      </c>
      <c r="G79" t="s">
        <v>555</v>
      </c>
      <c r="H79" t="s">
        <v>16</v>
      </c>
      <c r="I79">
        <v>4.3382833041486303E-2</v>
      </c>
      <c r="J79" t="s">
        <v>6</v>
      </c>
    </row>
    <row r="80" spans="2:10" x14ac:dyDescent="0.45">
      <c r="B80" t="s">
        <v>554</v>
      </c>
      <c r="C80" t="s">
        <v>17</v>
      </c>
      <c r="D80">
        <v>2.7304834931322642E-4</v>
      </c>
      <c r="E80" t="s">
        <v>6</v>
      </c>
      <c r="G80" t="s">
        <v>555</v>
      </c>
      <c r="H80" t="s">
        <v>17</v>
      </c>
      <c r="I80">
        <v>8.8987703762601927E-2</v>
      </c>
      <c r="J80" t="s">
        <v>6</v>
      </c>
    </row>
    <row r="81" spans="2:10" x14ac:dyDescent="0.45">
      <c r="B81" t="s">
        <v>554</v>
      </c>
      <c r="C81" t="s">
        <v>18</v>
      </c>
      <c r="D81">
        <v>0.18969069817871201</v>
      </c>
      <c r="E81" t="s">
        <v>6</v>
      </c>
      <c r="G81" t="s">
        <v>555</v>
      </c>
      <c r="H81" t="s">
        <v>18</v>
      </c>
      <c r="I81">
        <v>0.11832231925404293</v>
      </c>
      <c r="J81" t="s">
        <v>6</v>
      </c>
    </row>
    <row r="82" spans="2:10" x14ac:dyDescent="0.45">
      <c r="B82" t="s">
        <v>554</v>
      </c>
      <c r="C82" t="s">
        <v>19</v>
      </c>
      <c r="D82">
        <v>2.0015729786572226E-3</v>
      </c>
      <c r="E82" t="s">
        <v>6</v>
      </c>
      <c r="G82" t="s">
        <v>555</v>
      </c>
      <c r="H82" t="s">
        <v>19</v>
      </c>
      <c r="I82">
        <v>7.7639494226414418E-2</v>
      </c>
      <c r="J82" t="s">
        <v>6</v>
      </c>
    </row>
    <row r="83" spans="2:10" x14ac:dyDescent="0.45">
      <c r="B83" t="s">
        <v>556</v>
      </c>
      <c r="C83" t="s">
        <v>5</v>
      </c>
      <c r="D83">
        <v>0</v>
      </c>
      <c r="E83" t="s">
        <v>6</v>
      </c>
    </row>
    <row r="84" spans="2:10" x14ac:dyDescent="0.45">
      <c r="B84" t="s">
        <v>556</v>
      </c>
      <c r="C84" t="s">
        <v>9</v>
      </c>
      <c r="D84">
        <v>0.19568247147929999</v>
      </c>
      <c r="E84" t="s">
        <v>6</v>
      </c>
    </row>
    <row r="85" spans="2:10" x14ac:dyDescent="0.45">
      <c r="B85" t="s">
        <v>556</v>
      </c>
      <c r="C85" t="s">
        <v>10</v>
      </c>
      <c r="D85">
        <v>6.4362271790375668E-4</v>
      </c>
      <c r="E85" t="s">
        <v>6</v>
      </c>
    </row>
    <row r="86" spans="2:10" x14ac:dyDescent="0.45">
      <c r="B86" t="s">
        <v>556</v>
      </c>
      <c r="C86" t="s">
        <v>11</v>
      </c>
      <c r="D86">
        <v>3.2354216678013503E-3</v>
      </c>
      <c r="E86" t="s">
        <v>6</v>
      </c>
    </row>
    <row r="87" spans="2:10" x14ac:dyDescent="0.45">
      <c r="B87" t="s">
        <v>556</v>
      </c>
      <c r="C87" t="s">
        <v>12</v>
      </c>
      <c r="D87">
        <v>0.28698813871686674</v>
      </c>
      <c r="E87" t="s">
        <v>6</v>
      </c>
    </row>
    <row r="88" spans="2:10" x14ac:dyDescent="0.45">
      <c r="B88" t="s">
        <v>556</v>
      </c>
      <c r="C88" t="s">
        <v>13</v>
      </c>
      <c r="D88">
        <v>9.4335572874632463E-3</v>
      </c>
      <c r="E88" t="s">
        <v>6</v>
      </c>
    </row>
    <row r="89" spans="2:10" x14ac:dyDescent="0.45">
      <c r="B89" t="s">
        <v>556</v>
      </c>
      <c r="C89" t="s">
        <v>14</v>
      </c>
      <c r="D89">
        <v>5.5578014045359276E-3</v>
      </c>
      <c r="E89" t="s">
        <v>6</v>
      </c>
    </row>
    <row r="90" spans="2:10" x14ac:dyDescent="0.45">
      <c r="B90" t="s">
        <v>556</v>
      </c>
      <c r="C90" t="s">
        <v>15</v>
      </c>
      <c r="D90">
        <v>0.27908043371000091</v>
      </c>
      <c r="E90" t="s">
        <v>6</v>
      </c>
    </row>
    <row r="91" spans="2:10" x14ac:dyDescent="0.45">
      <c r="B91" t="s">
        <v>556</v>
      </c>
      <c r="C91" t="s">
        <v>16</v>
      </c>
      <c r="D91">
        <v>1.2698323300872645E-2</v>
      </c>
      <c r="E91" t="s">
        <v>6</v>
      </c>
    </row>
    <row r="92" spans="2:10" x14ac:dyDescent="0.45">
      <c r="B92" t="s">
        <v>556</v>
      </c>
      <c r="C92" t="s">
        <v>17</v>
      </c>
      <c r="D92">
        <v>3.5471361220229606E-4</v>
      </c>
      <c r="E92" t="s">
        <v>6</v>
      </c>
    </row>
    <row r="93" spans="2:10" x14ac:dyDescent="0.45">
      <c r="B93" t="s">
        <v>556</v>
      </c>
      <c r="C93" t="s">
        <v>18</v>
      </c>
      <c r="D93">
        <v>0.20462173520771146</v>
      </c>
      <c r="E93" t="s">
        <v>6</v>
      </c>
    </row>
    <row r="94" spans="2:10" x14ac:dyDescent="0.45">
      <c r="B94" t="s">
        <v>556</v>
      </c>
      <c r="C94" t="s">
        <v>19</v>
      </c>
      <c r="D94">
        <v>1.7037808953425037E-3</v>
      </c>
      <c r="E94" t="s">
        <v>6</v>
      </c>
    </row>
    <row r="95" spans="2:10" x14ac:dyDescent="0.45">
      <c r="B95" t="s">
        <v>557</v>
      </c>
      <c r="C95" t="s">
        <v>5</v>
      </c>
      <c r="D95">
        <v>0</v>
      </c>
      <c r="E95" t="s">
        <v>6</v>
      </c>
    </row>
    <row r="96" spans="2:10" x14ac:dyDescent="0.45">
      <c r="B96" t="s">
        <v>557</v>
      </c>
      <c r="C96" t="s">
        <v>9</v>
      </c>
      <c r="D96">
        <v>0.19151254686553834</v>
      </c>
      <c r="E96" t="s">
        <v>6</v>
      </c>
    </row>
    <row r="97" spans="2:5" x14ac:dyDescent="0.45">
      <c r="B97" t="s">
        <v>557</v>
      </c>
      <c r="C97" t="s">
        <v>10</v>
      </c>
      <c r="D97">
        <v>6.1198616960497353E-4</v>
      </c>
      <c r="E97" t="s">
        <v>6</v>
      </c>
    </row>
    <row r="98" spans="2:5" x14ac:dyDescent="0.45">
      <c r="B98" t="s">
        <v>557</v>
      </c>
      <c r="C98" t="s">
        <v>11</v>
      </c>
      <c r="D98">
        <v>2.5866553952966047E-3</v>
      </c>
      <c r="E98" t="s">
        <v>6</v>
      </c>
    </row>
    <row r="99" spans="2:5" x14ac:dyDescent="0.45">
      <c r="B99" t="s">
        <v>557</v>
      </c>
      <c r="C99" t="s">
        <v>12</v>
      </c>
      <c r="D99">
        <v>0.28043026775034791</v>
      </c>
      <c r="E99" t="s">
        <v>6</v>
      </c>
    </row>
    <row r="100" spans="2:5" x14ac:dyDescent="0.45">
      <c r="B100" t="s">
        <v>557</v>
      </c>
      <c r="C100" t="s">
        <v>13</v>
      </c>
      <c r="D100">
        <v>8.6692436301096243E-3</v>
      </c>
      <c r="E100" t="s">
        <v>6</v>
      </c>
    </row>
    <row r="101" spans="2:5" x14ac:dyDescent="0.45">
      <c r="B101" t="s">
        <v>557</v>
      </c>
      <c r="C101" t="s">
        <v>14</v>
      </c>
      <c r="D101">
        <v>5.3100525008207798E-3</v>
      </c>
      <c r="E101" t="s">
        <v>6</v>
      </c>
    </row>
    <row r="102" spans="2:5" x14ac:dyDescent="0.45">
      <c r="B102" t="s">
        <v>557</v>
      </c>
      <c r="C102" t="s">
        <v>15</v>
      </c>
      <c r="D102">
        <v>0.29518690880373311</v>
      </c>
      <c r="E102" t="s">
        <v>6</v>
      </c>
    </row>
    <row r="103" spans="2:5" x14ac:dyDescent="0.45">
      <c r="B103" t="s">
        <v>557</v>
      </c>
      <c r="C103" t="s">
        <v>16</v>
      </c>
      <c r="D103">
        <v>1.3920633259187231E-2</v>
      </c>
      <c r="E103" t="s">
        <v>6</v>
      </c>
    </row>
    <row r="104" spans="2:5" x14ac:dyDescent="0.45">
      <c r="B104" t="s">
        <v>557</v>
      </c>
      <c r="C104" t="s">
        <v>17</v>
      </c>
      <c r="D104">
        <v>3.0115027485514627E-4</v>
      </c>
      <c r="E104" t="s">
        <v>6</v>
      </c>
    </row>
    <row r="105" spans="2:5" x14ac:dyDescent="0.45">
      <c r="B105" t="s">
        <v>557</v>
      </c>
      <c r="C105" t="s">
        <v>18</v>
      </c>
      <c r="D105">
        <v>0.19975196127756897</v>
      </c>
      <c r="E105" t="s">
        <v>6</v>
      </c>
    </row>
    <row r="106" spans="2:5" x14ac:dyDescent="0.45">
      <c r="B106" t="s">
        <v>557</v>
      </c>
      <c r="C106" t="s">
        <v>19</v>
      </c>
      <c r="D106">
        <v>1.7185940729365903E-3</v>
      </c>
      <c r="E106" t="s">
        <v>6</v>
      </c>
    </row>
    <row r="107" spans="2:5" x14ac:dyDescent="0.45">
      <c r="B107" t="s">
        <v>558</v>
      </c>
      <c r="C107" t="s">
        <v>5</v>
      </c>
      <c r="D107">
        <v>0</v>
      </c>
      <c r="E107" t="s">
        <v>6</v>
      </c>
    </row>
    <row r="108" spans="2:5" x14ac:dyDescent="0.45">
      <c r="B108" t="s">
        <v>558</v>
      </c>
      <c r="C108" t="s">
        <v>9</v>
      </c>
      <c r="D108">
        <v>0.19187906431211049</v>
      </c>
      <c r="E108" t="s">
        <v>6</v>
      </c>
    </row>
    <row r="109" spans="2:5" x14ac:dyDescent="0.45">
      <c r="B109" t="s">
        <v>558</v>
      </c>
      <c r="C109" t="s">
        <v>10</v>
      </c>
      <c r="D109">
        <v>1.4466099475182786E-3</v>
      </c>
      <c r="E109" t="s">
        <v>6</v>
      </c>
    </row>
    <row r="110" spans="2:5" x14ac:dyDescent="0.45">
      <c r="B110" t="s">
        <v>558</v>
      </c>
      <c r="C110" t="s">
        <v>11</v>
      </c>
      <c r="D110">
        <v>1.5201348444900148E-3</v>
      </c>
      <c r="E110" t="s">
        <v>6</v>
      </c>
    </row>
    <row r="111" spans="2:5" x14ac:dyDescent="0.45">
      <c r="B111" t="s">
        <v>558</v>
      </c>
      <c r="C111" t="s">
        <v>12</v>
      </c>
      <c r="D111">
        <v>0.26539991683979786</v>
      </c>
      <c r="E111" t="s">
        <v>6</v>
      </c>
    </row>
    <row r="112" spans="2:5" x14ac:dyDescent="0.45">
      <c r="B112" t="s">
        <v>558</v>
      </c>
      <c r="C112" t="s">
        <v>13</v>
      </c>
      <c r="D112">
        <v>1.0753752035110867E-2</v>
      </c>
      <c r="E112" t="s">
        <v>6</v>
      </c>
    </row>
    <row r="113" spans="2:5" x14ac:dyDescent="0.45">
      <c r="B113" t="s">
        <v>558</v>
      </c>
      <c r="C113" t="s">
        <v>14</v>
      </c>
      <c r="D113">
        <v>3.4549959617672663E-3</v>
      </c>
      <c r="E113" t="s">
        <v>6</v>
      </c>
    </row>
    <row r="114" spans="2:5" x14ac:dyDescent="0.45">
      <c r="B114" t="s">
        <v>558</v>
      </c>
      <c r="C114" t="s">
        <v>15</v>
      </c>
      <c r="D114">
        <v>0.30593310877005214</v>
      </c>
      <c r="E114" t="s">
        <v>6</v>
      </c>
    </row>
    <row r="115" spans="2:5" x14ac:dyDescent="0.45">
      <c r="B115" t="s">
        <v>558</v>
      </c>
      <c r="C115" t="s">
        <v>16</v>
      </c>
      <c r="D115">
        <v>1.7600766961084383E-2</v>
      </c>
      <c r="E115" t="s">
        <v>6</v>
      </c>
    </row>
    <row r="116" spans="2:5" x14ac:dyDescent="0.45">
      <c r="B116" t="s">
        <v>558</v>
      </c>
      <c r="C116" t="s">
        <v>17</v>
      </c>
      <c r="D116">
        <v>8.7453649637711698E-5</v>
      </c>
      <c r="E116" t="s">
        <v>6</v>
      </c>
    </row>
    <row r="117" spans="2:5" x14ac:dyDescent="0.45">
      <c r="B117" t="s">
        <v>558</v>
      </c>
      <c r="C117" t="s">
        <v>18</v>
      </c>
      <c r="D117">
        <v>0.19950112449639834</v>
      </c>
      <c r="E117" t="s">
        <v>6</v>
      </c>
    </row>
    <row r="118" spans="2:5" x14ac:dyDescent="0.45">
      <c r="B118" t="s">
        <v>558</v>
      </c>
      <c r="C118" t="s">
        <v>19</v>
      </c>
      <c r="D118">
        <v>2.4230721820314351E-3</v>
      </c>
      <c r="E118" t="s">
        <v>6</v>
      </c>
    </row>
    <row r="119" spans="2:5" x14ac:dyDescent="0.45">
      <c r="B119" t="s">
        <v>559</v>
      </c>
      <c r="C119" t="s">
        <v>5</v>
      </c>
      <c r="D119">
        <v>0</v>
      </c>
      <c r="E119" t="s">
        <v>6</v>
      </c>
    </row>
    <row r="120" spans="2:5" x14ac:dyDescent="0.45">
      <c r="B120" t="s">
        <v>559</v>
      </c>
      <c r="C120" t="s">
        <v>9</v>
      </c>
      <c r="D120">
        <v>0.1927530230203082</v>
      </c>
      <c r="E120" t="s">
        <v>6</v>
      </c>
    </row>
    <row r="121" spans="2:5" x14ac:dyDescent="0.45">
      <c r="B121" t="s">
        <v>559</v>
      </c>
      <c r="C121" t="s">
        <v>10</v>
      </c>
      <c r="D121">
        <v>9.8192041412919519E-4</v>
      </c>
      <c r="E121" t="s">
        <v>6</v>
      </c>
    </row>
    <row r="122" spans="2:5" x14ac:dyDescent="0.45">
      <c r="B122" t="s">
        <v>559</v>
      </c>
      <c r="C122" t="s">
        <v>11</v>
      </c>
      <c r="D122">
        <v>2.2493202126310495E-3</v>
      </c>
      <c r="E122" t="s">
        <v>6</v>
      </c>
    </row>
    <row r="123" spans="2:5" x14ac:dyDescent="0.45">
      <c r="B123" t="s">
        <v>559</v>
      </c>
      <c r="C123" t="s">
        <v>12</v>
      </c>
      <c r="D123">
        <v>0.28084825452147683</v>
      </c>
      <c r="E123" t="s">
        <v>6</v>
      </c>
    </row>
    <row r="124" spans="2:5" x14ac:dyDescent="0.45">
      <c r="B124" t="s">
        <v>559</v>
      </c>
      <c r="C124" t="s">
        <v>13</v>
      </c>
      <c r="D124">
        <v>1.0889392320496115E-2</v>
      </c>
      <c r="E124" t="s">
        <v>6</v>
      </c>
    </row>
    <row r="125" spans="2:5" x14ac:dyDescent="0.45">
      <c r="B125" t="s">
        <v>559</v>
      </c>
      <c r="C125" t="s">
        <v>14</v>
      </c>
      <c r="D125">
        <v>4.1148476584433871E-3</v>
      </c>
      <c r="E125" t="s">
        <v>6</v>
      </c>
    </row>
    <row r="126" spans="2:5" x14ac:dyDescent="0.45">
      <c r="B126" t="s">
        <v>559</v>
      </c>
      <c r="C126" t="s">
        <v>15</v>
      </c>
      <c r="D126">
        <v>0.28734768596482463</v>
      </c>
      <c r="E126" t="s">
        <v>6</v>
      </c>
    </row>
    <row r="127" spans="2:5" x14ac:dyDescent="0.45">
      <c r="B127" t="s">
        <v>559</v>
      </c>
      <c r="C127" t="s">
        <v>16</v>
      </c>
      <c r="D127">
        <v>1.58514534549314E-2</v>
      </c>
      <c r="E127" t="s">
        <v>6</v>
      </c>
    </row>
    <row r="128" spans="2:5" x14ac:dyDescent="0.45">
      <c r="B128" t="s">
        <v>559</v>
      </c>
      <c r="C128" t="s">
        <v>17</v>
      </c>
      <c r="D128">
        <v>1.5476796409002815E-4</v>
      </c>
      <c r="E128" t="s">
        <v>6</v>
      </c>
    </row>
    <row r="129" spans="2:5" x14ac:dyDescent="0.45">
      <c r="B129" t="s">
        <v>559</v>
      </c>
      <c r="C129" t="s">
        <v>18</v>
      </c>
      <c r="D129">
        <v>0.20276146801941347</v>
      </c>
      <c r="E129" t="s">
        <v>6</v>
      </c>
    </row>
    <row r="130" spans="2:5" x14ac:dyDescent="0.45">
      <c r="B130" t="s">
        <v>559</v>
      </c>
      <c r="C130" t="s">
        <v>19</v>
      </c>
      <c r="D130">
        <v>2.0478664492548058E-3</v>
      </c>
      <c r="E130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2687D-84CD-4B70-95FB-AAC7B837FC66}">
  <dimension ref="B9:BL26"/>
  <sheetViews>
    <sheetView workbookViewId="0"/>
  </sheetViews>
  <sheetFormatPr defaultRowHeight="14.25" x14ac:dyDescent="0.45"/>
  <sheetData>
    <row r="9" spans="2:64" x14ac:dyDescent="0.45">
      <c r="B9" t="str">
        <f>IF(A11="x","DeActivated","~TFM_DINS-TSL: attribute=FLO_EMIS; other_indexes=ACT; region=CHE")</f>
        <v>~TFM_DINS-TSL: attribute=FLO_EMIS; other_indexes=ACT; region=CHE</v>
      </c>
      <c r="Q9" t="str">
        <f>IF(A11="x","DeActivated","~TFM_INS-TSL: attribute=FLO_SHAR; limtype=FX; region=CHE")</f>
        <v>~TFM_INS-TSL: attribute=FLO_SHAR; limtype=FX; region=CHE</v>
      </c>
      <c r="AF9" t="str">
        <f>IF(A11="x","DeActivated","~TFM_INS-TSL: attribute=FLO_SHAR; limtype=FX; region=CHE")</f>
        <v>~TFM_INS-TSL: attribute=FLO_SHAR; limtype=FX; region=CHE</v>
      </c>
      <c r="AU9" t="str">
        <f>IF(A11="x","DeActivated","~TFM_DINS-TSL: attribute=NCAP_PKCNT; region=CHE")</f>
        <v>~TFM_DINS-TSL: attribute=NCAP_PKCNT; region=CHE</v>
      </c>
      <c r="BI9" t="str">
        <f>IF(A11="x","DeActivated","~TFM_DINS-AT: region=CHE")</f>
        <v>~TFM_DINS-AT: region=CHE</v>
      </c>
    </row>
    <row r="10" spans="2:64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Q10" t="s">
        <v>3</v>
      </c>
      <c r="R10" t="s">
        <v>0</v>
      </c>
      <c r="S10" t="s">
        <v>5</v>
      </c>
      <c r="T10" t="s">
        <v>9</v>
      </c>
      <c r="U10" t="s">
        <v>10</v>
      </c>
      <c r="V10" t="s">
        <v>11</v>
      </c>
      <c r="W10" t="s">
        <v>12</v>
      </c>
      <c r="X10" t="s">
        <v>13</v>
      </c>
      <c r="Y10" t="s">
        <v>14</v>
      </c>
      <c r="Z10" t="s">
        <v>15</v>
      </c>
      <c r="AA10" t="s">
        <v>16</v>
      </c>
      <c r="AB10" t="s">
        <v>17</v>
      </c>
      <c r="AC10" t="s">
        <v>18</v>
      </c>
      <c r="AD10" t="s">
        <v>19</v>
      </c>
      <c r="AF10" t="s">
        <v>3</v>
      </c>
      <c r="AG10" t="s">
        <v>0</v>
      </c>
      <c r="AH10" t="s">
        <v>5</v>
      </c>
      <c r="AI10" t="s">
        <v>9</v>
      </c>
      <c r="AJ10" t="s">
        <v>10</v>
      </c>
      <c r="AK10" t="s">
        <v>11</v>
      </c>
      <c r="AL10" t="s">
        <v>12</v>
      </c>
      <c r="AM10" t="s">
        <v>13</v>
      </c>
      <c r="AN10" t="s">
        <v>14</v>
      </c>
      <c r="AO10" t="s">
        <v>15</v>
      </c>
      <c r="AP10" t="s">
        <v>16</v>
      </c>
      <c r="AQ10" t="s">
        <v>17</v>
      </c>
      <c r="AR10" t="s">
        <v>18</v>
      </c>
      <c r="AS10" t="s">
        <v>19</v>
      </c>
      <c r="AU10" t="s">
        <v>3</v>
      </c>
      <c r="AV10" t="s">
        <v>5</v>
      </c>
      <c r="AW10" t="s">
        <v>9</v>
      </c>
      <c r="AX10" t="s">
        <v>10</v>
      </c>
      <c r="AY10" t="s">
        <v>11</v>
      </c>
      <c r="AZ10" t="s">
        <v>12</v>
      </c>
      <c r="BA10" t="s">
        <v>13</v>
      </c>
      <c r="BB10" t="s">
        <v>14</v>
      </c>
      <c r="BC10" t="s">
        <v>15</v>
      </c>
      <c r="BD10" t="s">
        <v>16</v>
      </c>
      <c r="BE10" t="s">
        <v>17</v>
      </c>
      <c r="BF10" t="s">
        <v>18</v>
      </c>
      <c r="BG10" t="s">
        <v>19</v>
      </c>
      <c r="BI10" t="s">
        <v>3</v>
      </c>
      <c r="BJ10" t="s">
        <v>0</v>
      </c>
      <c r="BK10" t="s">
        <v>92</v>
      </c>
      <c r="BL10" t="s">
        <v>93</v>
      </c>
    </row>
    <row r="11" spans="2:64" x14ac:dyDescent="0.45">
      <c r="B11" t="s">
        <v>560</v>
      </c>
      <c r="C11" t="s">
        <v>95</v>
      </c>
      <c r="D11">
        <v>0</v>
      </c>
      <c r="E11">
        <v>0.36299980213656957</v>
      </c>
      <c r="F11">
        <v>0.96009150084133432</v>
      </c>
      <c r="G11">
        <v>0.87469104911568674</v>
      </c>
      <c r="H11">
        <v>0.24067872606928853</v>
      </c>
      <c r="I11">
        <v>0.72380562360764711</v>
      </c>
      <c r="J11">
        <v>0.79660233042114259</v>
      </c>
      <c r="K11">
        <v>0.19424918909181002</v>
      </c>
      <c r="L11">
        <v>0.63794339230505515</v>
      </c>
      <c r="M11">
        <v>0.96262275708063916</v>
      </c>
      <c r="N11">
        <v>0.31519169647406003</v>
      </c>
      <c r="O11">
        <v>0.90312004851491701</v>
      </c>
      <c r="Q11" t="s">
        <v>96</v>
      </c>
      <c r="R11" t="s">
        <v>97</v>
      </c>
      <c r="S11">
        <v>0</v>
      </c>
      <c r="T11">
        <v>0.19626574103252045</v>
      </c>
      <c r="U11">
        <v>0.42269430177210499</v>
      </c>
      <c r="V11">
        <v>0.77990787557535823</v>
      </c>
      <c r="W11">
        <v>0.1150136365474841</v>
      </c>
      <c r="X11">
        <v>0.46758314161889503</v>
      </c>
      <c r="Y11">
        <v>0.65814556433237137</v>
      </c>
      <c r="Z11">
        <v>8.8669613964432195E-2</v>
      </c>
      <c r="AA11">
        <v>0.46234763059085232</v>
      </c>
      <c r="AB11">
        <v>0.92362171520438008</v>
      </c>
      <c r="AC11">
        <v>0.1565723441553831</v>
      </c>
      <c r="AD11">
        <v>0.40002038687803615</v>
      </c>
      <c r="AF11" t="s">
        <v>96</v>
      </c>
      <c r="AG11" t="s">
        <v>98</v>
      </c>
      <c r="AH11">
        <v>0</v>
      </c>
      <c r="AI11">
        <v>2.3187834604825767E-2</v>
      </c>
      <c r="AJ11">
        <v>0.49242303444680374</v>
      </c>
      <c r="AK11">
        <v>0</v>
      </c>
      <c r="AL11">
        <v>2.8839470231084546E-2</v>
      </c>
      <c r="AM11">
        <v>0.10109751313125576</v>
      </c>
      <c r="AN11">
        <v>0</v>
      </c>
      <c r="AO11">
        <v>1.2423805507769736E-2</v>
      </c>
      <c r="AP11">
        <v>0</v>
      </c>
      <c r="AQ11">
        <v>0</v>
      </c>
      <c r="AR11">
        <v>3.4604753019770944E-2</v>
      </c>
      <c r="AS11">
        <v>0.41112104089979895</v>
      </c>
      <c r="AU11" t="s">
        <v>560</v>
      </c>
      <c r="AV11">
        <v>0</v>
      </c>
      <c r="AW11">
        <v>0.24926730036405981</v>
      </c>
      <c r="AX11">
        <v>2.1170379690159348E-3</v>
      </c>
      <c r="AY11">
        <v>3.5086632298625608E-3</v>
      </c>
      <c r="AZ11">
        <v>0.36469791512247091</v>
      </c>
      <c r="BA11">
        <v>2.1927724989088536E-2</v>
      </c>
      <c r="BB11">
        <v>7.5730101338740852E-3</v>
      </c>
      <c r="BC11">
        <v>0.41594377010067113</v>
      </c>
      <c r="BD11">
        <v>3.7339247901011015E-2</v>
      </c>
      <c r="BE11">
        <v>3.3452258412899145E-4</v>
      </c>
      <c r="BF11">
        <v>0.27138145634580885</v>
      </c>
      <c r="BG11">
        <v>4.6140332103116839E-3</v>
      </c>
      <c r="BI11" t="s">
        <v>560</v>
      </c>
      <c r="BJ11" t="s">
        <v>99</v>
      </c>
      <c r="BK11" t="s">
        <v>100</v>
      </c>
      <c r="BL11">
        <v>0.3982920257797346</v>
      </c>
    </row>
    <row r="12" spans="2:64" x14ac:dyDescent="0.45">
      <c r="B12" t="s">
        <v>561</v>
      </c>
      <c r="C12" t="s">
        <v>95</v>
      </c>
      <c r="D12">
        <v>0</v>
      </c>
      <c r="E12">
        <v>0.36894936119197952</v>
      </c>
      <c r="F12">
        <v>0.9629629629629628</v>
      </c>
      <c r="G12">
        <v>0.86903316084898785</v>
      </c>
      <c r="H12">
        <v>0.24532632015876352</v>
      </c>
      <c r="I12">
        <v>0.73248950718580952</v>
      </c>
      <c r="J12">
        <v>0.79298551576817511</v>
      </c>
      <c r="K12">
        <v>0.20167656872613779</v>
      </c>
      <c r="L12">
        <v>0.64627374714560692</v>
      </c>
      <c r="M12">
        <v>0.95955844355790487</v>
      </c>
      <c r="N12">
        <v>0.32924594799642104</v>
      </c>
      <c r="O12">
        <v>0.90644557990322538</v>
      </c>
      <c r="Q12" t="s">
        <v>102</v>
      </c>
      <c r="R12" t="s">
        <v>97</v>
      </c>
      <c r="S12">
        <v>6.3508306692139985E-3</v>
      </c>
      <c r="T12">
        <v>7.2549833161004449E-3</v>
      </c>
      <c r="U12">
        <v>2.5490976010829478E-2</v>
      </c>
      <c r="V12">
        <v>3.1921053899382469E-2</v>
      </c>
      <c r="W12">
        <v>4.4827269855870377E-2</v>
      </c>
      <c r="X12">
        <v>4.8528096082768986E-2</v>
      </c>
      <c r="Y12">
        <v>2.1847767700310956E-2</v>
      </c>
      <c r="Z12">
        <v>3.9592770153361129E-2</v>
      </c>
      <c r="AA12">
        <v>4.9457605518062921E-2</v>
      </c>
      <c r="AB12">
        <v>1.6312829355943935E-2</v>
      </c>
      <c r="AC12">
        <v>6.6677659223250861E-3</v>
      </c>
      <c r="AD12">
        <v>1.891337645757641E-2</v>
      </c>
      <c r="AF12" t="s">
        <v>102</v>
      </c>
      <c r="AG12" t="s">
        <v>98</v>
      </c>
      <c r="AH12">
        <v>5.108821952090363E-2</v>
      </c>
      <c r="AI12">
        <v>4.9543754812436504E-3</v>
      </c>
      <c r="AJ12">
        <v>4.2096124286898705E-2</v>
      </c>
      <c r="AK12">
        <v>0.10185156993833537</v>
      </c>
      <c r="AL12">
        <v>5.0471516604261489E-2</v>
      </c>
      <c r="AM12">
        <v>5.0574308465084365E-2</v>
      </c>
      <c r="AN12">
        <v>4.1797831401517702E-2</v>
      </c>
      <c r="AO12">
        <v>2.2212550840273591E-2</v>
      </c>
      <c r="AP12">
        <v>2.0504881168529235E-2</v>
      </c>
      <c r="AQ12">
        <v>6.5346583472234432E-2</v>
      </c>
      <c r="AR12">
        <v>2.8497250967097484E-2</v>
      </c>
      <c r="AS12">
        <v>4.2592020064043563E-2</v>
      </c>
      <c r="AU12" t="s">
        <v>561</v>
      </c>
      <c r="AV12">
        <v>0</v>
      </c>
      <c r="AW12">
        <v>0.22241827890869487</v>
      </c>
      <c r="AX12">
        <v>1.3401241161383306E-3</v>
      </c>
      <c r="AY12">
        <v>3.8556954482411466E-3</v>
      </c>
      <c r="AZ12">
        <v>0.34990811133735067</v>
      </c>
      <c r="BA12">
        <v>1.9093865867577556E-2</v>
      </c>
      <c r="BB12">
        <v>8.2609432409366697E-3</v>
      </c>
      <c r="BC12">
        <v>0.40720758562776926</v>
      </c>
      <c r="BD12">
        <v>3.4460416123049814E-2</v>
      </c>
      <c r="BE12">
        <v>4.5690537720736497E-4</v>
      </c>
      <c r="BF12">
        <v>0.25296150510915455</v>
      </c>
      <c r="BG12">
        <v>4.0047107269613148E-3</v>
      </c>
      <c r="BI12" t="s">
        <v>561</v>
      </c>
      <c r="BJ12" t="s">
        <v>99</v>
      </c>
      <c r="BK12" t="s">
        <v>100</v>
      </c>
      <c r="BL12">
        <v>0.3910970168387829</v>
      </c>
    </row>
    <row r="13" spans="2:64" x14ac:dyDescent="0.45">
      <c r="B13" t="s">
        <v>562</v>
      </c>
      <c r="C13" t="s">
        <v>95</v>
      </c>
      <c r="D13">
        <v>0</v>
      </c>
      <c r="E13">
        <v>0.40314573237127321</v>
      </c>
      <c r="F13">
        <v>0.9587124608761155</v>
      </c>
      <c r="G13">
        <v>0.8816052880882006</v>
      </c>
      <c r="H13">
        <v>0.26557909227281717</v>
      </c>
      <c r="I13">
        <v>0.72274888633057643</v>
      </c>
      <c r="J13">
        <v>0.8025996548155544</v>
      </c>
      <c r="K13">
        <v>0.1849001237318712</v>
      </c>
      <c r="L13">
        <v>0.63106512372890144</v>
      </c>
      <c r="M13">
        <v>0.96943432539420793</v>
      </c>
      <c r="N13">
        <v>0.35151672135149731</v>
      </c>
      <c r="O13">
        <v>0.89910184627942502</v>
      </c>
      <c r="AU13" t="s">
        <v>562</v>
      </c>
      <c r="AV13">
        <v>0</v>
      </c>
      <c r="AW13">
        <v>0.20571233196981581</v>
      </c>
      <c r="AX13">
        <v>2.0867865042980523E-3</v>
      </c>
      <c r="AY13">
        <v>2.8235592593431253E-3</v>
      </c>
      <c r="AZ13">
        <v>0.3243649635362218</v>
      </c>
      <c r="BA13">
        <v>2.1431562085680821E-2</v>
      </c>
      <c r="BB13">
        <v>6.7973670187128962E-3</v>
      </c>
      <c r="BC13">
        <v>0.41842435466527705</v>
      </c>
      <c r="BD13">
        <v>4.0685716405778928E-2</v>
      </c>
      <c r="BE13">
        <v>2.3047065971164077E-4</v>
      </c>
      <c r="BF13">
        <v>0.23920756244702898</v>
      </c>
      <c r="BG13">
        <v>4.8009666118840775E-3</v>
      </c>
      <c r="BI13" t="s">
        <v>562</v>
      </c>
      <c r="BJ13" t="s">
        <v>99</v>
      </c>
      <c r="BK13" t="s">
        <v>100</v>
      </c>
      <c r="BL13">
        <v>0.4054135157801515</v>
      </c>
    </row>
    <row r="14" spans="2:64" x14ac:dyDescent="0.45">
      <c r="B14" t="s">
        <v>563</v>
      </c>
      <c r="C14" t="s">
        <v>95</v>
      </c>
      <c r="D14">
        <v>0</v>
      </c>
      <c r="E14">
        <v>0.37960848130591762</v>
      </c>
      <c r="F14">
        <v>0.95629694660764231</v>
      </c>
      <c r="G14">
        <v>0.88635270461590365</v>
      </c>
      <c r="H14">
        <v>0.25614174084359287</v>
      </c>
      <c r="I14">
        <v>0.71882408576752232</v>
      </c>
      <c r="J14">
        <v>0.80502965122431636</v>
      </c>
      <c r="K14">
        <v>0.18667645420177617</v>
      </c>
      <c r="L14">
        <v>0.63248093635909397</v>
      </c>
      <c r="M14">
        <v>0.97119011340158412</v>
      </c>
      <c r="N14">
        <v>0.32541938320730518</v>
      </c>
      <c r="O14">
        <v>0.89715551422406781</v>
      </c>
      <c r="AU14" t="s">
        <v>563</v>
      </c>
      <c r="AV14">
        <v>0</v>
      </c>
      <c r="AW14">
        <v>0.23774297141178671</v>
      </c>
      <c r="AX14">
        <v>2.8902095649155791E-3</v>
      </c>
      <c r="AY14">
        <v>2.4781900245587529E-3</v>
      </c>
      <c r="AZ14">
        <v>0.34758097247248038</v>
      </c>
      <c r="BA14">
        <v>2.3841180368978344E-2</v>
      </c>
      <c r="BB14">
        <v>6.0720498478329336E-3</v>
      </c>
      <c r="BC14">
        <v>0.43098935550585099</v>
      </c>
      <c r="BD14">
        <v>4.2389071791358056E-2</v>
      </c>
      <c r="BE14">
        <v>1.5716586308803717E-4</v>
      </c>
      <c r="BF14">
        <v>0.2634814952157723</v>
      </c>
      <c r="BG14">
        <v>5.461290036850793E-3</v>
      </c>
      <c r="BI14" t="s">
        <v>563</v>
      </c>
      <c r="BJ14" t="s">
        <v>99</v>
      </c>
      <c r="BK14" t="s">
        <v>100</v>
      </c>
      <c r="BL14">
        <v>0.41942999185907592</v>
      </c>
    </row>
    <row r="15" spans="2:64" x14ac:dyDescent="0.45">
      <c r="B15" t="s">
        <v>564</v>
      </c>
      <c r="C15" t="s">
        <v>95</v>
      </c>
      <c r="D15">
        <v>0</v>
      </c>
      <c r="E15">
        <v>0.34347859780110401</v>
      </c>
      <c r="F15">
        <v>0.96475995379391621</v>
      </c>
      <c r="G15">
        <v>0.86855779330754623</v>
      </c>
      <c r="H15">
        <v>0.24092450948407301</v>
      </c>
      <c r="I15">
        <v>0.74017421299212693</v>
      </c>
      <c r="J15">
        <v>0.79028861346252577</v>
      </c>
      <c r="K15">
        <v>0.16092009150207487</v>
      </c>
      <c r="L15">
        <v>0.64608758685572365</v>
      </c>
      <c r="M15">
        <v>0.95962991508355622</v>
      </c>
      <c r="N15">
        <v>0.33095954166726477</v>
      </c>
      <c r="O15">
        <v>0.91251469857689183</v>
      </c>
      <c r="AU15" t="s">
        <v>564</v>
      </c>
      <c r="AV15">
        <v>0</v>
      </c>
      <c r="AW15">
        <v>0.29030253156932512</v>
      </c>
      <c r="AX15">
        <v>1.639272652910727E-3</v>
      </c>
      <c r="AY15">
        <v>4.9067249502788698E-3</v>
      </c>
      <c r="AZ15">
        <v>0.37139126287882518</v>
      </c>
      <c r="BA15">
        <v>2.0048272239428032E-2</v>
      </c>
      <c r="BB15">
        <v>9.9741967748816825E-3</v>
      </c>
      <c r="BC15">
        <v>0.42333464516265906</v>
      </c>
      <c r="BD15">
        <v>3.2611068650446343E-2</v>
      </c>
      <c r="BE15">
        <v>6.6078383027971311E-4</v>
      </c>
      <c r="BF15">
        <v>0.2831770392577318</v>
      </c>
      <c r="BG15">
        <v>4.3099177867763939E-3</v>
      </c>
      <c r="BI15" t="s">
        <v>564</v>
      </c>
      <c r="BJ15" t="s">
        <v>99</v>
      </c>
      <c r="BK15" t="s">
        <v>100</v>
      </c>
      <c r="BL15">
        <v>0.39688895981282407</v>
      </c>
    </row>
    <row r="16" spans="2:64" x14ac:dyDescent="0.45">
      <c r="B16" t="s">
        <v>565</v>
      </c>
      <c r="C16" t="s">
        <v>95</v>
      </c>
      <c r="D16">
        <v>0</v>
      </c>
      <c r="E16">
        <v>0.33794680841159103</v>
      </c>
      <c r="F16">
        <v>0.96018813486611576</v>
      </c>
      <c r="G16">
        <v>0.87394748641193476</v>
      </c>
      <c r="H16">
        <v>0.2418314689989427</v>
      </c>
      <c r="I16">
        <v>0.73223760132022964</v>
      </c>
      <c r="J16">
        <v>0.79298051325638996</v>
      </c>
      <c r="K16">
        <v>0.16529736012295468</v>
      </c>
      <c r="L16">
        <v>0.64344349049114447</v>
      </c>
      <c r="M16">
        <v>0.96153846153846179</v>
      </c>
      <c r="N16">
        <v>0.32958720448854267</v>
      </c>
      <c r="O16">
        <v>0.90427634003117674</v>
      </c>
      <c r="AU16" t="s">
        <v>565</v>
      </c>
      <c r="AV16">
        <v>0</v>
      </c>
      <c r="AW16">
        <v>0.28992933715388342</v>
      </c>
      <c r="AX16">
        <v>2.1588931025027925E-3</v>
      </c>
      <c r="AY16">
        <v>4.4682755145430452E-3</v>
      </c>
      <c r="AZ16">
        <v>0.38591260279507772</v>
      </c>
      <c r="BA16">
        <v>2.3467913829496288E-2</v>
      </c>
      <c r="BB16">
        <v>8.9197513575485516E-3</v>
      </c>
      <c r="BC16">
        <v>0.43928244909508207</v>
      </c>
      <c r="BD16">
        <v>3.6776892752754538E-2</v>
      </c>
      <c r="BE16">
        <v>4.9405933973953905E-4</v>
      </c>
      <c r="BF16">
        <v>0.27458422314620295</v>
      </c>
      <c r="BG16">
        <v>4.8289168164449966E-3</v>
      </c>
      <c r="BI16" t="s">
        <v>565</v>
      </c>
      <c r="BJ16" t="s">
        <v>99</v>
      </c>
      <c r="BK16" t="s">
        <v>100</v>
      </c>
      <c r="BL16">
        <v>0.41004958604643499</v>
      </c>
    </row>
    <row r="17" spans="2:64" x14ac:dyDescent="0.45">
      <c r="B17" t="s">
        <v>566</v>
      </c>
      <c r="C17" t="s">
        <v>95</v>
      </c>
      <c r="D17">
        <v>0</v>
      </c>
      <c r="E17">
        <v>0.33183758539902947</v>
      </c>
      <c r="F17">
        <v>0.96656814383465628</v>
      </c>
      <c r="G17">
        <v>0.86019245276903566</v>
      </c>
      <c r="H17">
        <v>0.20230937382909905</v>
      </c>
      <c r="I17">
        <v>0.731354017944434</v>
      </c>
      <c r="J17">
        <v>0.78902368654132904</v>
      </c>
      <c r="K17">
        <v>0.1662376771439282</v>
      </c>
      <c r="L17">
        <v>0.64758864033984531</v>
      </c>
      <c r="M17">
        <v>0.95879120879120905</v>
      </c>
      <c r="N17">
        <v>0.2944884011388455</v>
      </c>
      <c r="O17">
        <v>0.91307675972377622</v>
      </c>
      <c r="AU17" t="s">
        <v>566</v>
      </c>
      <c r="AV17">
        <v>0</v>
      </c>
      <c r="AW17">
        <v>0.31657407778953212</v>
      </c>
      <c r="AX17">
        <v>1.735415771823724E-3</v>
      </c>
      <c r="AY17">
        <v>6.4005752860113304E-3</v>
      </c>
      <c r="AZ17">
        <v>0.45419469278583086</v>
      </c>
      <c r="BA17">
        <v>2.4882977587005344E-2</v>
      </c>
      <c r="BB17">
        <v>1.0994896482412956E-2</v>
      </c>
      <c r="BC17">
        <v>0.44167975867638398</v>
      </c>
      <c r="BD17">
        <v>3.349447980859499E-2</v>
      </c>
      <c r="BE17">
        <v>7.0943467324875427E-4</v>
      </c>
      <c r="BF17">
        <v>0.32739821391209922</v>
      </c>
      <c r="BG17">
        <v>4.543463425870955E-3</v>
      </c>
      <c r="BI17" t="s">
        <v>566</v>
      </c>
      <c r="BJ17" t="s">
        <v>99</v>
      </c>
      <c r="BK17" t="s">
        <v>100</v>
      </c>
      <c r="BL17">
        <v>0.4263425601590829</v>
      </c>
    </row>
    <row r="18" spans="2:64" x14ac:dyDescent="0.45">
      <c r="B18" t="s">
        <v>567</v>
      </c>
      <c r="C18" t="s">
        <v>95</v>
      </c>
      <c r="D18">
        <v>0</v>
      </c>
      <c r="E18">
        <v>0.34820993249373855</v>
      </c>
      <c r="F18">
        <v>0.96812015296638398</v>
      </c>
      <c r="G18">
        <v>0.86284910845639051</v>
      </c>
      <c r="H18">
        <v>0.22316813218469109</v>
      </c>
      <c r="I18">
        <v>0.73685589532514817</v>
      </c>
      <c r="J18">
        <v>0.795942663207023</v>
      </c>
      <c r="K18">
        <v>0.1950212862724473</v>
      </c>
      <c r="L18">
        <v>0.65319233960378542</v>
      </c>
      <c r="M18">
        <v>0.95879120879120849</v>
      </c>
      <c r="N18">
        <v>0.30634230599575474</v>
      </c>
      <c r="O18">
        <v>0.91321783789921429</v>
      </c>
      <c r="AU18" t="s">
        <v>567</v>
      </c>
      <c r="AV18">
        <v>0</v>
      </c>
      <c r="AW18">
        <v>0.2783446730296571</v>
      </c>
      <c r="AX18">
        <v>1.4824362952136599E-3</v>
      </c>
      <c r="AY18">
        <v>4.5971529319663975E-3</v>
      </c>
      <c r="AZ18">
        <v>0.39871745728318997</v>
      </c>
      <c r="BA18">
        <v>2.0543305379117211E-2</v>
      </c>
      <c r="BB18">
        <v>9.4373311061965379E-3</v>
      </c>
      <c r="BC18">
        <v>0.41969853912591198</v>
      </c>
      <c r="BD18">
        <v>3.2987401475365247E-2</v>
      </c>
      <c r="BE18">
        <v>5.4110316764961622E-4</v>
      </c>
      <c r="BF18">
        <v>0.28712952440373707</v>
      </c>
      <c r="BG18">
        <v>4.1172653629140054E-3</v>
      </c>
      <c r="BI18" t="s">
        <v>567</v>
      </c>
      <c r="BJ18" t="s">
        <v>99</v>
      </c>
      <c r="BK18" t="s">
        <v>100</v>
      </c>
      <c r="BL18">
        <v>0.40681327441218207</v>
      </c>
    </row>
    <row r="19" spans="2:64" x14ac:dyDescent="0.45">
      <c r="B19" t="s">
        <v>568</v>
      </c>
      <c r="C19" t="s">
        <v>95</v>
      </c>
      <c r="D19">
        <v>0</v>
      </c>
      <c r="E19">
        <v>0.36538425786901224</v>
      </c>
      <c r="F19">
        <v>0.95330625456451235</v>
      </c>
      <c r="G19">
        <v>0.88944262212522351</v>
      </c>
      <c r="H19">
        <v>0.24611125575488313</v>
      </c>
      <c r="I19">
        <v>0.71201515503577151</v>
      </c>
      <c r="J19">
        <v>0.80567589515998272</v>
      </c>
      <c r="K19">
        <v>0.18450201865892174</v>
      </c>
      <c r="L19">
        <v>0.63172732450409486</v>
      </c>
      <c r="M19">
        <v>0.97281532104569701</v>
      </c>
      <c r="N19">
        <v>0.31830156609162219</v>
      </c>
      <c r="O19">
        <v>0.89447452038107456</v>
      </c>
      <c r="AU19" t="s">
        <v>568</v>
      </c>
      <c r="AV19">
        <v>0</v>
      </c>
      <c r="AW19">
        <v>0.27672937589358582</v>
      </c>
      <c r="AX19">
        <v>3.4771855680150927E-3</v>
      </c>
      <c r="AY19">
        <v>2.6808621353742183E-3</v>
      </c>
      <c r="AZ19">
        <v>0.37444077562789091</v>
      </c>
      <c r="BA19">
        <v>2.5286639755351469E-2</v>
      </c>
      <c r="BB19">
        <v>6.0931225182724496E-3</v>
      </c>
      <c r="BC19">
        <v>0.43162722845635948</v>
      </c>
      <c r="BD19">
        <v>4.1386880793764243E-2</v>
      </c>
      <c r="BE19">
        <v>1.5592535448000208E-4</v>
      </c>
      <c r="BF19">
        <v>0.28456018643133557</v>
      </c>
      <c r="BG19">
        <v>5.7602839215065531E-3</v>
      </c>
      <c r="BI19" t="s">
        <v>568</v>
      </c>
      <c r="BJ19" t="s">
        <v>99</v>
      </c>
      <c r="BK19" t="s">
        <v>100</v>
      </c>
      <c r="BL19">
        <v>0.42519395848832892</v>
      </c>
    </row>
    <row r="20" spans="2:64" x14ac:dyDescent="0.45">
      <c r="B20" t="s">
        <v>569</v>
      </c>
      <c r="C20" t="s">
        <v>95</v>
      </c>
      <c r="D20">
        <v>0</v>
      </c>
      <c r="E20">
        <v>0.3477401958509187</v>
      </c>
      <c r="F20">
        <v>0.95965357388152872</v>
      </c>
      <c r="G20">
        <v>0.87525113736143645</v>
      </c>
      <c r="H20">
        <v>0.22359204225320162</v>
      </c>
      <c r="I20">
        <v>0.71576259185440427</v>
      </c>
      <c r="J20">
        <v>0.7978390680555647</v>
      </c>
      <c r="K20">
        <v>0.18675820571017573</v>
      </c>
      <c r="L20">
        <v>0.63563800064552978</v>
      </c>
      <c r="M20">
        <v>0.96539101660128923</v>
      </c>
      <c r="N20">
        <v>0.29537335853593649</v>
      </c>
      <c r="O20">
        <v>0.90117377309957158</v>
      </c>
      <c r="AU20" t="s">
        <v>569</v>
      </c>
      <c r="AV20">
        <v>0</v>
      </c>
      <c r="AW20">
        <v>0.30335593959157864</v>
      </c>
      <c r="AX20">
        <v>2.5755877060090753E-3</v>
      </c>
      <c r="AY20">
        <v>4.3287976552381724E-3</v>
      </c>
      <c r="AZ20">
        <v>0.43239206541544256</v>
      </c>
      <c r="BA20">
        <v>2.7942057444276726E-2</v>
      </c>
      <c r="BB20">
        <v>7.9189893886636824E-3</v>
      </c>
      <c r="BC20">
        <v>0.44239854592785854</v>
      </c>
      <c r="BD20">
        <v>4.0674650152818868E-2</v>
      </c>
      <c r="BE20">
        <v>3.0112270599225491E-4</v>
      </c>
      <c r="BF20">
        <v>0.31560062073544703</v>
      </c>
      <c r="BG20">
        <v>5.3125472086428156E-3</v>
      </c>
      <c r="BI20" t="s">
        <v>569</v>
      </c>
      <c r="BJ20" t="s">
        <v>99</v>
      </c>
      <c r="BK20" t="s">
        <v>100</v>
      </c>
      <c r="BL20">
        <v>0.42546674176762556</v>
      </c>
    </row>
    <row r="21" spans="2:64" x14ac:dyDescent="0.45">
      <c r="B21" t="s">
        <v>570</v>
      </c>
      <c r="C21" t="s">
        <v>95</v>
      </c>
      <c r="D21">
        <v>0.45271510346159921</v>
      </c>
      <c r="E21">
        <v>0.45921048415962812</v>
      </c>
      <c r="F21">
        <v>0.4235113455652893</v>
      </c>
      <c r="G21">
        <v>0.45536640548635832</v>
      </c>
      <c r="H21">
        <v>0.44202672590162234</v>
      </c>
      <c r="I21">
        <v>0.42959774393788253</v>
      </c>
      <c r="J21">
        <v>0.42023605553460874</v>
      </c>
      <c r="K21">
        <v>0.45396435167622567</v>
      </c>
      <c r="L21">
        <v>0.38132262646322745</v>
      </c>
      <c r="M21">
        <v>0.41940659184957629</v>
      </c>
      <c r="N21">
        <v>0.49156438801733232</v>
      </c>
      <c r="O21">
        <v>0.42400525500078412</v>
      </c>
      <c r="AU21" t="s">
        <v>570</v>
      </c>
      <c r="AV21">
        <v>0.11229457675233587</v>
      </c>
      <c r="AW21">
        <v>9.7816895727559722E-2</v>
      </c>
      <c r="AX21">
        <v>0.12502391163078655</v>
      </c>
      <c r="AY21">
        <v>6.8435335553025972E-2</v>
      </c>
      <c r="AZ21">
        <v>7.3077865110067447E-2</v>
      </c>
      <c r="BA21">
        <v>7.7461539780336389E-2</v>
      </c>
      <c r="BB21">
        <v>4.7855966458250208E-2</v>
      </c>
      <c r="BC21">
        <v>4.5539302878213402E-2</v>
      </c>
      <c r="BD21">
        <v>5.6355292670111565E-2</v>
      </c>
      <c r="BE21">
        <v>0.12024662243381429</v>
      </c>
      <c r="BF21">
        <v>0.12794545319629833</v>
      </c>
      <c r="BG21">
        <v>0.11824202004925863</v>
      </c>
      <c r="BI21" t="s">
        <v>570</v>
      </c>
      <c r="BJ21" t="s">
        <v>99</v>
      </c>
      <c r="BK21" t="s">
        <v>100</v>
      </c>
      <c r="BL21">
        <v>0.12654298046836629</v>
      </c>
    </row>
    <row r="22" spans="2:64" x14ac:dyDescent="0.45">
      <c r="B22" t="s">
        <v>571</v>
      </c>
      <c r="C22" t="s">
        <v>95</v>
      </c>
      <c r="D22">
        <v>0.46922318868004981</v>
      </c>
      <c r="E22">
        <v>0.48486063318403211</v>
      </c>
      <c r="F22">
        <v>0.44759565230144627</v>
      </c>
      <c r="G22">
        <v>0.44891480024516855</v>
      </c>
      <c r="H22">
        <v>0.44200224318066594</v>
      </c>
      <c r="I22">
        <v>0.40302023941783993</v>
      </c>
      <c r="J22">
        <v>0.41832336830643146</v>
      </c>
      <c r="K22">
        <v>0.44623312017733152</v>
      </c>
      <c r="L22">
        <v>0.36231509148813779</v>
      </c>
      <c r="M22">
        <v>0.40610016078675459</v>
      </c>
      <c r="N22">
        <v>0.46401902664601541</v>
      </c>
      <c r="O22">
        <v>0.40093240711481892</v>
      </c>
      <c r="AU22" t="s">
        <v>571</v>
      </c>
      <c r="AV22">
        <v>0.22148982645206464</v>
      </c>
      <c r="AW22">
        <v>0.19138336197136799</v>
      </c>
      <c r="AX22">
        <v>0.23692605499980143</v>
      </c>
      <c r="AY22">
        <v>0.13538909427481247</v>
      </c>
      <c r="AZ22">
        <v>0.12091305674301744</v>
      </c>
      <c r="BA22">
        <v>0.13702559717753698</v>
      </c>
      <c r="BB22">
        <v>9.2194465169640069E-2</v>
      </c>
      <c r="BC22">
        <v>7.5546422261876342E-2</v>
      </c>
      <c r="BD22">
        <v>9.6295151810593685E-2</v>
      </c>
      <c r="BE22">
        <v>0.22730556023108855</v>
      </c>
      <c r="BF22">
        <v>0.20836107760544989</v>
      </c>
      <c r="BG22">
        <v>0.21086786431260407</v>
      </c>
      <c r="BI22" t="s">
        <v>571</v>
      </c>
      <c r="BJ22" t="s">
        <v>99</v>
      </c>
      <c r="BK22" t="s">
        <v>100</v>
      </c>
      <c r="BL22">
        <v>0.23452355381903342</v>
      </c>
    </row>
    <row r="23" spans="2:64" x14ac:dyDescent="0.45">
      <c r="B23" t="s">
        <v>572</v>
      </c>
      <c r="C23" t="s">
        <v>95</v>
      </c>
      <c r="D23">
        <v>0.49033022806469051</v>
      </c>
      <c r="E23">
        <v>0.51189628631463535</v>
      </c>
      <c r="F23">
        <v>0.48070112440487112</v>
      </c>
      <c r="G23">
        <v>0.4632215613319231</v>
      </c>
      <c r="H23">
        <v>0.47750032847561258</v>
      </c>
      <c r="I23">
        <v>0.42354173380338678</v>
      </c>
      <c r="J23">
        <v>0.44601093290345095</v>
      </c>
      <c r="K23">
        <v>0.46052031511903657</v>
      </c>
      <c r="L23">
        <v>0.39723864274066878</v>
      </c>
      <c r="M23">
        <v>0.45753479266999947</v>
      </c>
      <c r="N23">
        <v>0.51194987315068885</v>
      </c>
      <c r="O23">
        <v>0.44205262472438767</v>
      </c>
      <c r="AU23" t="s">
        <v>572</v>
      </c>
      <c r="AV23">
        <v>0.12813649574947905</v>
      </c>
      <c r="AW23">
        <v>0.11769327026817741</v>
      </c>
      <c r="AX23">
        <v>0.14185882756439105</v>
      </c>
      <c r="AY23">
        <v>7.5727481384724932E-2</v>
      </c>
      <c r="AZ23">
        <v>8.2992872035601586E-2</v>
      </c>
      <c r="BA23">
        <v>8.662576117152955E-2</v>
      </c>
      <c r="BB23">
        <v>4.9838360552910119E-2</v>
      </c>
      <c r="BC23">
        <v>5.4340509307044357E-2</v>
      </c>
      <c r="BD23">
        <v>5.8976770490846611E-2</v>
      </c>
      <c r="BE23">
        <v>0.13261892889712038</v>
      </c>
      <c r="BF23">
        <v>0.14219546771447103</v>
      </c>
      <c r="BG23">
        <v>0.13021845765959389</v>
      </c>
      <c r="BI23" t="s">
        <v>572</v>
      </c>
      <c r="BJ23" t="s">
        <v>99</v>
      </c>
      <c r="BK23" t="s">
        <v>100</v>
      </c>
      <c r="BL23">
        <v>0.1410544670589913</v>
      </c>
    </row>
    <row r="24" spans="2:64" x14ac:dyDescent="0.45">
      <c r="B24" t="s">
        <v>573</v>
      </c>
      <c r="C24" t="s">
        <v>95</v>
      </c>
      <c r="D24">
        <v>0.47146076758081062</v>
      </c>
      <c r="E24">
        <v>0.52298886692517277</v>
      </c>
      <c r="F24">
        <v>0.45215753181510393</v>
      </c>
      <c r="G24">
        <v>0.41246646495214589</v>
      </c>
      <c r="H24">
        <v>0.47775657269601274</v>
      </c>
      <c r="I24">
        <v>0.40350483531092007</v>
      </c>
      <c r="J24">
        <v>0.40487056721948822</v>
      </c>
      <c r="K24">
        <v>0.44688019793324668</v>
      </c>
      <c r="L24">
        <v>0.37247135335414805</v>
      </c>
      <c r="M24">
        <v>0.477514902257407</v>
      </c>
      <c r="N24">
        <v>0.50077991756328322</v>
      </c>
      <c r="O24">
        <v>0.4291260762405395</v>
      </c>
      <c r="AU24" t="s">
        <v>573</v>
      </c>
      <c r="AV24">
        <v>0.17240371429555429</v>
      </c>
      <c r="AW24">
        <v>0.16360564360226917</v>
      </c>
      <c r="AX24">
        <v>0.19336852666865861</v>
      </c>
      <c r="AY24">
        <v>0.12026844831811816</v>
      </c>
      <c r="AZ24">
        <v>0.11556996744285519</v>
      </c>
      <c r="BA24">
        <v>0.13027613601762045</v>
      </c>
      <c r="BB24">
        <v>8.5717659787643119E-2</v>
      </c>
      <c r="BC24">
        <v>7.55860695771053E-2</v>
      </c>
      <c r="BD24">
        <v>9.1649034711156055E-2</v>
      </c>
      <c r="BE24">
        <v>0.17679289297154685</v>
      </c>
      <c r="BF24">
        <v>0.1719855054675673</v>
      </c>
      <c r="BG24">
        <v>0.17409966334883095</v>
      </c>
      <c r="BI24" t="s">
        <v>573</v>
      </c>
      <c r="BJ24" t="s">
        <v>99</v>
      </c>
      <c r="BK24" t="s">
        <v>100</v>
      </c>
      <c r="BL24">
        <v>0.19192752233184701</v>
      </c>
    </row>
    <row r="25" spans="2:64" x14ac:dyDescent="0.45">
      <c r="B25" t="s">
        <v>574</v>
      </c>
      <c r="C25" t="s">
        <v>95</v>
      </c>
      <c r="D25">
        <v>0.46654019063066976</v>
      </c>
      <c r="E25">
        <v>0.50377923964362969</v>
      </c>
      <c r="F25">
        <v>0.48503110045244457</v>
      </c>
      <c r="G25">
        <v>0.43382936655745458</v>
      </c>
      <c r="H25">
        <v>0.48421628833756358</v>
      </c>
      <c r="I25">
        <v>0.40311136268707659</v>
      </c>
      <c r="J25">
        <v>0.39810320092983159</v>
      </c>
      <c r="K25">
        <v>0.4631666598608612</v>
      </c>
      <c r="L25">
        <v>0.37121846679331549</v>
      </c>
      <c r="M25">
        <v>0.48976607285858614</v>
      </c>
      <c r="N25">
        <v>0.52673663987760433</v>
      </c>
      <c r="O25">
        <v>0.48145522270775054</v>
      </c>
      <c r="AU25" t="s">
        <v>574</v>
      </c>
      <c r="AV25">
        <v>0.11204233144752733</v>
      </c>
      <c r="AW25">
        <v>0.10887610199098062</v>
      </c>
      <c r="AX25">
        <v>0.13106655579629459</v>
      </c>
      <c r="AY25">
        <v>7.6962127182132856E-2</v>
      </c>
      <c r="AZ25">
        <v>7.8980048949344323E-2</v>
      </c>
      <c r="BA25">
        <v>8.3888564821066117E-2</v>
      </c>
      <c r="BB25">
        <v>4.7419688593357059E-2</v>
      </c>
      <c r="BC25">
        <v>4.928467317779154E-2</v>
      </c>
      <c r="BD25">
        <v>5.7168441206685849E-2</v>
      </c>
      <c r="BE25">
        <v>0.10953498055507904</v>
      </c>
      <c r="BF25">
        <v>0.11338844938270215</v>
      </c>
      <c r="BG25">
        <v>0.11176539407578219</v>
      </c>
      <c r="BI25" t="s">
        <v>574</v>
      </c>
      <c r="BJ25" t="s">
        <v>99</v>
      </c>
      <c r="BK25" t="s">
        <v>100</v>
      </c>
      <c r="BL25">
        <v>0.12995711917626776</v>
      </c>
    </row>
    <row r="26" spans="2:64" x14ac:dyDescent="0.45">
      <c r="B26" t="s">
        <v>575</v>
      </c>
      <c r="C26" t="s">
        <v>95</v>
      </c>
      <c r="D26">
        <v>0.52471098845386854</v>
      </c>
      <c r="E26">
        <v>0.54158747618058711</v>
      </c>
      <c r="F26">
        <v>0.52945091580541181</v>
      </c>
      <c r="G26">
        <v>0.42566536157631751</v>
      </c>
      <c r="H26">
        <v>0.48625876141191932</v>
      </c>
      <c r="I26">
        <v>0.4190852335997694</v>
      </c>
      <c r="J26">
        <v>0.42054105649946627</v>
      </c>
      <c r="K26">
        <v>0.47635457129956182</v>
      </c>
      <c r="L26">
        <v>0.43445535525253309</v>
      </c>
      <c r="M26">
        <v>0.49754906280860617</v>
      </c>
      <c r="N26">
        <v>0.53611356638771135</v>
      </c>
      <c r="O26">
        <v>0.48644244902581441</v>
      </c>
      <c r="AU26" t="s">
        <v>575</v>
      </c>
      <c r="AV26">
        <v>0.10177165330452327</v>
      </c>
      <c r="AW26">
        <v>9.4170063257398504E-2</v>
      </c>
      <c r="AX26">
        <v>0.11652040450307713</v>
      </c>
      <c r="AY26">
        <v>7.8104417715582283E-2</v>
      </c>
      <c r="AZ26">
        <v>7.690667109589254E-2</v>
      </c>
      <c r="BA26">
        <v>8.9449859656177563E-2</v>
      </c>
      <c r="BB26">
        <v>5.4334739116118566E-2</v>
      </c>
      <c r="BC26">
        <v>5.0451591057682654E-2</v>
      </c>
      <c r="BD26">
        <v>5.6746620019902883E-2</v>
      </c>
      <c r="BE26">
        <v>8.8259159689986627E-2</v>
      </c>
      <c r="BF26">
        <v>9.3882889688145468E-2</v>
      </c>
      <c r="BG26">
        <v>0.10267181088988014</v>
      </c>
      <c r="BI26" t="s">
        <v>575</v>
      </c>
      <c r="BJ26" t="s">
        <v>99</v>
      </c>
      <c r="BK26" t="s">
        <v>100</v>
      </c>
      <c r="BL26">
        <v>0.11545536403018222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E1D02-09B3-4569-8D1A-C9CE07C4F874}">
  <dimension ref="A9:S1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region=CHE")</f>
        <v>~TFM_DINS-AT: region=CHE</v>
      </c>
      <c r="H9" t="str">
        <f>IF(A11="x","DeActivated","~TFM_DINS-AT: region=CHE")</f>
        <v>~TFM_DINS-AT: region=CHE</v>
      </c>
      <c r="L9" t="str">
        <f>IF(A11="x","DeActivated","~TFM_DINS-AT: region=CHE")</f>
        <v>~TFM_DINS-AT: region=CHE</v>
      </c>
      <c r="P9" t="str">
        <f>IF(A11="x","DeActivated","~TFM_INS-AT: region=CHE")</f>
        <v>~TFM_INS-AT: region=CHE</v>
      </c>
    </row>
    <row r="10" spans="1:19" x14ac:dyDescent="0.45">
      <c r="A10" t="s">
        <v>177</v>
      </c>
      <c r="C10" t="s">
        <v>178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179</v>
      </c>
      <c r="P10" t="s">
        <v>180</v>
      </c>
      <c r="Q10" t="s">
        <v>1</v>
      </c>
      <c r="R10" t="s">
        <v>181</v>
      </c>
      <c r="S10" t="s">
        <v>182</v>
      </c>
    </row>
    <row r="11" spans="1:19" x14ac:dyDescent="0.45">
      <c r="C11">
        <v>8.2191780821917804E-2</v>
      </c>
      <c r="D11">
        <v>4.555602515973449E-2</v>
      </c>
      <c r="E11" t="s">
        <v>5</v>
      </c>
      <c r="F11" t="s">
        <v>183</v>
      </c>
      <c r="H11" t="s">
        <v>184</v>
      </c>
      <c r="I11" t="s">
        <v>5</v>
      </c>
      <c r="L11" t="s">
        <v>185</v>
      </c>
      <c r="M11" t="s">
        <v>5</v>
      </c>
      <c r="N11">
        <v>0.22197213270358729</v>
      </c>
      <c r="P11">
        <v>2020</v>
      </c>
      <c r="Q11" t="s">
        <v>186</v>
      </c>
      <c r="R11">
        <v>0.27886666666666665</v>
      </c>
      <c r="S11" t="s">
        <v>187</v>
      </c>
    </row>
    <row r="12" spans="1:19" x14ac:dyDescent="0.45">
      <c r="C12">
        <v>0.10273972602739725</v>
      </c>
      <c r="D12">
        <v>0.14672202471222937</v>
      </c>
      <c r="E12" t="s">
        <v>9</v>
      </c>
      <c r="F12" t="s">
        <v>183</v>
      </c>
      <c r="H12" t="s">
        <v>184</v>
      </c>
      <c r="I12" t="s">
        <v>9</v>
      </c>
      <c r="L12" t="s">
        <v>185</v>
      </c>
      <c r="M12" t="s">
        <v>9</v>
      </c>
      <c r="N12">
        <v>8.4709484982861127E-2</v>
      </c>
      <c r="P12">
        <v>2020</v>
      </c>
      <c r="Q12" t="s">
        <v>188</v>
      </c>
      <c r="R12">
        <v>0.28170000000000001</v>
      </c>
      <c r="S12" t="s">
        <v>187</v>
      </c>
    </row>
    <row r="13" spans="1:19" x14ac:dyDescent="0.45">
      <c r="C13">
        <v>6.1643835616438353E-2</v>
      </c>
      <c r="D13">
        <v>5.4297292593789633E-2</v>
      </c>
      <c r="E13" t="s">
        <v>10</v>
      </c>
      <c r="F13" t="s">
        <v>183</v>
      </c>
      <c r="H13" t="s">
        <v>184</v>
      </c>
      <c r="I13" t="s">
        <v>10</v>
      </c>
      <c r="L13" t="s">
        <v>185</v>
      </c>
      <c r="M13" t="s">
        <v>10</v>
      </c>
      <c r="N13">
        <v>0.14470807434386934</v>
      </c>
      <c r="P13">
        <v>2020</v>
      </c>
      <c r="Q13" t="s">
        <v>189</v>
      </c>
      <c r="R13">
        <v>0.3746666666666667</v>
      </c>
      <c r="S13" t="s">
        <v>187</v>
      </c>
    </row>
    <row r="14" spans="1:19" x14ac:dyDescent="0.45">
      <c r="C14">
        <v>8.4018264840182655E-2</v>
      </c>
      <c r="D14">
        <v>4.6568381274395249E-2</v>
      </c>
      <c r="E14" t="s">
        <v>11</v>
      </c>
      <c r="F14" t="s">
        <v>183</v>
      </c>
      <c r="H14" t="s">
        <v>184</v>
      </c>
      <c r="I14" t="s">
        <v>11</v>
      </c>
      <c r="L14" t="s">
        <v>185</v>
      </c>
      <c r="M14" t="s">
        <v>11</v>
      </c>
      <c r="N14">
        <v>0.31960371987094316</v>
      </c>
      <c r="P14">
        <v>2020</v>
      </c>
      <c r="Q14" t="s">
        <v>190</v>
      </c>
      <c r="R14">
        <v>0.30306666666666665</v>
      </c>
      <c r="S14" t="s">
        <v>187</v>
      </c>
    </row>
    <row r="15" spans="1:19" x14ac:dyDescent="0.45">
      <c r="C15">
        <v>0.1050228310502283</v>
      </c>
      <c r="D15">
        <v>0.14998251415027888</v>
      </c>
      <c r="E15" t="s">
        <v>12</v>
      </c>
      <c r="F15" t="s">
        <v>183</v>
      </c>
      <c r="H15" t="s">
        <v>184</v>
      </c>
      <c r="I15" t="s">
        <v>12</v>
      </c>
      <c r="L15" t="s">
        <v>185</v>
      </c>
      <c r="M15" t="s">
        <v>12</v>
      </c>
      <c r="N15">
        <v>0.13894544319476232</v>
      </c>
      <c r="P15">
        <v>2021</v>
      </c>
      <c r="Q15" t="s">
        <v>186</v>
      </c>
      <c r="R15">
        <v>0.26756666666666667</v>
      </c>
      <c r="S15" t="s">
        <v>187</v>
      </c>
    </row>
    <row r="16" spans="1:19" x14ac:dyDescent="0.45">
      <c r="C16">
        <v>6.3013698630136991E-2</v>
      </c>
      <c r="D16">
        <v>5.5503899095873853E-2</v>
      </c>
      <c r="E16" t="s">
        <v>13</v>
      </c>
      <c r="F16" t="s">
        <v>183</v>
      </c>
      <c r="H16" t="s">
        <v>184</v>
      </c>
      <c r="I16" t="s">
        <v>13</v>
      </c>
      <c r="L16" t="s">
        <v>185</v>
      </c>
      <c r="M16" t="s">
        <v>13</v>
      </c>
      <c r="N16">
        <v>0.22217175692533431</v>
      </c>
      <c r="P16">
        <v>2021</v>
      </c>
      <c r="Q16" t="s">
        <v>188</v>
      </c>
      <c r="R16">
        <v>0.24306666666666668</v>
      </c>
      <c r="S16" t="s">
        <v>187</v>
      </c>
    </row>
    <row r="17" spans="3:19" x14ac:dyDescent="0.45">
      <c r="C17">
        <v>8.4018264840182655E-2</v>
      </c>
      <c r="D17">
        <v>4.6568381274395249E-2</v>
      </c>
      <c r="E17" t="s">
        <v>14</v>
      </c>
      <c r="F17" t="s">
        <v>183</v>
      </c>
      <c r="H17" t="s">
        <v>184</v>
      </c>
      <c r="I17" t="s">
        <v>14</v>
      </c>
      <c r="L17" t="s">
        <v>185</v>
      </c>
      <c r="M17" t="s">
        <v>14</v>
      </c>
      <c r="N17">
        <v>0.23045253458036474</v>
      </c>
      <c r="P17">
        <v>2021</v>
      </c>
      <c r="Q17" t="s">
        <v>189</v>
      </c>
      <c r="R17">
        <v>0.4190666666666667</v>
      </c>
      <c r="S17" t="s">
        <v>187</v>
      </c>
    </row>
    <row r="18" spans="3:19" x14ac:dyDescent="0.45">
      <c r="C18">
        <v>0.1050228310502283</v>
      </c>
      <c r="D18">
        <v>0.14998251415027888</v>
      </c>
      <c r="E18" t="s">
        <v>15</v>
      </c>
      <c r="F18" t="s">
        <v>183</v>
      </c>
      <c r="H18" t="s">
        <v>184</v>
      </c>
      <c r="I18" t="s">
        <v>15</v>
      </c>
      <c r="L18" t="s">
        <v>185</v>
      </c>
      <c r="M18" t="s">
        <v>15</v>
      </c>
      <c r="N18">
        <v>0.11939115181148918</v>
      </c>
      <c r="P18">
        <v>2021</v>
      </c>
      <c r="Q18" t="s">
        <v>190</v>
      </c>
      <c r="R18">
        <v>0.25446666666666667</v>
      </c>
      <c r="S18" t="s">
        <v>187</v>
      </c>
    </row>
    <row r="19" spans="3:19" x14ac:dyDescent="0.45">
      <c r="C19">
        <v>6.3013698630136991E-2</v>
      </c>
      <c r="D19">
        <v>5.5503899095873853E-2</v>
      </c>
      <c r="E19" t="s">
        <v>16</v>
      </c>
      <c r="F19" t="s">
        <v>183</v>
      </c>
      <c r="H19" t="s">
        <v>184</v>
      </c>
      <c r="I19" t="s">
        <v>16</v>
      </c>
      <c r="L19" t="s">
        <v>185</v>
      </c>
      <c r="M19" t="s">
        <v>16</v>
      </c>
      <c r="N19">
        <v>0.15645787748465811</v>
      </c>
      <c r="P19">
        <v>2022</v>
      </c>
      <c r="Q19" t="s">
        <v>186</v>
      </c>
      <c r="R19">
        <v>0.22466666666666668</v>
      </c>
      <c r="S19" t="s">
        <v>187</v>
      </c>
    </row>
    <row r="20" spans="3:19" x14ac:dyDescent="0.45">
      <c r="C20">
        <v>8.3105022831050229E-2</v>
      </c>
      <c r="D20">
        <v>4.6062203217064869E-2</v>
      </c>
      <c r="E20" t="s">
        <v>17</v>
      </c>
      <c r="F20" t="s">
        <v>183</v>
      </c>
      <c r="H20" t="s">
        <v>184</v>
      </c>
      <c r="I20" t="s">
        <v>17</v>
      </c>
      <c r="L20" t="s">
        <v>185</v>
      </c>
      <c r="M20" t="s">
        <v>17</v>
      </c>
      <c r="N20">
        <v>0.35546445242925517</v>
      </c>
      <c r="P20">
        <v>2022</v>
      </c>
      <c r="Q20" t="s">
        <v>188</v>
      </c>
      <c r="R20">
        <v>0.23303333333333334</v>
      </c>
      <c r="S20" t="s">
        <v>187</v>
      </c>
    </row>
    <row r="21" spans="3:19" x14ac:dyDescent="0.45">
      <c r="C21">
        <v>0.10388127853881278</v>
      </c>
      <c r="D21">
        <v>0.14835226943125412</v>
      </c>
      <c r="E21" t="s">
        <v>18</v>
      </c>
      <c r="F21" t="s">
        <v>183</v>
      </c>
      <c r="H21" t="s">
        <v>184</v>
      </c>
      <c r="I21" t="s">
        <v>18</v>
      </c>
      <c r="L21" t="s">
        <v>185</v>
      </c>
      <c r="M21" t="s">
        <v>18</v>
      </c>
      <c r="N21">
        <v>0.17008380134397516</v>
      </c>
      <c r="P21">
        <v>2022</v>
      </c>
      <c r="Q21" t="s">
        <v>189</v>
      </c>
      <c r="R21">
        <v>0.31319999999999998</v>
      </c>
      <c r="S21" t="s">
        <v>187</v>
      </c>
    </row>
    <row r="22" spans="3:19" x14ac:dyDescent="0.45">
      <c r="C22">
        <v>6.2328767123287672E-2</v>
      </c>
      <c r="D22">
        <v>5.4900595844831736E-2</v>
      </c>
      <c r="E22" t="s">
        <v>19</v>
      </c>
      <c r="F22" t="s">
        <v>183</v>
      </c>
      <c r="H22" t="s">
        <v>184</v>
      </c>
      <c r="I22" t="s">
        <v>19</v>
      </c>
      <c r="L22" t="s">
        <v>185</v>
      </c>
      <c r="M22" t="s">
        <v>19</v>
      </c>
      <c r="N22">
        <v>0.24446928922653788</v>
      </c>
      <c r="P22">
        <v>2022</v>
      </c>
      <c r="Q22" t="s">
        <v>190</v>
      </c>
      <c r="R22">
        <v>0.22989999999999999</v>
      </c>
      <c r="S22" t="s">
        <v>187</v>
      </c>
    </row>
    <row r="23" spans="3:19" x14ac:dyDescent="0.45">
      <c r="H23" t="s">
        <v>191</v>
      </c>
      <c r="I23" t="s">
        <v>5</v>
      </c>
      <c r="P23">
        <v>2025</v>
      </c>
      <c r="Q23" t="s">
        <v>186</v>
      </c>
      <c r="R23">
        <v>0.26369999999999999</v>
      </c>
      <c r="S23" t="s">
        <v>187</v>
      </c>
    </row>
    <row r="24" spans="3:19" x14ac:dyDescent="0.45">
      <c r="H24" t="s">
        <v>191</v>
      </c>
      <c r="I24" t="s">
        <v>9</v>
      </c>
      <c r="P24">
        <v>2025</v>
      </c>
      <c r="Q24" t="s">
        <v>188</v>
      </c>
      <c r="R24">
        <v>0.25206666666666666</v>
      </c>
      <c r="S24" t="s">
        <v>187</v>
      </c>
    </row>
    <row r="25" spans="3:19" x14ac:dyDescent="0.45">
      <c r="H25" t="s">
        <v>191</v>
      </c>
      <c r="I25" t="s">
        <v>10</v>
      </c>
      <c r="P25">
        <v>2025</v>
      </c>
      <c r="Q25" t="s">
        <v>189</v>
      </c>
      <c r="R25">
        <v>0.37946666666666662</v>
      </c>
      <c r="S25" t="s">
        <v>187</v>
      </c>
    </row>
    <row r="26" spans="3:19" x14ac:dyDescent="0.45">
      <c r="H26" t="s">
        <v>191</v>
      </c>
      <c r="I26" t="s">
        <v>11</v>
      </c>
      <c r="P26">
        <v>2025</v>
      </c>
      <c r="Q26" t="s">
        <v>190</v>
      </c>
      <c r="R26">
        <v>0.27789999999999998</v>
      </c>
      <c r="S26" t="s">
        <v>187</v>
      </c>
    </row>
    <row r="27" spans="3:19" x14ac:dyDescent="0.45">
      <c r="H27" t="s">
        <v>191</v>
      </c>
      <c r="I27" t="s">
        <v>12</v>
      </c>
      <c r="P27">
        <v>2026</v>
      </c>
      <c r="Q27" t="s">
        <v>186</v>
      </c>
      <c r="R27">
        <v>0.23240000000000002</v>
      </c>
      <c r="S27" t="s">
        <v>187</v>
      </c>
    </row>
    <row r="28" spans="3:19" x14ac:dyDescent="0.45">
      <c r="H28" t="s">
        <v>191</v>
      </c>
      <c r="I28" t="s">
        <v>13</v>
      </c>
      <c r="P28">
        <v>2026</v>
      </c>
      <c r="Q28" t="s">
        <v>188</v>
      </c>
      <c r="R28">
        <v>0.26023333333333337</v>
      </c>
      <c r="S28" t="s">
        <v>187</v>
      </c>
    </row>
    <row r="29" spans="3:19" x14ac:dyDescent="0.45">
      <c r="H29" t="s">
        <v>191</v>
      </c>
      <c r="I29" t="s">
        <v>14</v>
      </c>
      <c r="P29">
        <v>2026</v>
      </c>
      <c r="Q29" t="s">
        <v>189</v>
      </c>
      <c r="R29">
        <v>0.3891</v>
      </c>
      <c r="S29" t="s">
        <v>187</v>
      </c>
    </row>
    <row r="30" spans="3:19" x14ac:dyDescent="0.45">
      <c r="H30" t="s">
        <v>191</v>
      </c>
      <c r="I30" t="s">
        <v>15</v>
      </c>
      <c r="P30">
        <v>2026</v>
      </c>
      <c r="Q30" t="s">
        <v>190</v>
      </c>
      <c r="R30">
        <v>0.26973333333333332</v>
      </c>
      <c r="S30" t="s">
        <v>187</v>
      </c>
    </row>
    <row r="31" spans="3:19" x14ac:dyDescent="0.45">
      <c r="H31" t="s">
        <v>191</v>
      </c>
      <c r="I31" t="s">
        <v>16</v>
      </c>
      <c r="P31">
        <v>2027</v>
      </c>
      <c r="Q31" t="s">
        <v>186</v>
      </c>
      <c r="R31">
        <v>0.24993333333333334</v>
      </c>
      <c r="S31" t="s">
        <v>187</v>
      </c>
    </row>
    <row r="32" spans="3:19" x14ac:dyDescent="0.45">
      <c r="H32" t="s">
        <v>191</v>
      </c>
      <c r="I32" t="s">
        <v>17</v>
      </c>
      <c r="P32">
        <v>2027</v>
      </c>
      <c r="Q32" t="s">
        <v>188</v>
      </c>
      <c r="R32">
        <v>0.25436666666666669</v>
      </c>
      <c r="S32" t="s">
        <v>187</v>
      </c>
    </row>
    <row r="33" spans="8:19" x14ac:dyDescent="0.45">
      <c r="H33" t="s">
        <v>191</v>
      </c>
      <c r="I33" t="s">
        <v>18</v>
      </c>
      <c r="P33">
        <v>2027</v>
      </c>
      <c r="Q33" t="s">
        <v>189</v>
      </c>
      <c r="R33">
        <v>0.36630000000000001</v>
      </c>
      <c r="S33" t="s">
        <v>187</v>
      </c>
    </row>
    <row r="34" spans="8:19" x14ac:dyDescent="0.45">
      <c r="H34" t="s">
        <v>191</v>
      </c>
      <c r="I34" t="s">
        <v>19</v>
      </c>
      <c r="P34">
        <v>2027</v>
      </c>
      <c r="Q34" t="s">
        <v>190</v>
      </c>
      <c r="R34">
        <v>0.32746666666666663</v>
      </c>
      <c r="S34" t="s">
        <v>187</v>
      </c>
    </row>
    <row r="35" spans="8:19" x14ac:dyDescent="0.45">
      <c r="P35">
        <v>2028</v>
      </c>
      <c r="Q35" t="s">
        <v>186</v>
      </c>
      <c r="R35">
        <v>0.29683333333333334</v>
      </c>
      <c r="S35" t="s">
        <v>187</v>
      </c>
    </row>
    <row r="36" spans="8:19" x14ac:dyDescent="0.45">
      <c r="P36">
        <v>2028</v>
      </c>
      <c r="Q36" t="s">
        <v>188</v>
      </c>
      <c r="R36">
        <v>0.29469999999999996</v>
      </c>
      <c r="S36" t="s">
        <v>187</v>
      </c>
    </row>
    <row r="37" spans="8:19" x14ac:dyDescent="0.45">
      <c r="P37">
        <v>2028</v>
      </c>
      <c r="Q37" t="s">
        <v>189</v>
      </c>
      <c r="R37">
        <v>0.47143333333333332</v>
      </c>
      <c r="S37" t="s">
        <v>187</v>
      </c>
    </row>
    <row r="38" spans="8:19" x14ac:dyDescent="0.45">
      <c r="P38">
        <v>2028</v>
      </c>
      <c r="Q38" t="s">
        <v>190</v>
      </c>
      <c r="R38">
        <v>0.31273333333333336</v>
      </c>
      <c r="S38" t="s">
        <v>187</v>
      </c>
    </row>
    <row r="39" spans="8:19" x14ac:dyDescent="0.45">
      <c r="P39">
        <v>2029</v>
      </c>
      <c r="Q39" t="s">
        <v>186</v>
      </c>
      <c r="R39">
        <v>0.30913333333333332</v>
      </c>
      <c r="S39" t="s">
        <v>187</v>
      </c>
    </row>
    <row r="40" spans="8:19" x14ac:dyDescent="0.45">
      <c r="P40">
        <v>2029</v>
      </c>
      <c r="Q40" t="s">
        <v>188</v>
      </c>
      <c r="R40">
        <v>0.27963333333333334</v>
      </c>
      <c r="S40" t="s">
        <v>187</v>
      </c>
    </row>
    <row r="41" spans="8:19" x14ac:dyDescent="0.45">
      <c r="P41">
        <v>2029</v>
      </c>
      <c r="Q41" t="s">
        <v>189</v>
      </c>
      <c r="R41">
        <v>0.43053333333333327</v>
      </c>
      <c r="S41" t="s">
        <v>187</v>
      </c>
    </row>
    <row r="42" spans="8:19" x14ac:dyDescent="0.45">
      <c r="P42">
        <v>2029</v>
      </c>
      <c r="Q42" t="s">
        <v>190</v>
      </c>
      <c r="R42">
        <v>0.32423333333333337</v>
      </c>
      <c r="S42" t="s">
        <v>187</v>
      </c>
    </row>
    <row r="43" spans="8:19" x14ac:dyDescent="0.45">
      <c r="P43">
        <v>2030</v>
      </c>
      <c r="Q43" t="s">
        <v>186</v>
      </c>
      <c r="R43">
        <v>0.31393333333333334</v>
      </c>
      <c r="S43" t="s">
        <v>187</v>
      </c>
    </row>
    <row r="44" spans="8:19" x14ac:dyDescent="0.45">
      <c r="P44">
        <v>2030</v>
      </c>
      <c r="Q44" t="s">
        <v>188</v>
      </c>
      <c r="R44">
        <v>0.3274333333333333</v>
      </c>
      <c r="S44" t="s">
        <v>187</v>
      </c>
    </row>
    <row r="45" spans="8:19" x14ac:dyDescent="0.45">
      <c r="P45">
        <v>2030</v>
      </c>
      <c r="Q45" t="s">
        <v>189</v>
      </c>
      <c r="R45">
        <v>0.46556666666666668</v>
      </c>
      <c r="S45" t="s">
        <v>187</v>
      </c>
    </row>
    <row r="46" spans="8:19" x14ac:dyDescent="0.45">
      <c r="P46">
        <v>2030</v>
      </c>
      <c r="Q46" t="s">
        <v>190</v>
      </c>
      <c r="R46">
        <v>0.32100000000000001</v>
      </c>
      <c r="S46" t="s">
        <v>187</v>
      </c>
    </row>
    <row r="47" spans="8:19" x14ac:dyDescent="0.45">
      <c r="P47">
        <v>2031</v>
      </c>
      <c r="Q47" t="s">
        <v>186</v>
      </c>
      <c r="R47">
        <v>0.31513333333333332</v>
      </c>
      <c r="S47" t="s">
        <v>187</v>
      </c>
    </row>
    <row r="48" spans="8:19" x14ac:dyDescent="0.45">
      <c r="P48">
        <v>2031</v>
      </c>
      <c r="Q48" t="s">
        <v>188</v>
      </c>
      <c r="R48">
        <v>0.27993333333333331</v>
      </c>
      <c r="S48" t="s">
        <v>187</v>
      </c>
    </row>
    <row r="49" spans="16:19" x14ac:dyDescent="0.45">
      <c r="P49">
        <v>2031</v>
      </c>
      <c r="Q49" t="s">
        <v>189</v>
      </c>
      <c r="R49">
        <v>0.45293333333333335</v>
      </c>
      <c r="S49" t="s">
        <v>187</v>
      </c>
    </row>
    <row r="50" spans="16:19" x14ac:dyDescent="0.45">
      <c r="P50">
        <v>2031</v>
      </c>
      <c r="Q50" t="s">
        <v>190</v>
      </c>
      <c r="R50">
        <v>0.31756666666666672</v>
      </c>
      <c r="S50" t="s">
        <v>187</v>
      </c>
    </row>
    <row r="51" spans="16:19" x14ac:dyDescent="0.45">
      <c r="P51">
        <v>2032</v>
      </c>
      <c r="Q51" t="s">
        <v>186</v>
      </c>
      <c r="R51">
        <v>0.32116666666666666</v>
      </c>
      <c r="S51" t="s">
        <v>187</v>
      </c>
    </row>
    <row r="52" spans="16:19" x14ac:dyDescent="0.45">
      <c r="P52">
        <v>2032</v>
      </c>
      <c r="Q52" t="s">
        <v>188</v>
      </c>
      <c r="R52">
        <v>0.32406666666666667</v>
      </c>
      <c r="S52" t="s">
        <v>187</v>
      </c>
    </row>
    <row r="53" spans="16:19" x14ac:dyDescent="0.45">
      <c r="P53">
        <v>2032</v>
      </c>
      <c r="Q53" t="s">
        <v>189</v>
      </c>
      <c r="R53">
        <v>0.46383333333333332</v>
      </c>
      <c r="S53" t="s">
        <v>187</v>
      </c>
    </row>
    <row r="54" spans="16:19" x14ac:dyDescent="0.45">
      <c r="P54">
        <v>2032</v>
      </c>
      <c r="Q54" t="s">
        <v>190</v>
      </c>
      <c r="R54">
        <v>0.32050000000000001</v>
      </c>
      <c r="S54" t="s">
        <v>187</v>
      </c>
    </row>
    <row r="55" spans="16:19" x14ac:dyDescent="0.45">
      <c r="P55">
        <v>2033</v>
      </c>
      <c r="Q55" t="s">
        <v>186</v>
      </c>
      <c r="R55">
        <v>0.28553333333333336</v>
      </c>
      <c r="S55" t="s">
        <v>187</v>
      </c>
    </row>
    <row r="56" spans="16:19" x14ac:dyDescent="0.45">
      <c r="P56">
        <v>2033</v>
      </c>
      <c r="Q56" t="s">
        <v>188</v>
      </c>
      <c r="R56">
        <v>0.29236666666666666</v>
      </c>
      <c r="S56" t="s">
        <v>187</v>
      </c>
    </row>
    <row r="57" spans="16:19" x14ac:dyDescent="0.45">
      <c r="P57">
        <v>2033</v>
      </c>
      <c r="Q57" t="s">
        <v>189</v>
      </c>
      <c r="R57">
        <v>0.44373333333333331</v>
      </c>
      <c r="S57" t="s">
        <v>187</v>
      </c>
    </row>
    <row r="58" spans="16:19" x14ac:dyDescent="0.45">
      <c r="P58">
        <v>2033</v>
      </c>
      <c r="Q58" t="s">
        <v>190</v>
      </c>
      <c r="R58">
        <v>0.30049999999999999</v>
      </c>
      <c r="S58" t="s">
        <v>187</v>
      </c>
    </row>
    <row r="59" spans="16:19" x14ac:dyDescent="0.45">
      <c r="P59">
        <v>2034</v>
      </c>
      <c r="Q59" t="s">
        <v>186</v>
      </c>
      <c r="R59">
        <v>0.30433333333333334</v>
      </c>
      <c r="S59" t="s">
        <v>187</v>
      </c>
    </row>
    <row r="60" spans="16:19" x14ac:dyDescent="0.45">
      <c r="P60">
        <v>2034</v>
      </c>
      <c r="Q60" t="s">
        <v>188</v>
      </c>
      <c r="R60">
        <v>0.32886666666666664</v>
      </c>
      <c r="S60" t="s">
        <v>187</v>
      </c>
    </row>
    <row r="61" spans="16:19" x14ac:dyDescent="0.45">
      <c r="P61">
        <v>2034</v>
      </c>
      <c r="Q61" t="s">
        <v>189</v>
      </c>
      <c r="R61">
        <v>0.44026666666666675</v>
      </c>
      <c r="S61" t="s">
        <v>187</v>
      </c>
    </row>
    <row r="62" spans="16:19" x14ac:dyDescent="0.45">
      <c r="P62">
        <v>2034</v>
      </c>
      <c r="Q62" t="s">
        <v>190</v>
      </c>
      <c r="R62">
        <v>0.3301</v>
      </c>
      <c r="S62" t="s">
        <v>187</v>
      </c>
    </row>
    <row r="63" spans="16:19" x14ac:dyDescent="0.45">
      <c r="P63">
        <v>2035</v>
      </c>
      <c r="Q63" t="s">
        <v>186</v>
      </c>
      <c r="R63">
        <v>0.27323333333333333</v>
      </c>
      <c r="S63" t="s">
        <v>187</v>
      </c>
    </row>
    <row r="64" spans="16:19" x14ac:dyDescent="0.45">
      <c r="P64">
        <v>2035</v>
      </c>
      <c r="Q64" t="s">
        <v>188</v>
      </c>
      <c r="R64">
        <v>0.27489999999999998</v>
      </c>
      <c r="S64" t="s">
        <v>187</v>
      </c>
    </row>
    <row r="65" spans="16:19" x14ac:dyDescent="0.45">
      <c r="P65">
        <v>2035</v>
      </c>
      <c r="Q65" t="s">
        <v>189</v>
      </c>
      <c r="R65">
        <v>0.38610000000000005</v>
      </c>
      <c r="S65" t="s">
        <v>187</v>
      </c>
    </row>
    <row r="66" spans="16:19" x14ac:dyDescent="0.45">
      <c r="P66">
        <v>2035</v>
      </c>
      <c r="Q66" t="s">
        <v>190</v>
      </c>
      <c r="R66">
        <v>0.29493333333333333</v>
      </c>
      <c r="S66" t="s">
        <v>187</v>
      </c>
    </row>
    <row r="67" spans="16:19" x14ac:dyDescent="0.45">
      <c r="P67">
        <v>2036</v>
      </c>
      <c r="Q67" t="s">
        <v>186</v>
      </c>
      <c r="R67">
        <v>0.25030000000000002</v>
      </c>
      <c r="S67" t="s">
        <v>187</v>
      </c>
    </row>
    <row r="68" spans="16:19" x14ac:dyDescent="0.45">
      <c r="P68">
        <v>2036</v>
      </c>
      <c r="Q68" t="s">
        <v>188</v>
      </c>
      <c r="R68">
        <v>0.2442</v>
      </c>
      <c r="S68" t="s">
        <v>187</v>
      </c>
    </row>
    <row r="69" spans="16:19" x14ac:dyDescent="0.45">
      <c r="P69">
        <v>2036</v>
      </c>
      <c r="Q69" t="s">
        <v>189</v>
      </c>
      <c r="R69">
        <v>0.35400000000000004</v>
      </c>
      <c r="S69" t="s">
        <v>187</v>
      </c>
    </row>
    <row r="70" spans="16:19" x14ac:dyDescent="0.45">
      <c r="P70">
        <v>2036</v>
      </c>
      <c r="Q70" t="s">
        <v>190</v>
      </c>
      <c r="R70">
        <v>0.21916666666666665</v>
      </c>
      <c r="S70" t="s">
        <v>187</v>
      </c>
    </row>
    <row r="71" spans="16:19" x14ac:dyDescent="0.45">
      <c r="P71">
        <v>2037</v>
      </c>
      <c r="Q71" t="s">
        <v>186</v>
      </c>
      <c r="R71">
        <v>0.22456666666666666</v>
      </c>
      <c r="S71" t="s">
        <v>187</v>
      </c>
    </row>
    <row r="72" spans="16:19" x14ac:dyDescent="0.45">
      <c r="P72">
        <v>2037</v>
      </c>
      <c r="Q72" t="s">
        <v>188</v>
      </c>
      <c r="R72">
        <v>0.23803333333333332</v>
      </c>
      <c r="S72" t="s">
        <v>187</v>
      </c>
    </row>
    <row r="73" spans="16:19" x14ac:dyDescent="0.45">
      <c r="P73">
        <v>2037</v>
      </c>
      <c r="Q73" t="s">
        <v>189</v>
      </c>
      <c r="R73">
        <v>0.32946666666666669</v>
      </c>
      <c r="S73" t="s">
        <v>187</v>
      </c>
    </row>
    <row r="74" spans="16:19" x14ac:dyDescent="0.45">
      <c r="P74">
        <v>2037</v>
      </c>
      <c r="Q74" t="s">
        <v>190</v>
      </c>
      <c r="R74">
        <v>0.23236666666666669</v>
      </c>
      <c r="S74" t="s">
        <v>187</v>
      </c>
    </row>
    <row r="75" spans="16:19" x14ac:dyDescent="0.45">
      <c r="P75">
        <v>2038</v>
      </c>
      <c r="Q75" t="s">
        <v>186</v>
      </c>
      <c r="R75">
        <v>0.22999999999999998</v>
      </c>
      <c r="S75" t="s">
        <v>187</v>
      </c>
    </row>
    <row r="76" spans="16:19" x14ac:dyDescent="0.45">
      <c r="P76">
        <v>2038</v>
      </c>
      <c r="Q76" t="s">
        <v>188</v>
      </c>
      <c r="R76">
        <v>0.22103333333333333</v>
      </c>
      <c r="S76" t="s">
        <v>187</v>
      </c>
    </row>
    <row r="77" spans="16:19" x14ac:dyDescent="0.45">
      <c r="P77">
        <v>2038</v>
      </c>
      <c r="Q77" t="s">
        <v>189</v>
      </c>
      <c r="R77">
        <v>0.34933333333333333</v>
      </c>
      <c r="S77" t="s">
        <v>187</v>
      </c>
    </row>
    <row r="78" spans="16:19" x14ac:dyDescent="0.45">
      <c r="P78">
        <v>2038</v>
      </c>
      <c r="Q78" t="s">
        <v>190</v>
      </c>
      <c r="R78">
        <v>0.27326666666666666</v>
      </c>
      <c r="S78" t="s">
        <v>187</v>
      </c>
    </row>
    <row r="79" spans="16:19" x14ac:dyDescent="0.45">
      <c r="P79">
        <v>2039</v>
      </c>
      <c r="Q79" t="s">
        <v>186</v>
      </c>
      <c r="R79">
        <v>0.26860000000000001</v>
      </c>
      <c r="S79" t="s">
        <v>187</v>
      </c>
    </row>
    <row r="80" spans="16:19" x14ac:dyDescent="0.45">
      <c r="P80">
        <v>2039</v>
      </c>
      <c r="Q80" t="s">
        <v>188</v>
      </c>
      <c r="R80">
        <v>0.24006666666666665</v>
      </c>
      <c r="S80" t="s">
        <v>187</v>
      </c>
    </row>
    <row r="81" spans="16:19" x14ac:dyDescent="0.45">
      <c r="P81">
        <v>2039</v>
      </c>
      <c r="Q81" t="s">
        <v>189</v>
      </c>
      <c r="R81">
        <v>0.34749999999999998</v>
      </c>
      <c r="S81" t="s">
        <v>187</v>
      </c>
    </row>
    <row r="82" spans="16:19" x14ac:dyDescent="0.45">
      <c r="P82">
        <v>2039</v>
      </c>
      <c r="Q82" t="s">
        <v>190</v>
      </c>
      <c r="R82">
        <v>0.22003333333333333</v>
      </c>
      <c r="S82" t="s">
        <v>187</v>
      </c>
    </row>
    <row r="83" spans="16:19" x14ac:dyDescent="0.45">
      <c r="P83">
        <v>2040</v>
      </c>
      <c r="Q83" t="s">
        <v>186</v>
      </c>
      <c r="R83">
        <v>0.22606666666666664</v>
      </c>
      <c r="S83" t="s">
        <v>187</v>
      </c>
    </row>
    <row r="84" spans="16:19" x14ac:dyDescent="0.45">
      <c r="P84">
        <v>2040</v>
      </c>
      <c r="Q84" t="s">
        <v>188</v>
      </c>
      <c r="R84">
        <v>0.23170000000000002</v>
      </c>
      <c r="S84" t="s">
        <v>187</v>
      </c>
    </row>
    <row r="85" spans="16:19" x14ac:dyDescent="0.45">
      <c r="P85">
        <v>2040</v>
      </c>
      <c r="Q85" t="s">
        <v>189</v>
      </c>
      <c r="R85">
        <v>0.32396666666666668</v>
      </c>
      <c r="S85" t="s">
        <v>187</v>
      </c>
    </row>
    <row r="86" spans="16:19" x14ac:dyDescent="0.45">
      <c r="P86">
        <v>2040</v>
      </c>
      <c r="Q86" t="s">
        <v>190</v>
      </c>
      <c r="R86">
        <v>0.24803333333333333</v>
      </c>
      <c r="S86" t="s">
        <v>187</v>
      </c>
    </row>
    <row r="87" spans="16:19" x14ac:dyDescent="0.45">
      <c r="P87">
        <v>2041</v>
      </c>
      <c r="Q87" t="s">
        <v>186</v>
      </c>
      <c r="R87">
        <v>0.22059999999999999</v>
      </c>
      <c r="S87" t="s">
        <v>187</v>
      </c>
    </row>
    <row r="88" spans="16:19" x14ac:dyDescent="0.45">
      <c r="P88">
        <v>2041</v>
      </c>
      <c r="Q88" t="s">
        <v>188</v>
      </c>
      <c r="R88">
        <v>0.21913333333333332</v>
      </c>
      <c r="S88" t="s">
        <v>187</v>
      </c>
    </row>
    <row r="89" spans="16:19" x14ac:dyDescent="0.45">
      <c r="P89">
        <v>2041</v>
      </c>
      <c r="Q89" t="s">
        <v>189</v>
      </c>
      <c r="R89">
        <v>0.33816666666666667</v>
      </c>
      <c r="S89" t="s">
        <v>187</v>
      </c>
    </row>
    <row r="90" spans="16:19" x14ac:dyDescent="0.45">
      <c r="P90">
        <v>2041</v>
      </c>
      <c r="Q90" t="s">
        <v>190</v>
      </c>
      <c r="R90">
        <v>0.23656666666666668</v>
      </c>
      <c r="S90" t="s">
        <v>187</v>
      </c>
    </row>
    <row r="91" spans="16:19" x14ac:dyDescent="0.45">
      <c r="P91">
        <v>2042</v>
      </c>
      <c r="Q91" t="s">
        <v>186</v>
      </c>
      <c r="R91">
        <v>0.23663333333333333</v>
      </c>
      <c r="S91" t="s">
        <v>187</v>
      </c>
    </row>
    <row r="92" spans="16:19" x14ac:dyDescent="0.45">
      <c r="P92">
        <v>2042</v>
      </c>
      <c r="Q92" t="s">
        <v>188</v>
      </c>
      <c r="R92">
        <v>0.19523333333333334</v>
      </c>
      <c r="S92" t="s">
        <v>187</v>
      </c>
    </row>
    <row r="93" spans="16:19" x14ac:dyDescent="0.45">
      <c r="P93">
        <v>2042</v>
      </c>
      <c r="Q93" t="s">
        <v>189</v>
      </c>
      <c r="R93">
        <v>0.32773333333333332</v>
      </c>
      <c r="S93" t="s">
        <v>187</v>
      </c>
    </row>
    <row r="94" spans="16:19" x14ac:dyDescent="0.45">
      <c r="P94">
        <v>2042</v>
      </c>
      <c r="Q94" t="s">
        <v>190</v>
      </c>
      <c r="R94">
        <v>0.2389</v>
      </c>
      <c r="S94" t="s">
        <v>187</v>
      </c>
    </row>
    <row r="95" spans="16:19" x14ac:dyDescent="0.45">
      <c r="P95">
        <v>2043</v>
      </c>
      <c r="Q95" t="s">
        <v>186</v>
      </c>
      <c r="R95">
        <v>0.23946666666666663</v>
      </c>
      <c r="S95" t="s">
        <v>187</v>
      </c>
    </row>
    <row r="96" spans="16:19" x14ac:dyDescent="0.45">
      <c r="P96">
        <v>2043</v>
      </c>
      <c r="Q96" t="s">
        <v>188</v>
      </c>
      <c r="R96">
        <v>0.23140000000000002</v>
      </c>
      <c r="S96" t="s">
        <v>187</v>
      </c>
    </row>
    <row r="97" spans="16:19" x14ac:dyDescent="0.45">
      <c r="P97">
        <v>2043</v>
      </c>
      <c r="Q97" t="s">
        <v>189</v>
      </c>
      <c r="R97">
        <v>0.34713333333333335</v>
      </c>
      <c r="S97" t="s">
        <v>187</v>
      </c>
    </row>
    <row r="98" spans="16:19" x14ac:dyDescent="0.45">
      <c r="P98">
        <v>2043</v>
      </c>
      <c r="Q98" t="s">
        <v>190</v>
      </c>
      <c r="R98">
        <v>0.19986666666666666</v>
      </c>
      <c r="S98" t="s">
        <v>187</v>
      </c>
    </row>
    <row r="99" spans="16:19" x14ac:dyDescent="0.45">
      <c r="P99">
        <v>2044</v>
      </c>
      <c r="Q99" t="s">
        <v>186</v>
      </c>
      <c r="R99">
        <v>0.21883333333333332</v>
      </c>
      <c r="S99" t="s">
        <v>187</v>
      </c>
    </row>
    <row r="100" spans="16:19" x14ac:dyDescent="0.45">
      <c r="P100">
        <v>2044</v>
      </c>
      <c r="Q100" t="s">
        <v>188</v>
      </c>
      <c r="R100">
        <v>0.1986</v>
      </c>
      <c r="S100" t="s">
        <v>187</v>
      </c>
    </row>
    <row r="101" spans="16:19" x14ac:dyDescent="0.45">
      <c r="P101">
        <v>2044</v>
      </c>
      <c r="Q101" t="s">
        <v>189</v>
      </c>
      <c r="R101">
        <v>0.33260000000000001</v>
      </c>
      <c r="S101" t="s">
        <v>187</v>
      </c>
    </row>
    <row r="102" spans="16:19" x14ac:dyDescent="0.45">
      <c r="P102">
        <v>2044</v>
      </c>
      <c r="Q102" t="s">
        <v>190</v>
      </c>
      <c r="R102">
        <v>0.24843333333333337</v>
      </c>
      <c r="S102" t="s">
        <v>187</v>
      </c>
    </row>
    <row r="103" spans="16:19" x14ac:dyDescent="0.45">
      <c r="P103">
        <v>2045</v>
      </c>
      <c r="Q103" t="s">
        <v>186</v>
      </c>
      <c r="R103">
        <v>0.25270000000000004</v>
      </c>
      <c r="S103" t="s">
        <v>187</v>
      </c>
    </row>
    <row r="104" spans="16:19" x14ac:dyDescent="0.45">
      <c r="P104">
        <v>2045</v>
      </c>
      <c r="Q104" t="s">
        <v>188</v>
      </c>
      <c r="R104">
        <v>0.25806666666666667</v>
      </c>
      <c r="S104" t="s">
        <v>187</v>
      </c>
    </row>
    <row r="105" spans="16:19" x14ac:dyDescent="0.45">
      <c r="P105">
        <v>2045</v>
      </c>
      <c r="Q105" t="s">
        <v>189</v>
      </c>
      <c r="R105">
        <v>0.35620000000000002</v>
      </c>
      <c r="S105" t="s">
        <v>187</v>
      </c>
    </row>
    <row r="106" spans="16:19" x14ac:dyDescent="0.45">
      <c r="P106">
        <v>2045</v>
      </c>
      <c r="Q106" t="s">
        <v>190</v>
      </c>
      <c r="R106">
        <v>0.24856666666666669</v>
      </c>
      <c r="S106" t="s">
        <v>187</v>
      </c>
    </row>
    <row r="107" spans="16:19" x14ac:dyDescent="0.45">
      <c r="P107">
        <v>2046</v>
      </c>
      <c r="Q107" t="s">
        <v>186</v>
      </c>
      <c r="R107">
        <v>0.24723333333333333</v>
      </c>
      <c r="S107" t="s">
        <v>187</v>
      </c>
    </row>
    <row r="108" spans="16:19" x14ac:dyDescent="0.45">
      <c r="P108">
        <v>2046</v>
      </c>
      <c r="Q108" t="s">
        <v>188</v>
      </c>
      <c r="R108">
        <v>0.24366666666666661</v>
      </c>
      <c r="S108" t="s">
        <v>187</v>
      </c>
    </row>
    <row r="109" spans="16:19" x14ac:dyDescent="0.45">
      <c r="P109">
        <v>2046</v>
      </c>
      <c r="Q109" t="s">
        <v>189</v>
      </c>
      <c r="R109">
        <v>0.36276666666666668</v>
      </c>
      <c r="S109" t="s">
        <v>187</v>
      </c>
    </row>
    <row r="110" spans="16:19" x14ac:dyDescent="0.45">
      <c r="P110">
        <v>2046</v>
      </c>
      <c r="Q110" t="s">
        <v>190</v>
      </c>
      <c r="R110">
        <v>0.30499999999999999</v>
      </c>
      <c r="S110" t="s">
        <v>187</v>
      </c>
    </row>
    <row r="111" spans="16:19" x14ac:dyDescent="0.45">
      <c r="P111">
        <v>2047</v>
      </c>
      <c r="Q111" t="s">
        <v>186</v>
      </c>
      <c r="R111">
        <v>0.30596666666666666</v>
      </c>
      <c r="S111" t="s">
        <v>187</v>
      </c>
    </row>
    <row r="112" spans="16:19" x14ac:dyDescent="0.45">
      <c r="P112">
        <v>2047</v>
      </c>
      <c r="Q112" t="s">
        <v>188</v>
      </c>
      <c r="R112">
        <v>0.28420000000000001</v>
      </c>
      <c r="S112" t="s">
        <v>187</v>
      </c>
    </row>
    <row r="113" spans="16:19" x14ac:dyDescent="0.45">
      <c r="P113">
        <v>2047</v>
      </c>
      <c r="Q113" t="s">
        <v>189</v>
      </c>
      <c r="R113">
        <v>0.41599999999999998</v>
      </c>
      <c r="S113" t="s">
        <v>187</v>
      </c>
    </row>
    <row r="114" spans="16:19" x14ac:dyDescent="0.45">
      <c r="P114">
        <v>2047</v>
      </c>
      <c r="Q114" t="s">
        <v>190</v>
      </c>
      <c r="R114">
        <v>0.31583333333333335</v>
      </c>
      <c r="S114" t="s">
        <v>187</v>
      </c>
    </row>
    <row r="115" spans="16:19" x14ac:dyDescent="0.45">
      <c r="P115">
        <v>2048</v>
      </c>
      <c r="Q115" t="s">
        <v>186</v>
      </c>
      <c r="R115">
        <v>0.28606666666666664</v>
      </c>
      <c r="S115" t="s">
        <v>187</v>
      </c>
    </row>
    <row r="116" spans="16:19" x14ac:dyDescent="0.45">
      <c r="P116">
        <v>2048</v>
      </c>
      <c r="Q116" t="s">
        <v>188</v>
      </c>
      <c r="R116">
        <v>0.23243333333333335</v>
      </c>
      <c r="S116" t="s">
        <v>187</v>
      </c>
    </row>
    <row r="117" spans="16:19" x14ac:dyDescent="0.45">
      <c r="P117">
        <v>2048</v>
      </c>
      <c r="Q117" t="s">
        <v>189</v>
      </c>
      <c r="R117">
        <v>0.39143333333333336</v>
      </c>
      <c r="S117" t="s">
        <v>187</v>
      </c>
    </row>
    <row r="118" spans="16:19" x14ac:dyDescent="0.45">
      <c r="P118">
        <v>2048</v>
      </c>
      <c r="Q118" t="s">
        <v>190</v>
      </c>
      <c r="R118">
        <v>0.27329999999999999</v>
      </c>
      <c r="S118" t="s">
        <v>187</v>
      </c>
    </row>
    <row r="119" spans="16:19" x14ac:dyDescent="0.45">
      <c r="P119">
        <v>2049</v>
      </c>
      <c r="Q119" t="s">
        <v>186</v>
      </c>
      <c r="R119">
        <v>0.31286666666666668</v>
      </c>
      <c r="S119" t="s">
        <v>187</v>
      </c>
    </row>
    <row r="120" spans="16:19" x14ac:dyDescent="0.45">
      <c r="P120">
        <v>2049</v>
      </c>
      <c r="Q120" t="s">
        <v>188</v>
      </c>
      <c r="R120">
        <v>0.29499999999999998</v>
      </c>
      <c r="S120" t="s">
        <v>187</v>
      </c>
    </row>
    <row r="121" spans="16:19" x14ac:dyDescent="0.45">
      <c r="P121">
        <v>2049</v>
      </c>
      <c r="Q121" t="s">
        <v>189</v>
      </c>
      <c r="R121">
        <v>0.40406666666666663</v>
      </c>
      <c r="S121" t="s">
        <v>187</v>
      </c>
    </row>
    <row r="122" spans="16:19" x14ac:dyDescent="0.45">
      <c r="P122">
        <v>2049</v>
      </c>
      <c r="Q122" t="s">
        <v>190</v>
      </c>
      <c r="R122">
        <v>0.28286666666666666</v>
      </c>
      <c r="S122" t="s">
        <v>187</v>
      </c>
    </row>
    <row r="123" spans="16:19" x14ac:dyDescent="0.45">
      <c r="P123">
        <v>2050</v>
      </c>
      <c r="Q123" t="s">
        <v>186</v>
      </c>
      <c r="R123">
        <v>0.23450000000000001</v>
      </c>
      <c r="S123" t="s">
        <v>187</v>
      </c>
    </row>
    <row r="124" spans="16:19" x14ac:dyDescent="0.45">
      <c r="P124">
        <v>2050</v>
      </c>
      <c r="Q124" t="s">
        <v>188</v>
      </c>
      <c r="R124">
        <v>0.31490000000000001</v>
      </c>
      <c r="S124" t="s">
        <v>187</v>
      </c>
    </row>
    <row r="125" spans="16:19" x14ac:dyDescent="0.45">
      <c r="P125">
        <v>2050</v>
      </c>
      <c r="Q125" t="s">
        <v>189</v>
      </c>
      <c r="R125">
        <v>0.37279999999999996</v>
      </c>
      <c r="S125" t="s">
        <v>187</v>
      </c>
    </row>
    <row r="126" spans="16:19" x14ac:dyDescent="0.45">
      <c r="P126">
        <v>2050</v>
      </c>
      <c r="Q126" t="s">
        <v>190</v>
      </c>
      <c r="R126">
        <v>0.25059999999999999</v>
      </c>
      <c r="S126" t="s">
        <v>187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71E2B-DBFF-49E5-81AD-F3B440196E86}">
  <dimension ref="B9:O298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region=ITA")</f>
        <v>~TFM_DINS-AT: region=ITA</v>
      </c>
      <c r="G9" t="str">
        <f>IF(A11="x","DeActivated","~TFM_DINS-AT: region=ITA")</f>
        <v>~TFM_DINS-AT: region=ITA</v>
      </c>
      <c r="L9" t="str">
        <f>IF(A11="x","DeActivated","~TFM_DINS-AT: region=ITA")</f>
        <v>~TFM_DINS-AT: region=ITA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576</v>
      </c>
      <c r="C11" t="s">
        <v>5</v>
      </c>
      <c r="D11">
        <v>0</v>
      </c>
      <c r="E11" t="s">
        <v>6</v>
      </c>
      <c r="G11" t="s">
        <v>577</v>
      </c>
      <c r="H11" t="s">
        <v>5</v>
      </c>
      <c r="I11">
        <v>0.10397343109064092</v>
      </c>
      <c r="J11" t="s">
        <v>6</v>
      </c>
      <c r="L11" t="s">
        <v>578</v>
      </c>
      <c r="M11" t="s">
        <v>5</v>
      </c>
      <c r="N11">
        <v>0.10518005995774261</v>
      </c>
      <c r="O11" t="s">
        <v>6</v>
      </c>
    </row>
    <row r="12" spans="2:15" x14ac:dyDescent="0.45">
      <c r="B12" t="s">
        <v>576</v>
      </c>
      <c r="C12" t="s">
        <v>9</v>
      </c>
      <c r="D12">
        <v>0.1734058808172774</v>
      </c>
      <c r="E12" t="s">
        <v>6</v>
      </c>
      <c r="G12" t="s">
        <v>577</v>
      </c>
      <c r="H12" t="s">
        <v>9</v>
      </c>
      <c r="I12">
        <v>0.10876697000005589</v>
      </c>
      <c r="J12" t="s">
        <v>6</v>
      </c>
      <c r="L12" t="s">
        <v>578</v>
      </c>
      <c r="M12" t="s">
        <v>9</v>
      </c>
      <c r="N12">
        <v>0.13718587136046387</v>
      </c>
      <c r="O12" t="s">
        <v>6</v>
      </c>
    </row>
    <row r="13" spans="2:15" x14ac:dyDescent="0.45">
      <c r="B13" t="s">
        <v>576</v>
      </c>
      <c r="C13" t="s">
        <v>10</v>
      </c>
      <c r="D13">
        <v>1.0673684574312259E-3</v>
      </c>
      <c r="E13" t="s">
        <v>6</v>
      </c>
      <c r="G13" t="s">
        <v>577</v>
      </c>
      <c r="H13" t="s">
        <v>10</v>
      </c>
      <c r="I13">
        <v>7.3360876001975883E-2</v>
      </c>
      <c r="J13" t="s">
        <v>6</v>
      </c>
      <c r="L13" t="s">
        <v>578</v>
      </c>
      <c r="M13" t="s">
        <v>10</v>
      </c>
      <c r="N13">
        <v>8.2434618176057156E-2</v>
      </c>
      <c r="O13" t="s">
        <v>6</v>
      </c>
    </row>
    <row r="14" spans="2:15" x14ac:dyDescent="0.45">
      <c r="B14" t="s">
        <v>576</v>
      </c>
      <c r="C14" t="s">
        <v>11</v>
      </c>
      <c r="D14">
        <v>1.9869558448409666E-3</v>
      </c>
      <c r="E14" t="s">
        <v>6</v>
      </c>
      <c r="G14" t="s">
        <v>577</v>
      </c>
      <c r="H14" t="s">
        <v>11</v>
      </c>
      <c r="I14">
        <v>9.150904456317957E-2</v>
      </c>
      <c r="J14" t="s">
        <v>6</v>
      </c>
      <c r="L14" t="s">
        <v>578</v>
      </c>
      <c r="M14" t="s">
        <v>11</v>
      </c>
      <c r="N14">
        <v>0.10021046488545038</v>
      </c>
      <c r="O14" t="s">
        <v>6</v>
      </c>
    </row>
    <row r="15" spans="2:15" x14ac:dyDescent="0.45">
      <c r="B15" t="s">
        <v>576</v>
      </c>
      <c r="C15" t="s">
        <v>12</v>
      </c>
      <c r="D15">
        <v>0.27004239471892866</v>
      </c>
      <c r="E15" t="s">
        <v>6</v>
      </c>
      <c r="G15" t="s">
        <v>577</v>
      </c>
      <c r="H15" t="s">
        <v>12</v>
      </c>
      <c r="I15">
        <v>0.10248281265606757</v>
      </c>
      <c r="J15" t="s">
        <v>6</v>
      </c>
      <c r="L15" t="s">
        <v>578</v>
      </c>
      <c r="M15" t="s">
        <v>12</v>
      </c>
      <c r="N15">
        <v>0.13174465906344773</v>
      </c>
      <c r="O15" t="s">
        <v>6</v>
      </c>
    </row>
    <row r="16" spans="2:15" x14ac:dyDescent="0.45">
      <c r="B16" t="s">
        <v>576</v>
      </c>
      <c r="C16" t="s">
        <v>13</v>
      </c>
      <c r="D16">
        <v>9.119149228339913E-3</v>
      </c>
      <c r="E16" t="s">
        <v>6</v>
      </c>
      <c r="G16" t="s">
        <v>577</v>
      </c>
      <c r="H16" t="s">
        <v>13</v>
      </c>
      <c r="I16">
        <v>6.3766776823707669E-2</v>
      </c>
      <c r="J16" t="s">
        <v>6</v>
      </c>
      <c r="L16" t="s">
        <v>578</v>
      </c>
      <c r="M16" t="s">
        <v>13</v>
      </c>
      <c r="N16">
        <v>8.1887211166007293E-2</v>
      </c>
      <c r="O16" t="s">
        <v>6</v>
      </c>
    </row>
    <row r="17" spans="2:15" x14ac:dyDescent="0.45">
      <c r="B17" t="s">
        <v>576</v>
      </c>
      <c r="C17" t="s">
        <v>14</v>
      </c>
      <c r="D17">
        <v>3.4791011143110741E-3</v>
      </c>
      <c r="E17" t="s">
        <v>6</v>
      </c>
      <c r="G17" t="s">
        <v>577</v>
      </c>
      <c r="H17" t="s">
        <v>14</v>
      </c>
      <c r="I17">
        <v>6.3242556606384767E-2</v>
      </c>
      <c r="J17" t="s">
        <v>6</v>
      </c>
      <c r="L17" t="s">
        <v>578</v>
      </c>
      <c r="M17" t="s">
        <v>14</v>
      </c>
      <c r="N17">
        <v>6.5844608776512395E-2</v>
      </c>
      <c r="O17" t="s">
        <v>6</v>
      </c>
    </row>
    <row r="18" spans="2:15" x14ac:dyDescent="0.45">
      <c r="B18" t="s">
        <v>576</v>
      </c>
      <c r="C18" t="s">
        <v>15</v>
      </c>
      <c r="D18">
        <v>0.29877838477782748</v>
      </c>
      <c r="E18" t="s">
        <v>6</v>
      </c>
      <c r="G18" t="s">
        <v>577</v>
      </c>
      <c r="H18" t="s">
        <v>15</v>
      </c>
      <c r="I18">
        <v>5.636263629386843E-2</v>
      </c>
      <c r="J18" t="s">
        <v>6</v>
      </c>
      <c r="L18" t="s">
        <v>578</v>
      </c>
      <c r="M18" t="s">
        <v>15</v>
      </c>
      <c r="N18">
        <v>5.7731213370957248E-2</v>
      </c>
      <c r="O18" t="s">
        <v>6</v>
      </c>
    </row>
    <row r="19" spans="2:15" x14ac:dyDescent="0.45">
      <c r="B19" t="s">
        <v>576</v>
      </c>
      <c r="C19" t="s">
        <v>16</v>
      </c>
      <c r="D19">
        <v>1.3802395715145497E-2</v>
      </c>
      <c r="E19" t="s">
        <v>6</v>
      </c>
      <c r="G19" t="s">
        <v>577</v>
      </c>
      <c r="H19" t="s">
        <v>16</v>
      </c>
      <c r="I19">
        <v>2.8996066812507146E-2</v>
      </c>
      <c r="J19" t="s">
        <v>6</v>
      </c>
      <c r="L19" t="s">
        <v>578</v>
      </c>
      <c r="M19" t="s">
        <v>16</v>
      </c>
      <c r="N19">
        <v>4.1851268485643946E-2</v>
      </c>
      <c r="O19" t="s">
        <v>6</v>
      </c>
    </row>
    <row r="20" spans="2:15" x14ac:dyDescent="0.45">
      <c r="B20" t="s">
        <v>576</v>
      </c>
      <c r="C20" t="s">
        <v>17</v>
      </c>
      <c r="D20">
        <v>2.7997142976719103E-4</v>
      </c>
      <c r="E20" t="s">
        <v>6</v>
      </c>
      <c r="G20" t="s">
        <v>577</v>
      </c>
      <c r="H20" t="s">
        <v>17</v>
      </c>
      <c r="I20">
        <v>0.11120045156049115</v>
      </c>
      <c r="J20" t="s">
        <v>6</v>
      </c>
      <c r="L20" t="s">
        <v>578</v>
      </c>
      <c r="M20" t="s">
        <v>17</v>
      </c>
      <c r="N20">
        <v>6.2506725555112524E-2</v>
      </c>
      <c r="O20" t="s">
        <v>6</v>
      </c>
    </row>
    <row r="21" spans="2:15" x14ac:dyDescent="0.45">
      <c r="B21" t="s">
        <v>576</v>
      </c>
      <c r="C21" t="s">
        <v>18</v>
      </c>
      <c r="D21">
        <v>0.22590655725715036</v>
      </c>
      <c r="E21" t="s">
        <v>6</v>
      </c>
      <c r="G21" t="s">
        <v>577</v>
      </c>
      <c r="H21" t="s">
        <v>18</v>
      </c>
      <c r="I21">
        <v>0.12002443838878475</v>
      </c>
      <c r="J21" t="s">
        <v>6</v>
      </c>
      <c r="L21" t="s">
        <v>578</v>
      </c>
      <c r="M21" t="s">
        <v>18</v>
      </c>
      <c r="N21">
        <v>8.3014540736177533E-2</v>
      </c>
      <c r="O21" t="s">
        <v>6</v>
      </c>
    </row>
    <row r="22" spans="2:15" x14ac:dyDescent="0.45">
      <c r="B22" t="s">
        <v>576</v>
      </c>
      <c r="C22" t="s">
        <v>19</v>
      </c>
      <c r="D22">
        <v>2.1318406389814718E-3</v>
      </c>
      <c r="E22" t="s">
        <v>6</v>
      </c>
      <c r="G22" t="s">
        <v>577</v>
      </c>
      <c r="H22" t="s">
        <v>19</v>
      </c>
      <c r="I22">
        <v>7.6313939202334244E-2</v>
      </c>
      <c r="J22" t="s">
        <v>6</v>
      </c>
      <c r="L22" t="s">
        <v>578</v>
      </c>
      <c r="M22" t="s">
        <v>19</v>
      </c>
      <c r="N22">
        <v>5.0408758466431537E-2</v>
      </c>
      <c r="O22" t="s">
        <v>6</v>
      </c>
    </row>
    <row r="23" spans="2:15" x14ac:dyDescent="0.45">
      <c r="B23" t="s">
        <v>579</v>
      </c>
      <c r="C23" t="s">
        <v>5</v>
      </c>
      <c r="D23">
        <v>0</v>
      </c>
      <c r="E23" t="s">
        <v>6</v>
      </c>
      <c r="G23" t="s">
        <v>580</v>
      </c>
      <c r="H23" t="s">
        <v>5</v>
      </c>
      <c r="I23">
        <v>9.0679054755281527E-2</v>
      </c>
      <c r="J23" t="s">
        <v>6</v>
      </c>
      <c r="L23" t="s">
        <v>581</v>
      </c>
      <c r="M23" t="s">
        <v>5</v>
      </c>
      <c r="N23">
        <v>0.10105324954959309</v>
      </c>
      <c r="O23" t="s">
        <v>6</v>
      </c>
    </row>
    <row r="24" spans="2:15" x14ac:dyDescent="0.45">
      <c r="B24" t="s">
        <v>579</v>
      </c>
      <c r="C24" t="s">
        <v>9</v>
      </c>
      <c r="D24">
        <v>0.17395035811154508</v>
      </c>
      <c r="E24" t="s">
        <v>6</v>
      </c>
      <c r="G24" t="s">
        <v>580</v>
      </c>
      <c r="H24" t="s">
        <v>9</v>
      </c>
      <c r="I24">
        <v>9.5173420751244991E-2</v>
      </c>
      <c r="J24" t="s">
        <v>6</v>
      </c>
      <c r="L24" t="s">
        <v>581</v>
      </c>
      <c r="M24" t="s">
        <v>9</v>
      </c>
      <c r="N24">
        <v>0.12272540504291871</v>
      </c>
      <c r="O24" t="s">
        <v>6</v>
      </c>
    </row>
    <row r="25" spans="2:15" x14ac:dyDescent="0.45">
      <c r="B25" t="s">
        <v>579</v>
      </c>
      <c r="C25" t="s">
        <v>10</v>
      </c>
      <c r="D25">
        <v>1.0094264235466024E-3</v>
      </c>
      <c r="E25" t="s">
        <v>6</v>
      </c>
      <c r="G25" t="s">
        <v>580</v>
      </c>
      <c r="H25" t="s">
        <v>10</v>
      </c>
      <c r="I25">
        <v>6.8772359731613789E-2</v>
      </c>
      <c r="J25" t="s">
        <v>6</v>
      </c>
      <c r="L25" t="s">
        <v>581</v>
      </c>
      <c r="M25" t="s">
        <v>10</v>
      </c>
      <c r="N25">
        <v>7.9535567139522992E-2</v>
      </c>
      <c r="O25" t="s">
        <v>6</v>
      </c>
    </row>
    <row r="26" spans="2:15" x14ac:dyDescent="0.45">
      <c r="B26" t="s">
        <v>579</v>
      </c>
      <c r="C26" t="s">
        <v>11</v>
      </c>
      <c r="D26">
        <v>1.971037750149964E-3</v>
      </c>
      <c r="E26" t="s">
        <v>6</v>
      </c>
      <c r="G26" t="s">
        <v>580</v>
      </c>
      <c r="H26" t="s">
        <v>11</v>
      </c>
      <c r="I26">
        <v>0.11161636894295476</v>
      </c>
      <c r="J26" t="s">
        <v>6</v>
      </c>
      <c r="L26" t="s">
        <v>581</v>
      </c>
      <c r="M26" t="s">
        <v>11</v>
      </c>
      <c r="N26">
        <v>0.10090525870364692</v>
      </c>
      <c r="O26" t="s">
        <v>6</v>
      </c>
    </row>
    <row r="27" spans="2:15" x14ac:dyDescent="0.45">
      <c r="B27" t="s">
        <v>579</v>
      </c>
      <c r="C27" t="s">
        <v>12</v>
      </c>
      <c r="D27">
        <v>0.26533459585707769</v>
      </c>
      <c r="E27" t="s">
        <v>6</v>
      </c>
      <c r="G27" t="s">
        <v>580</v>
      </c>
      <c r="H27" t="s">
        <v>12</v>
      </c>
      <c r="I27">
        <v>0.10547439095497792</v>
      </c>
      <c r="J27" t="s">
        <v>6</v>
      </c>
      <c r="L27" t="s">
        <v>581</v>
      </c>
      <c r="M27" t="s">
        <v>12</v>
      </c>
      <c r="N27">
        <v>0.1118547200475449</v>
      </c>
      <c r="O27" t="s">
        <v>6</v>
      </c>
    </row>
    <row r="28" spans="2:15" x14ac:dyDescent="0.45">
      <c r="B28" t="s">
        <v>579</v>
      </c>
      <c r="C28" t="s">
        <v>13</v>
      </c>
      <c r="D28">
        <v>8.8853128930218E-3</v>
      </c>
      <c r="E28" t="s">
        <v>6</v>
      </c>
      <c r="G28" t="s">
        <v>580</v>
      </c>
      <c r="H28" t="s">
        <v>13</v>
      </c>
      <c r="I28">
        <v>8.9140846136406215E-2</v>
      </c>
      <c r="J28" t="s">
        <v>6</v>
      </c>
      <c r="L28" t="s">
        <v>581</v>
      </c>
      <c r="M28" t="s">
        <v>13</v>
      </c>
      <c r="N28">
        <v>7.7560769636157934E-2</v>
      </c>
      <c r="O28" t="s">
        <v>6</v>
      </c>
    </row>
    <row r="29" spans="2:15" x14ac:dyDescent="0.45">
      <c r="B29" t="s">
        <v>579</v>
      </c>
      <c r="C29" t="s">
        <v>14</v>
      </c>
      <c r="D29">
        <v>3.7064672654539398E-3</v>
      </c>
      <c r="E29" t="s">
        <v>6</v>
      </c>
      <c r="G29" t="s">
        <v>580</v>
      </c>
      <c r="H29" t="s">
        <v>14</v>
      </c>
      <c r="I29">
        <v>6.3428417441500906E-2</v>
      </c>
      <c r="J29" t="s">
        <v>6</v>
      </c>
      <c r="L29" t="s">
        <v>581</v>
      </c>
      <c r="M29" t="s">
        <v>14</v>
      </c>
      <c r="N29">
        <v>7.3519147863391934E-2</v>
      </c>
      <c r="O29" t="s">
        <v>6</v>
      </c>
    </row>
    <row r="30" spans="2:15" x14ac:dyDescent="0.45">
      <c r="B30" t="s">
        <v>579</v>
      </c>
      <c r="C30" t="s">
        <v>15</v>
      </c>
      <c r="D30">
        <v>0.30650598397975415</v>
      </c>
      <c r="E30" t="s">
        <v>6</v>
      </c>
      <c r="G30" t="s">
        <v>580</v>
      </c>
      <c r="H30" t="s">
        <v>15</v>
      </c>
      <c r="I30">
        <v>4.8572261066692095E-2</v>
      </c>
      <c r="J30" t="s">
        <v>6</v>
      </c>
      <c r="L30" t="s">
        <v>581</v>
      </c>
      <c r="M30" t="s">
        <v>15</v>
      </c>
      <c r="N30">
        <v>7.245857818615431E-2</v>
      </c>
      <c r="O30" t="s">
        <v>6</v>
      </c>
    </row>
    <row r="31" spans="2:15" x14ac:dyDescent="0.45">
      <c r="B31" t="s">
        <v>579</v>
      </c>
      <c r="C31" t="s">
        <v>16</v>
      </c>
      <c r="D31">
        <v>1.4146948397174969E-2</v>
      </c>
      <c r="E31" t="s">
        <v>6</v>
      </c>
      <c r="G31" t="s">
        <v>580</v>
      </c>
      <c r="H31" t="s">
        <v>16</v>
      </c>
      <c r="I31">
        <v>4.6728051139079775E-2</v>
      </c>
      <c r="J31" t="s">
        <v>6</v>
      </c>
      <c r="L31" t="s">
        <v>581</v>
      </c>
      <c r="M31" t="s">
        <v>16</v>
      </c>
      <c r="N31">
        <v>4.6619096880811027E-2</v>
      </c>
      <c r="O31" t="s">
        <v>6</v>
      </c>
    </row>
    <row r="32" spans="2:15" x14ac:dyDescent="0.45">
      <c r="B32" t="s">
        <v>579</v>
      </c>
      <c r="C32" t="s">
        <v>17</v>
      </c>
      <c r="D32">
        <v>2.8604910328177178E-4</v>
      </c>
      <c r="E32" t="s">
        <v>6</v>
      </c>
      <c r="G32" t="s">
        <v>580</v>
      </c>
      <c r="H32" t="s">
        <v>17</v>
      </c>
      <c r="I32">
        <v>0.10143196151085039</v>
      </c>
      <c r="J32" t="s">
        <v>6</v>
      </c>
      <c r="L32" t="s">
        <v>581</v>
      </c>
      <c r="M32" t="s">
        <v>17</v>
      </c>
      <c r="N32">
        <v>7.1329112523615665E-2</v>
      </c>
      <c r="O32" t="s">
        <v>6</v>
      </c>
    </row>
    <row r="33" spans="2:15" x14ac:dyDescent="0.45">
      <c r="B33" t="s">
        <v>579</v>
      </c>
      <c r="C33" t="s">
        <v>18</v>
      </c>
      <c r="D33">
        <v>0.22202929215057998</v>
      </c>
      <c r="E33" t="s">
        <v>6</v>
      </c>
      <c r="G33" t="s">
        <v>580</v>
      </c>
      <c r="H33" t="s">
        <v>18</v>
      </c>
      <c r="I33">
        <v>9.5030486489021682E-2</v>
      </c>
      <c r="J33" t="s">
        <v>6</v>
      </c>
      <c r="L33" t="s">
        <v>581</v>
      </c>
      <c r="M33" t="s">
        <v>18</v>
      </c>
      <c r="N33">
        <v>8.4796847300355291E-2</v>
      </c>
      <c r="O33" t="s">
        <v>6</v>
      </c>
    </row>
    <row r="34" spans="2:15" x14ac:dyDescent="0.45">
      <c r="B34" t="s">
        <v>579</v>
      </c>
      <c r="C34" t="s">
        <v>19</v>
      </c>
      <c r="D34">
        <v>2.1745280684122631E-3</v>
      </c>
      <c r="E34" t="s">
        <v>6</v>
      </c>
      <c r="G34" t="s">
        <v>580</v>
      </c>
      <c r="H34" t="s">
        <v>19</v>
      </c>
      <c r="I34">
        <v>8.395238108037302E-2</v>
      </c>
      <c r="J34" t="s">
        <v>6</v>
      </c>
      <c r="L34" t="s">
        <v>581</v>
      </c>
      <c r="M34" t="s">
        <v>19</v>
      </c>
      <c r="N34">
        <v>5.7642247126285816E-2</v>
      </c>
      <c r="O34" t="s">
        <v>6</v>
      </c>
    </row>
    <row r="35" spans="2:15" x14ac:dyDescent="0.45">
      <c r="B35" t="s">
        <v>582</v>
      </c>
      <c r="C35" t="s">
        <v>5</v>
      </c>
      <c r="D35">
        <v>0</v>
      </c>
      <c r="E35" t="s">
        <v>6</v>
      </c>
      <c r="G35" t="s">
        <v>583</v>
      </c>
      <c r="H35" t="s">
        <v>5</v>
      </c>
      <c r="I35">
        <v>9.5967993014826156E-2</v>
      </c>
      <c r="J35" t="s">
        <v>6</v>
      </c>
      <c r="L35" t="s">
        <v>584</v>
      </c>
      <c r="M35" t="s">
        <v>5</v>
      </c>
      <c r="N35">
        <v>9.4905577217910861E-2</v>
      </c>
      <c r="O35" t="s">
        <v>6</v>
      </c>
    </row>
    <row r="36" spans="2:15" x14ac:dyDescent="0.45">
      <c r="B36" t="s">
        <v>582</v>
      </c>
      <c r="C36" t="s">
        <v>9</v>
      </c>
      <c r="D36">
        <v>0.17459402854714751</v>
      </c>
      <c r="E36" t="s">
        <v>6</v>
      </c>
      <c r="G36" t="s">
        <v>583</v>
      </c>
      <c r="H36" t="s">
        <v>9</v>
      </c>
      <c r="I36">
        <v>0.13119799094605267</v>
      </c>
      <c r="J36" t="s">
        <v>6</v>
      </c>
      <c r="L36" t="s">
        <v>584</v>
      </c>
      <c r="M36" t="s">
        <v>9</v>
      </c>
      <c r="N36">
        <v>0.11825178892907381</v>
      </c>
      <c r="O36" t="s">
        <v>6</v>
      </c>
    </row>
    <row r="37" spans="2:15" x14ac:dyDescent="0.45">
      <c r="B37" t="s">
        <v>582</v>
      </c>
      <c r="C37" t="s">
        <v>10</v>
      </c>
      <c r="D37">
        <v>5.6038568483030048E-4</v>
      </c>
      <c r="E37" t="s">
        <v>6</v>
      </c>
      <c r="G37" t="s">
        <v>583</v>
      </c>
      <c r="H37" t="s">
        <v>10</v>
      </c>
      <c r="I37">
        <v>7.7393764934179987E-2</v>
      </c>
      <c r="J37" t="s">
        <v>6</v>
      </c>
      <c r="L37" t="s">
        <v>584</v>
      </c>
      <c r="M37" t="s">
        <v>10</v>
      </c>
      <c r="N37">
        <v>7.1087617068964673E-2</v>
      </c>
      <c r="O37" t="s">
        <v>6</v>
      </c>
    </row>
    <row r="38" spans="2:15" x14ac:dyDescent="0.45">
      <c r="B38" t="s">
        <v>582</v>
      </c>
      <c r="C38" t="s">
        <v>11</v>
      </c>
      <c r="D38">
        <v>3.2899264816670186E-3</v>
      </c>
      <c r="E38" t="s">
        <v>6</v>
      </c>
      <c r="G38" t="s">
        <v>583</v>
      </c>
      <c r="H38" t="s">
        <v>11</v>
      </c>
      <c r="I38">
        <v>9.2467039600516776E-2</v>
      </c>
      <c r="J38" t="s">
        <v>6</v>
      </c>
      <c r="L38" t="s">
        <v>584</v>
      </c>
      <c r="M38" t="s">
        <v>11</v>
      </c>
      <c r="N38">
        <v>9.5790461484019276E-2</v>
      </c>
      <c r="O38" t="s">
        <v>6</v>
      </c>
    </row>
    <row r="39" spans="2:15" x14ac:dyDescent="0.45">
      <c r="B39" t="s">
        <v>582</v>
      </c>
      <c r="C39" t="s">
        <v>12</v>
      </c>
      <c r="D39">
        <v>0.28034607702178721</v>
      </c>
      <c r="E39" t="s">
        <v>6</v>
      </c>
      <c r="G39" t="s">
        <v>583</v>
      </c>
      <c r="H39" t="s">
        <v>12</v>
      </c>
      <c r="I39">
        <v>0.16103539960770755</v>
      </c>
      <c r="J39" t="s">
        <v>6</v>
      </c>
      <c r="L39" t="s">
        <v>584</v>
      </c>
      <c r="M39" t="s">
        <v>12</v>
      </c>
      <c r="N39">
        <v>0.11159004779868049</v>
      </c>
      <c r="O39" t="s">
        <v>6</v>
      </c>
    </row>
    <row r="40" spans="2:15" x14ac:dyDescent="0.45">
      <c r="B40" t="s">
        <v>582</v>
      </c>
      <c r="C40" t="s">
        <v>13</v>
      </c>
      <c r="D40">
        <v>6.3971827633595331E-3</v>
      </c>
      <c r="E40" t="s">
        <v>6</v>
      </c>
      <c r="G40" t="s">
        <v>583</v>
      </c>
      <c r="H40" t="s">
        <v>13</v>
      </c>
      <c r="I40">
        <v>8.6399946636783062E-2</v>
      </c>
      <c r="J40" t="s">
        <v>6</v>
      </c>
      <c r="L40" t="s">
        <v>584</v>
      </c>
      <c r="M40" t="s">
        <v>13</v>
      </c>
      <c r="N40">
        <v>8.2861922500150093E-2</v>
      </c>
      <c r="O40" t="s">
        <v>6</v>
      </c>
    </row>
    <row r="41" spans="2:15" x14ac:dyDescent="0.45">
      <c r="B41" t="s">
        <v>582</v>
      </c>
      <c r="C41" t="s">
        <v>14</v>
      </c>
      <c r="D41">
        <v>5.2206654889910761E-3</v>
      </c>
      <c r="E41" t="s">
        <v>6</v>
      </c>
      <c r="G41" t="s">
        <v>583</v>
      </c>
      <c r="H41" t="s">
        <v>14</v>
      </c>
      <c r="I41">
        <v>2.6723952013822699E-2</v>
      </c>
      <c r="J41" t="s">
        <v>6</v>
      </c>
      <c r="L41" t="s">
        <v>584</v>
      </c>
      <c r="M41" t="s">
        <v>14</v>
      </c>
      <c r="N41">
        <v>5.8012540888633446E-2</v>
      </c>
      <c r="O41" t="s">
        <v>6</v>
      </c>
    </row>
    <row r="42" spans="2:15" x14ac:dyDescent="0.45">
      <c r="B42" t="s">
        <v>582</v>
      </c>
      <c r="C42" t="s">
        <v>15</v>
      </c>
      <c r="D42">
        <v>0.30018560447539427</v>
      </c>
      <c r="E42" t="s">
        <v>6</v>
      </c>
      <c r="G42" t="s">
        <v>583</v>
      </c>
      <c r="H42" t="s">
        <v>15</v>
      </c>
      <c r="I42">
        <v>5.7060373844531519E-2</v>
      </c>
      <c r="J42" t="s">
        <v>6</v>
      </c>
      <c r="L42" t="s">
        <v>584</v>
      </c>
      <c r="M42" t="s">
        <v>15</v>
      </c>
      <c r="N42">
        <v>7.2197870400792258E-2</v>
      </c>
      <c r="O42" t="s">
        <v>6</v>
      </c>
    </row>
    <row r="43" spans="2:15" x14ac:dyDescent="0.45">
      <c r="B43" t="s">
        <v>582</v>
      </c>
      <c r="C43" t="s">
        <v>16</v>
      </c>
      <c r="D43">
        <v>9.782095768113612E-3</v>
      </c>
      <c r="E43" t="s">
        <v>6</v>
      </c>
      <c r="G43" t="s">
        <v>583</v>
      </c>
      <c r="H43" t="s">
        <v>16</v>
      </c>
      <c r="I43">
        <v>2.9221104604820122E-2</v>
      </c>
      <c r="J43" t="s">
        <v>6</v>
      </c>
      <c r="L43" t="s">
        <v>584</v>
      </c>
      <c r="M43" t="s">
        <v>16</v>
      </c>
      <c r="N43">
        <v>5.4806666531251526E-2</v>
      </c>
      <c r="O43" t="s">
        <v>6</v>
      </c>
    </row>
    <row r="44" spans="2:15" x14ac:dyDescent="0.45">
      <c r="B44" t="s">
        <v>582</v>
      </c>
      <c r="C44" t="s">
        <v>17</v>
      </c>
      <c r="D44">
        <v>8.5805028103018964E-4</v>
      </c>
      <c r="E44" t="s">
        <v>6</v>
      </c>
      <c r="G44" t="s">
        <v>583</v>
      </c>
      <c r="H44" t="s">
        <v>17</v>
      </c>
      <c r="I44">
        <v>6.9151585165924317E-2</v>
      </c>
      <c r="J44" t="s">
        <v>6</v>
      </c>
      <c r="L44" t="s">
        <v>584</v>
      </c>
      <c r="M44" t="s">
        <v>17</v>
      </c>
      <c r="N44">
        <v>7.5187039132378147E-2</v>
      </c>
      <c r="O44" t="s">
        <v>6</v>
      </c>
    </row>
    <row r="45" spans="2:15" x14ac:dyDescent="0.45">
      <c r="B45" t="s">
        <v>582</v>
      </c>
      <c r="C45" t="s">
        <v>18</v>
      </c>
      <c r="D45">
        <v>0.21765215560396786</v>
      </c>
      <c r="E45" t="s">
        <v>6</v>
      </c>
      <c r="G45" t="s">
        <v>583</v>
      </c>
      <c r="H45" t="s">
        <v>18</v>
      </c>
      <c r="I45">
        <v>0.10728643936986436</v>
      </c>
      <c r="J45" t="s">
        <v>6</v>
      </c>
      <c r="L45" t="s">
        <v>584</v>
      </c>
      <c r="M45" t="s">
        <v>18</v>
      </c>
      <c r="N45">
        <v>9.6516491339622618E-2</v>
      </c>
      <c r="O45" t="s">
        <v>6</v>
      </c>
    </row>
    <row r="46" spans="2:15" x14ac:dyDescent="0.45">
      <c r="B46" t="s">
        <v>582</v>
      </c>
      <c r="C46" t="s">
        <v>19</v>
      </c>
      <c r="D46">
        <v>1.1138278837096805E-3</v>
      </c>
      <c r="E46" t="s">
        <v>6</v>
      </c>
      <c r="G46" t="s">
        <v>583</v>
      </c>
      <c r="H46" t="s">
        <v>19</v>
      </c>
      <c r="I46">
        <v>6.6094410260968392E-2</v>
      </c>
      <c r="J46" t="s">
        <v>6</v>
      </c>
      <c r="L46" t="s">
        <v>584</v>
      </c>
      <c r="M46" t="s">
        <v>19</v>
      </c>
      <c r="N46">
        <v>6.8791976708526478E-2</v>
      </c>
      <c r="O46" t="s">
        <v>6</v>
      </c>
    </row>
    <row r="47" spans="2:15" x14ac:dyDescent="0.45">
      <c r="B47" t="s">
        <v>585</v>
      </c>
      <c r="C47" t="s">
        <v>5</v>
      </c>
      <c r="D47">
        <v>0</v>
      </c>
      <c r="E47" t="s">
        <v>6</v>
      </c>
      <c r="G47" t="s">
        <v>586</v>
      </c>
      <c r="H47" t="s">
        <v>5</v>
      </c>
      <c r="I47">
        <v>0.10760304388374936</v>
      </c>
      <c r="J47" t="s">
        <v>6</v>
      </c>
      <c r="L47" t="s">
        <v>587</v>
      </c>
      <c r="M47" t="s">
        <v>5</v>
      </c>
      <c r="N47">
        <v>9.296740338073807E-2</v>
      </c>
      <c r="O47" t="s">
        <v>6</v>
      </c>
    </row>
    <row r="48" spans="2:15" x14ac:dyDescent="0.45">
      <c r="B48" t="s">
        <v>585</v>
      </c>
      <c r="C48" t="s">
        <v>9</v>
      </c>
      <c r="D48">
        <v>0.18386742934031039</v>
      </c>
      <c r="E48" t="s">
        <v>6</v>
      </c>
      <c r="G48" t="s">
        <v>586</v>
      </c>
      <c r="H48" t="s">
        <v>9</v>
      </c>
      <c r="I48">
        <v>0.12943499699680394</v>
      </c>
      <c r="J48" t="s">
        <v>6</v>
      </c>
      <c r="L48" t="s">
        <v>587</v>
      </c>
      <c r="M48" t="s">
        <v>9</v>
      </c>
      <c r="N48">
        <v>0.10987350603743472</v>
      </c>
      <c r="O48" t="s">
        <v>6</v>
      </c>
    </row>
    <row r="49" spans="2:15" x14ac:dyDescent="0.45">
      <c r="B49" t="s">
        <v>585</v>
      </c>
      <c r="C49" t="s">
        <v>10</v>
      </c>
      <c r="D49">
        <v>2.7662864805721619E-4</v>
      </c>
      <c r="E49" t="s">
        <v>6</v>
      </c>
      <c r="G49" t="s">
        <v>586</v>
      </c>
      <c r="H49" t="s">
        <v>10</v>
      </c>
      <c r="I49">
        <v>7.3978657166839074E-2</v>
      </c>
      <c r="J49" t="s">
        <v>6</v>
      </c>
      <c r="L49" t="s">
        <v>587</v>
      </c>
      <c r="M49" t="s">
        <v>10</v>
      </c>
      <c r="N49">
        <v>7.0091878340274485E-2</v>
      </c>
      <c r="O49" t="s">
        <v>6</v>
      </c>
    </row>
    <row r="50" spans="2:15" x14ac:dyDescent="0.45">
      <c r="B50" t="s">
        <v>585</v>
      </c>
      <c r="C50" t="s">
        <v>11</v>
      </c>
      <c r="D50">
        <v>4.4543380305560173E-3</v>
      </c>
      <c r="E50" t="s">
        <v>6</v>
      </c>
      <c r="G50" t="s">
        <v>586</v>
      </c>
      <c r="H50" t="s">
        <v>11</v>
      </c>
      <c r="I50">
        <v>8.5941398509683797E-2</v>
      </c>
      <c r="J50" t="s">
        <v>6</v>
      </c>
      <c r="L50" t="s">
        <v>587</v>
      </c>
      <c r="M50" t="s">
        <v>11</v>
      </c>
      <c r="N50">
        <v>0.10325404508997191</v>
      </c>
      <c r="O50" t="s">
        <v>6</v>
      </c>
    </row>
    <row r="51" spans="2:15" x14ac:dyDescent="0.45">
      <c r="B51" t="s">
        <v>585</v>
      </c>
      <c r="C51" t="s">
        <v>12</v>
      </c>
      <c r="D51">
        <v>0.28009231218319219</v>
      </c>
      <c r="E51" t="s">
        <v>6</v>
      </c>
      <c r="G51" t="s">
        <v>586</v>
      </c>
      <c r="H51" t="s">
        <v>12</v>
      </c>
      <c r="I51">
        <v>0.13031679491695408</v>
      </c>
      <c r="J51" t="s">
        <v>6</v>
      </c>
      <c r="L51" t="s">
        <v>587</v>
      </c>
      <c r="M51" t="s">
        <v>12</v>
      </c>
      <c r="N51">
        <v>0.11064324925220149</v>
      </c>
      <c r="O51" t="s">
        <v>6</v>
      </c>
    </row>
    <row r="52" spans="2:15" x14ac:dyDescent="0.45">
      <c r="B52" t="s">
        <v>585</v>
      </c>
      <c r="C52" t="s">
        <v>13</v>
      </c>
      <c r="D52">
        <v>5.0427524518318724E-3</v>
      </c>
      <c r="E52" t="s">
        <v>6</v>
      </c>
      <c r="G52" t="s">
        <v>586</v>
      </c>
      <c r="H52" t="s">
        <v>13</v>
      </c>
      <c r="I52">
        <v>6.884997531496212E-2</v>
      </c>
      <c r="J52" t="s">
        <v>6</v>
      </c>
      <c r="L52" t="s">
        <v>587</v>
      </c>
      <c r="M52" t="s">
        <v>13</v>
      </c>
      <c r="N52">
        <v>8.0660105209906047E-2</v>
      </c>
      <c r="O52" t="s">
        <v>6</v>
      </c>
    </row>
    <row r="53" spans="2:15" x14ac:dyDescent="0.45">
      <c r="B53" t="s">
        <v>585</v>
      </c>
      <c r="C53" t="s">
        <v>14</v>
      </c>
      <c r="D53">
        <v>6.7243520044931015E-3</v>
      </c>
      <c r="E53" t="s">
        <v>6</v>
      </c>
      <c r="G53" t="s">
        <v>586</v>
      </c>
      <c r="H53" t="s">
        <v>14</v>
      </c>
      <c r="I53">
        <v>3.7831286007483304E-2</v>
      </c>
      <c r="J53" t="s">
        <v>6</v>
      </c>
      <c r="L53" t="s">
        <v>587</v>
      </c>
      <c r="M53" t="s">
        <v>14</v>
      </c>
      <c r="N53">
        <v>7.1602096305801263E-2</v>
      </c>
      <c r="O53" t="s">
        <v>6</v>
      </c>
    </row>
    <row r="54" spans="2:15" x14ac:dyDescent="0.45">
      <c r="B54" t="s">
        <v>585</v>
      </c>
      <c r="C54" t="s">
        <v>15</v>
      </c>
      <c r="D54">
        <v>0.29126513052506081</v>
      </c>
      <c r="E54" t="s">
        <v>6</v>
      </c>
      <c r="G54" t="s">
        <v>586</v>
      </c>
      <c r="H54" t="s">
        <v>15</v>
      </c>
      <c r="I54">
        <v>4.8972530739444818E-2</v>
      </c>
      <c r="J54" t="s">
        <v>6</v>
      </c>
      <c r="L54" t="s">
        <v>587</v>
      </c>
      <c r="M54" t="s">
        <v>15</v>
      </c>
      <c r="N54">
        <v>7.9078873558979801E-2</v>
      </c>
      <c r="O54" t="s">
        <v>6</v>
      </c>
    </row>
    <row r="55" spans="2:15" x14ac:dyDescent="0.45">
      <c r="B55" t="s">
        <v>585</v>
      </c>
      <c r="C55" t="s">
        <v>16</v>
      </c>
      <c r="D55">
        <v>7.8627679839963164E-3</v>
      </c>
      <c r="E55" t="s">
        <v>6</v>
      </c>
      <c r="G55" t="s">
        <v>586</v>
      </c>
      <c r="H55" t="s">
        <v>16</v>
      </c>
      <c r="I55">
        <v>3.2571120084238479E-2</v>
      </c>
      <c r="J55" t="s">
        <v>6</v>
      </c>
      <c r="L55" t="s">
        <v>587</v>
      </c>
      <c r="M55" t="s">
        <v>16</v>
      </c>
      <c r="N55">
        <v>5.4184602772105309E-2</v>
      </c>
      <c r="O55" t="s">
        <v>6</v>
      </c>
    </row>
    <row r="56" spans="2:15" x14ac:dyDescent="0.45">
      <c r="B56" t="s">
        <v>585</v>
      </c>
      <c r="C56" t="s">
        <v>17</v>
      </c>
      <c r="D56">
        <v>1.4314865912044934E-3</v>
      </c>
      <c r="E56" t="s">
        <v>6</v>
      </c>
      <c r="G56" t="s">
        <v>586</v>
      </c>
      <c r="H56" t="s">
        <v>17</v>
      </c>
      <c r="I56">
        <v>9.1090284477778893E-2</v>
      </c>
      <c r="J56" t="s">
        <v>6</v>
      </c>
      <c r="L56" t="s">
        <v>587</v>
      </c>
      <c r="M56" t="s">
        <v>17</v>
      </c>
      <c r="N56">
        <v>7.5171864725322182E-2</v>
      </c>
      <c r="O56" t="s">
        <v>6</v>
      </c>
    </row>
    <row r="57" spans="2:15" x14ac:dyDescent="0.45">
      <c r="B57" t="s">
        <v>585</v>
      </c>
      <c r="C57" t="s">
        <v>18</v>
      </c>
      <c r="D57">
        <v>0.21823544681566973</v>
      </c>
      <c r="E57" t="s">
        <v>6</v>
      </c>
      <c r="G57" t="s">
        <v>586</v>
      </c>
      <c r="H57" t="s">
        <v>18</v>
      </c>
      <c r="I57">
        <v>0.12015179061867405</v>
      </c>
      <c r="J57" t="s">
        <v>6</v>
      </c>
      <c r="L57" t="s">
        <v>587</v>
      </c>
      <c r="M57" t="s">
        <v>18</v>
      </c>
      <c r="N57">
        <v>9.1267634933489911E-2</v>
      </c>
      <c r="O57" t="s">
        <v>6</v>
      </c>
    </row>
    <row r="58" spans="2:15" x14ac:dyDescent="0.45">
      <c r="B58" t="s">
        <v>585</v>
      </c>
      <c r="C58" t="s">
        <v>19</v>
      </c>
      <c r="D58">
        <v>7.473554256267102E-4</v>
      </c>
      <c r="E58" t="s">
        <v>6</v>
      </c>
      <c r="G58" t="s">
        <v>586</v>
      </c>
      <c r="H58" t="s">
        <v>19</v>
      </c>
      <c r="I58">
        <v>7.325812128339225E-2</v>
      </c>
      <c r="J58" t="s">
        <v>6</v>
      </c>
      <c r="L58" t="s">
        <v>587</v>
      </c>
      <c r="M58" t="s">
        <v>19</v>
      </c>
      <c r="N58">
        <v>6.1204740393772245E-2</v>
      </c>
      <c r="O58" t="s">
        <v>6</v>
      </c>
    </row>
    <row r="59" spans="2:15" x14ac:dyDescent="0.45">
      <c r="B59" t="s">
        <v>588</v>
      </c>
      <c r="C59" t="s">
        <v>5</v>
      </c>
      <c r="D59">
        <v>0</v>
      </c>
      <c r="E59" t="s">
        <v>6</v>
      </c>
      <c r="G59" t="s">
        <v>589</v>
      </c>
      <c r="H59" t="s">
        <v>5</v>
      </c>
      <c r="I59">
        <v>0.10789399072763815</v>
      </c>
      <c r="J59" t="s">
        <v>6</v>
      </c>
      <c r="L59" t="s">
        <v>590</v>
      </c>
      <c r="M59" t="s">
        <v>5</v>
      </c>
      <c r="N59">
        <v>9.6672948207143047E-2</v>
      </c>
      <c r="O59" t="s">
        <v>6</v>
      </c>
    </row>
    <row r="60" spans="2:15" x14ac:dyDescent="0.45">
      <c r="B60" t="s">
        <v>588</v>
      </c>
      <c r="C60" t="s">
        <v>9</v>
      </c>
      <c r="D60">
        <v>0.1766400428554008</v>
      </c>
      <c r="E60" t="s">
        <v>6</v>
      </c>
      <c r="G60" t="s">
        <v>589</v>
      </c>
      <c r="H60" t="s">
        <v>9</v>
      </c>
      <c r="I60">
        <v>0.12675002487727471</v>
      </c>
      <c r="J60" t="s">
        <v>6</v>
      </c>
      <c r="L60" t="s">
        <v>590</v>
      </c>
      <c r="M60" t="s">
        <v>9</v>
      </c>
      <c r="N60">
        <v>0.11583652729557635</v>
      </c>
      <c r="O60" t="s">
        <v>6</v>
      </c>
    </row>
    <row r="61" spans="2:15" x14ac:dyDescent="0.45">
      <c r="B61" t="s">
        <v>588</v>
      </c>
      <c r="C61" t="s">
        <v>10</v>
      </c>
      <c r="D61">
        <v>1.1749436708571826E-4</v>
      </c>
      <c r="E61" t="s">
        <v>6</v>
      </c>
      <c r="G61" t="s">
        <v>589</v>
      </c>
      <c r="H61" t="s">
        <v>10</v>
      </c>
      <c r="I61">
        <v>8.149769720458036E-2</v>
      </c>
      <c r="J61" t="s">
        <v>6</v>
      </c>
      <c r="L61" t="s">
        <v>590</v>
      </c>
      <c r="M61" t="s">
        <v>10</v>
      </c>
      <c r="N61">
        <v>7.1544342334924182E-2</v>
      </c>
      <c r="O61" t="s">
        <v>6</v>
      </c>
    </row>
    <row r="62" spans="2:15" x14ac:dyDescent="0.45">
      <c r="B62" t="s">
        <v>588</v>
      </c>
      <c r="C62" t="s">
        <v>11</v>
      </c>
      <c r="D62">
        <v>5.5987104287463039E-3</v>
      </c>
      <c r="E62" t="s">
        <v>6</v>
      </c>
      <c r="G62" t="s">
        <v>589</v>
      </c>
      <c r="H62" t="s">
        <v>11</v>
      </c>
      <c r="I62">
        <v>9.1534234577730342E-2</v>
      </c>
      <c r="J62" t="s">
        <v>6</v>
      </c>
      <c r="L62" t="s">
        <v>590</v>
      </c>
      <c r="M62" t="s">
        <v>11</v>
      </c>
      <c r="N62">
        <v>9.783374057005198E-2</v>
      </c>
      <c r="O62" t="s">
        <v>6</v>
      </c>
    </row>
    <row r="63" spans="2:15" x14ac:dyDescent="0.45">
      <c r="B63" t="s">
        <v>588</v>
      </c>
      <c r="C63" t="s">
        <v>12</v>
      </c>
      <c r="D63">
        <v>0.28174672081199642</v>
      </c>
      <c r="E63" t="s">
        <v>6</v>
      </c>
      <c r="G63" t="s">
        <v>589</v>
      </c>
      <c r="H63" t="s">
        <v>12</v>
      </c>
      <c r="I63">
        <v>0.12231941671797764</v>
      </c>
      <c r="J63" t="s">
        <v>6</v>
      </c>
      <c r="L63" t="s">
        <v>590</v>
      </c>
      <c r="M63" t="s">
        <v>12</v>
      </c>
      <c r="N63">
        <v>0.11436633322873813</v>
      </c>
      <c r="O63" t="s">
        <v>6</v>
      </c>
    </row>
    <row r="64" spans="2:15" x14ac:dyDescent="0.45">
      <c r="B64" t="s">
        <v>588</v>
      </c>
      <c r="C64" t="s">
        <v>13</v>
      </c>
      <c r="D64">
        <v>4.0470465102856821E-3</v>
      </c>
      <c r="E64" t="s">
        <v>6</v>
      </c>
      <c r="G64" t="s">
        <v>589</v>
      </c>
      <c r="H64" t="s">
        <v>13</v>
      </c>
      <c r="I64">
        <v>6.788836959794306E-2</v>
      </c>
      <c r="J64" t="s">
        <v>6</v>
      </c>
      <c r="L64" t="s">
        <v>590</v>
      </c>
      <c r="M64" t="s">
        <v>13</v>
      </c>
      <c r="N64">
        <v>7.8025764972309647E-2</v>
      </c>
      <c r="O64" t="s">
        <v>6</v>
      </c>
    </row>
    <row r="65" spans="2:15" x14ac:dyDescent="0.45">
      <c r="B65" t="s">
        <v>588</v>
      </c>
      <c r="C65" t="s">
        <v>14</v>
      </c>
      <c r="D65">
        <v>8.2667230781165897E-3</v>
      </c>
      <c r="E65" t="s">
        <v>6</v>
      </c>
      <c r="G65" t="s">
        <v>589</v>
      </c>
      <c r="H65" t="s">
        <v>14</v>
      </c>
      <c r="I65">
        <v>3.5120473751819058E-2</v>
      </c>
      <c r="J65" t="s">
        <v>6</v>
      </c>
      <c r="L65" t="s">
        <v>590</v>
      </c>
      <c r="M65" t="s">
        <v>14</v>
      </c>
      <c r="N65">
        <v>5.6419032090625314E-2</v>
      </c>
      <c r="O65" t="s">
        <v>6</v>
      </c>
    </row>
    <row r="66" spans="2:15" x14ac:dyDescent="0.45">
      <c r="B66" t="s">
        <v>588</v>
      </c>
      <c r="C66" t="s">
        <v>15</v>
      </c>
      <c r="D66">
        <v>0.29866755197262151</v>
      </c>
      <c r="E66" t="s">
        <v>6</v>
      </c>
      <c r="G66" t="s">
        <v>589</v>
      </c>
      <c r="H66" t="s">
        <v>15</v>
      </c>
      <c r="I66">
        <v>4.9075776451174349E-2</v>
      </c>
      <c r="J66" t="s">
        <v>6</v>
      </c>
      <c r="L66" t="s">
        <v>590</v>
      </c>
      <c r="M66" t="s">
        <v>15</v>
      </c>
      <c r="N66">
        <v>6.3274212040145078E-2</v>
      </c>
      <c r="O66" t="s">
        <v>6</v>
      </c>
    </row>
    <row r="67" spans="2:15" x14ac:dyDescent="0.45">
      <c r="B67" t="s">
        <v>588</v>
      </c>
      <c r="C67" t="s">
        <v>16</v>
      </c>
      <c r="D67">
        <v>7.0153755732018453E-3</v>
      </c>
      <c r="E67" t="s">
        <v>6</v>
      </c>
      <c r="G67" t="s">
        <v>589</v>
      </c>
      <c r="H67" t="s">
        <v>16</v>
      </c>
      <c r="I67">
        <v>2.072499379810646E-2</v>
      </c>
      <c r="J67" t="s">
        <v>6</v>
      </c>
      <c r="L67" t="s">
        <v>590</v>
      </c>
      <c r="M67" t="s">
        <v>16</v>
      </c>
      <c r="N67">
        <v>4.7155345985708905E-2</v>
      </c>
      <c r="O67" t="s">
        <v>6</v>
      </c>
    </row>
    <row r="68" spans="2:15" x14ac:dyDescent="0.45">
      <c r="B68" t="s">
        <v>588</v>
      </c>
      <c r="C68" t="s">
        <v>17</v>
      </c>
      <c r="D68">
        <v>2.1353308209265081E-3</v>
      </c>
      <c r="E68" t="s">
        <v>6</v>
      </c>
      <c r="G68" t="s">
        <v>589</v>
      </c>
      <c r="H68" t="s">
        <v>17</v>
      </c>
      <c r="I68">
        <v>9.7483984134081561E-2</v>
      </c>
      <c r="J68" t="s">
        <v>6</v>
      </c>
      <c r="L68" t="s">
        <v>590</v>
      </c>
      <c r="M68" t="s">
        <v>17</v>
      </c>
      <c r="N68">
        <v>8.5098830488218799E-2</v>
      </c>
      <c r="O68" t="s">
        <v>6</v>
      </c>
    </row>
    <row r="69" spans="2:15" x14ac:dyDescent="0.45">
      <c r="B69" t="s">
        <v>588</v>
      </c>
      <c r="C69" t="s">
        <v>18</v>
      </c>
      <c r="D69">
        <v>0.21526831678770744</v>
      </c>
      <c r="E69" t="s">
        <v>6</v>
      </c>
      <c r="G69" t="s">
        <v>589</v>
      </c>
      <c r="H69" t="s">
        <v>18</v>
      </c>
      <c r="I69">
        <v>0.12306436808765364</v>
      </c>
      <c r="J69" t="s">
        <v>6</v>
      </c>
      <c r="L69" t="s">
        <v>590</v>
      </c>
      <c r="M69" t="s">
        <v>18</v>
      </c>
      <c r="N69">
        <v>0.10544536736290241</v>
      </c>
      <c r="O69" t="s">
        <v>6</v>
      </c>
    </row>
    <row r="70" spans="2:15" x14ac:dyDescent="0.45">
      <c r="B70" t="s">
        <v>588</v>
      </c>
      <c r="C70" t="s">
        <v>19</v>
      </c>
      <c r="D70">
        <v>4.9668679391339269E-4</v>
      </c>
      <c r="E70" t="s">
        <v>6</v>
      </c>
      <c r="G70" t="s">
        <v>589</v>
      </c>
      <c r="H70" t="s">
        <v>19</v>
      </c>
      <c r="I70">
        <v>7.6646670074018972E-2</v>
      </c>
      <c r="J70" t="s">
        <v>6</v>
      </c>
      <c r="L70" t="s">
        <v>590</v>
      </c>
      <c r="M70" t="s">
        <v>19</v>
      </c>
      <c r="N70">
        <v>6.8327555423654512E-2</v>
      </c>
      <c r="O70" t="s">
        <v>6</v>
      </c>
    </row>
    <row r="71" spans="2:15" x14ac:dyDescent="0.45">
      <c r="B71" t="s">
        <v>591</v>
      </c>
      <c r="C71" t="s">
        <v>5</v>
      </c>
      <c r="D71">
        <v>0</v>
      </c>
      <c r="E71" t="s">
        <v>6</v>
      </c>
      <c r="G71" t="s">
        <v>592</v>
      </c>
      <c r="H71" t="s">
        <v>5</v>
      </c>
      <c r="I71">
        <v>9.9649046041480616E-2</v>
      </c>
      <c r="J71" t="s">
        <v>6</v>
      </c>
      <c r="L71" t="s">
        <v>593</v>
      </c>
      <c r="M71" t="s">
        <v>5</v>
      </c>
      <c r="N71">
        <v>0.10075402892407202</v>
      </c>
      <c r="O71" t="s">
        <v>6</v>
      </c>
    </row>
    <row r="72" spans="2:15" x14ac:dyDescent="0.45">
      <c r="B72" t="s">
        <v>591</v>
      </c>
      <c r="C72" t="s">
        <v>9</v>
      </c>
      <c r="D72">
        <v>0.16824985024116709</v>
      </c>
      <c r="E72" t="s">
        <v>6</v>
      </c>
      <c r="G72" t="s">
        <v>592</v>
      </c>
      <c r="H72" t="s">
        <v>9</v>
      </c>
      <c r="I72">
        <v>0.11733457494965924</v>
      </c>
      <c r="J72" t="s">
        <v>6</v>
      </c>
      <c r="L72" t="s">
        <v>593</v>
      </c>
      <c r="M72" t="s">
        <v>9</v>
      </c>
      <c r="N72">
        <v>0.12035275767525379</v>
      </c>
      <c r="O72" t="s">
        <v>6</v>
      </c>
    </row>
    <row r="73" spans="2:15" x14ac:dyDescent="0.45">
      <c r="B73" t="s">
        <v>591</v>
      </c>
      <c r="C73" t="s">
        <v>10</v>
      </c>
      <c r="D73">
        <v>2.0032050306634144E-4</v>
      </c>
      <c r="E73" t="s">
        <v>6</v>
      </c>
      <c r="G73" t="s">
        <v>592</v>
      </c>
      <c r="H73" t="s">
        <v>10</v>
      </c>
      <c r="I73">
        <v>6.2907239660897854E-2</v>
      </c>
      <c r="J73" t="s">
        <v>6</v>
      </c>
      <c r="L73" t="s">
        <v>593</v>
      </c>
      <c r="M73" t="s">
        <v>10</v>
      </c>
      <c r="N73">
        <v>7.2954426339655667E-2</v>
      </c>
      <c r="O73" t="s">
        <v>6</v>
      </c>
    </row>
    <row r="74" spans="2:15" x14ac:dyDescent="0.45">
      <c r="B74" t="s">
        <v>591</v>
      </c>
      <c r="C74" t="s">
        <v>11</v>
      </c>
      <c r="D74">
        <v>4.5317449230986295E-3</v>
      </c>
      <c r="E74" t="s">
        <v>6</v>
      </c>
      <c r="G74" t="s">
        <v>592</v>
      </c>
      <c r="H74" t="s">
        <v>11</v>
      </c>
      <c r="I74">
        <v>9.0151283155982462E-2</v>
      </c>
      <c r="J74" t="s">
        <v>6</v>
      </c>
      <c r="L74" t="s">
        <v>593</v>
      </c>
      <c r="M74" t="s">
        <v>11</v>
      </c>
      <c r="N74">
        <v>9.1673332888011064E-2</v>
      </c>
      <c r="O74" t="s">
        <v>6</v>
      </c>
    </row>
    <row r="75" spans="2:15" x14ac:dyDescent="0.45">
      <c r="B75" t="s">
        <v>591</v>
      </c>
      <c r="C75" t="s">
        <v>12</v>
      </c>
      <c r="D75">
        <v>0.27901142929099643</v>
      </c>
      <c r="E75" t="s">
        <v>6</v>
      </c>
      <c r="G75" t="s">
        <v>592</v>
      </c>
      <c r="H75" t="s">
        <v>12</v>
      </c>
      <c r="I75">
        <v>0.14264369449547179</v>
      </c>
      <c r="J75" t="s">
        <v>6</v>
      </c>
      <c r="L75" t="s">
        <v>593</v>
      </c>
      <c r="M75" t="s">
        <v>12</v>
      </c>
      <c r="N75">
        <v>0.13539156682778758</v>
      </c>
      <c r="O75" t="s">
        <v>6</v>
      </c>
    </row>
    <row r="76" spans="2:15" x14ac:dyDescent="0.45">
      <c r="B76" t="s">
        <v>591</v>
      </c>
      <c r="C76" t="s">
        <v>13</v>
      </c>
      <c r="D76">
        <v>5.1498954808346592E-3</v>
      </c>
      <c r="E76" t="s">
        <v>6</v>
      </c>
      <c r="G76" t="s">
        <v>592</v>
      </c>
      <c r="H76" t="s">
        <v>13</v>
      </c>
      <c r="I76">
        <v>6.3565417653339354E-2</v>
      </c>
      <c r="J76" t="s">
        <v>6</v>
      </c>
      <c r="L76" t="s">
        <v>593</v>
      </c>
      <c r="M76" t="s">
        <v>13</v>
      </c>
      <c r="N76">
        <v>7.7192852500823014E-2</v>
      </c>
      <c r="O76" t="s">
        <v>6</v>
      </c>
    </row>
    <row r="77" spans="2:15" x14ac:dyDescent="0.45">
      <c r="B77" t="s">
        <v>591</v>
      </c>
      <c r="C77" t="s">
        <v>14</v>
      </c>
      <c r="D77">
        <v>7.6955302050192437E-3</v>
      </c>
      <c r="E77" t="s">
        <v>6</v>
      </c>
      <c r="G77" t="s">
        <v>592</v>
      </c>
      <c r="H77" t="s">
        <v>14</v>
      </c>
      <c r="I77">
        <v>2.697097366153129E-2</v>
      </c>
      <c r="J77" t="s">
        <v>6</v>
      </c>
      <c r="L77" t="s">
        <v>593</v>
      </c>
      <c r="M77" t="s">
        <v>14</v>
      </c>
      <c r="N77">
        <v>3.7255358154438548E-2</v>
      </c>
      <c r="O77" t="s">
        <v>6</v>
      </c>
    </row>
    <row r="78" spans="2:15" x14ac:dyDescent="0.45">
      <c r="B78" t="s">
        <v>591</v>
      </c>
      <c r="C78" t="s">
        <v>15</v>
      </c>
      <c r="D78">
        <v>0.3098390799358649</v>
      </c>
      <c r="E78" t="s">
        <v>6</v>
      </c>
      <c r="G78" t="s">
        <v>592</v>
      </c>
      <c r="H78" t="s">
        <v>15</v>
      </c>
      <c r="I78">
        <v>5.6138539170256255E-2</v>
      </c>
      <c r="J78" t="s">
        <v>6</v>
      </c>
      <c r="L78" t="s">
        <v>593</v>
      </c>
      <c r="M78" t="s">
        <v>15</v>
      </c>
      <c r="N78">
        <v>4.4652014493685901E-2</v>
      </c>
      <c r="O78" t="s">
        <v>6</v>
      </c>
    </row>
    <row r="79" spans="2:15" x14ac:dyDescent="0.45">
      <c r="B79" t="s">
        <v>591</v>
      </c>
      <c r="C79" t="s">
        <v>16</v>
      </c>
      <c r="D79">
        <v>8.6191496844159124E-3</v>
      </c>
      <c r="E79" t="s">
        <v>6</v>
      </c>
      <c r="G79" t="s">
        <v>592</v>
      </c>
      <c r="H79" t="s">
        <v>16</v>
      </c>
      <c r="I79">
        <v>3.5455223164935011E-2</v>
      </c>
      <c r="J79" t="s">
        <v>6</v>
      </c>
      <c r="L79" t="s">
        <v>593</v>
      </c>
      <c r="M79" t="s">
        <v>16</v>
      </c>
      <c r="N79">
        <v>3.6268678378244261E-2</v>
      </c>
      <c r="O79" t="s">
        <v>6</v>
      </c>
    </row>
    <row r="80" spans="2:15" x14ac:dyDescent="0.45">
      <c r="B80" t="s">
        <v>591</v>
      </c>
      <c r="C80" t="s">
        <v>17</v>
      </c>
      <c r="D80">
        <v>1.3869361795724763E-3</v>
      </c>
      <c r="E80" t="s">
        <v>6</v>
      </c>
      <c r="G80" t="s">
        <v>592</v>
      </c>
      <c r="H80" t="s">
        <v>17</v>
      </c>
      <c r="I80">
        <v>9.7354758443471481E-2</v>
      </c>
      <c r="J80" t="s">
        <v>6</v>
      </c>
      <c r="L80" t="s">
        <v>593</v>
      </c>
      <c r="M80" t="s">
        <v>17</v>
      </c>
      <c r="N80">
        <v>9.1699063381875487E-2</v>
      </c>
      <c r="O80" t="s">
        <v>6</v>
      </c>
    </row>
    <row r="81" spans="2:15" x14ac:dyDescent="0.45">
      <c r="B81" t="s">
        <v>591</v>
      </c>
      <c r="C81" t="s">
        <v>18</v>
      </c>
      <c r="D81">
        <v>0.21449098677494774</v>
      </c>
      <c r="E81" t="s">
        <v>6</v>
      </c>
      <c r="G81" t="s">
        <v>592</v>
      </c>
      <c r="H81" t="s">
        <v>18</v>
      </c>
      <c r="I81">
        <v>0.12892744107482362</v>
      </c>
      <c r="J81" t="s">
        <v>6</v>
      </c>
      <c r="L81" t="s">
        <v>593</v>
      </c>
      <c r="M81" t="s">
        <v>18</v>
      </c>
      <c r="N81">
        <v>0.11731008933829369</v>
      </c>
      <c r="O81" t="s">
        <v>6</v>
      </c>
    </row>
    <row r="82" spans="2:15" x14ac:dyDescent="0.45">
      <c r="B82" t="s">
        <v>591</v>
      </c>
      <c r="C82" t="s">
        <v>19</v>
      </c>
      <c r="D82">
        <v>8.2507678101368081E-4</v>
      </c>
      <c r="E82" t="s">
        <v>6</v>
      </c>
      <c r="G82" t="s">
        <v>592</v>
      </c>
      <c r="H82" t="s">
        <v>19</v>
      </c>
      <c r="I82">
        <v>7.8901808528148321E-2</v>
      </c>
      <c r="J82" t="s">
        <v>6</v>
      </c>
      <c r="L82" t="s">
        <v>593</v>
      </c>
      <c r="M82" t="s">
        <v>19</v>
      </c>
      <c r="N82">
        <v>7.4495831097859885E-2</v>
      </c>
      <c r="O82" t="s">
        <v>6</v>
      </c>
    </row>
    <row r="83" spans="2:15" x14ac:dyDescent="0.45">
      <c r="B83" t="s">
        <v>594</v>
      </c>
      <c r="C83" t="s">
        <v>5</v>
      </c>
      <c r="D83">
        <v>0</v>
      </c>
      <c r="E83" t="s">
        <v>6</v>
      </c>
      <c r="G83" t="s">
        <v>595</v>
      </c>
      <c r="H83" t="s">
        <v>5</v>
      </c>
      <c r="I83">
        <v>0.10637707102295835</v>
      </c>
      <c r="J83" t="s">
        <v>6</v>
      </c>
      <c r="L83" t="s">
        <v>596</v>
      </c>
      <c r="M83" t="s">
        <v>5</v>
      </c>
      <c r="N83">
        <v>9.4133799672351234E-2</v>
      </c>
      <c r="O83" t="s">
        <v>6</v>
      </c>
    </row>
    <row r="84" spans="2:15" x14ac:dyDescent="0.45">
      <c r="B84" t="s">
        <v>594</v>
      </c>
      <c r="C84" t="s">
        <v>9</v>
      </c>
      <c r="D84">
        <v>0.16987434272258037</v>
      </c>
      <c r="E84" t="s">
        <v>6</v>
      </c>
      <c r="G84" t="s">
        <v>595</v>
      </c>
      <c r="H84" t="s">
        <v>9</v>
      </c>
      <c r="I84">
        <v>0.1238320244049282</v>
      </c>
      <c r="J84" t="s">
        <v>6</v>
      </c>
      <c r="L84" t="s">
        <v>596</v>
      </c>
      <c r="M84" t="s">
        <v>9</v>
      </c>
      <c r="N84">
        <v>0.11464811663374565</v>
      </c>
      <c r="O84" t="s">
        <v>6</v>
      </c>
    </row>
    <row r="85" spans="2:15" x14ac:dyDescent="0.45">
      <c r="B85" t="s">
        <v>594</v>
      </c>
      <c r="C85" t="s">
        <v>10</v>
      </c>
      <c r="D85">
        <v>4.9229141066608426E-5</v>
      </c>
      <c r="E85" t="s">
        <v>6</v>
      </c>
      <c r="G85" t="s">
        <v>595</v>
      </c>
      <c r="H85" t="s">
        <v>10</v>
      </c>
      <c r="I85">
        <v>6.5282438205489846E-2</v>
      </c>
      <c r="J85" t="s">
        <v>6</v>
      </c>
      <c r="L85" t="s">
        <v>596</v>
      </c>
      <c r="M85" t="s">
        <v>10</v>
      </c>
      <c r="N85">
        <v>7.4378977333440899E-2</v>
      </c>
      <c r="O85" t="s">
        <v>6</v>
      </c>
    </row>
    <row r="86" spans="2:15" x14ac:dyDescent="0.45">
      <c r="B86" t="s">
        <v>594</v>
      </c>
      <c r="C86" t="s">
        <v>11</v>
      </c>
      <c r="D86">
        <v>6.007192287846937E-3</v>
      </c>
      <c r="E86" t="s">
        <v>6</v>
      </c>
      <c r="G86" t="s">
        <v>595</v>
      </c>
      <c r="H86" t="s">
        <v>11</v>
      </c>
      <c r="I86">
        <v>0.10268549343600439</v>
      </c>
      <c r="J86" t="s">
        <v>6</v>
      </c>
      <c r="L86" t="s">
        <v>596</v>
      </c>
      <c r="M86" t="s">
        <v>11</v>
      </c>
      <c r="N86">
        <v>0.10528037995437903</v>
      </c>
      <c r="O86" t="s">
        <v>6</v>
      </c>
    </row>
    <row r="87" spans="2:15" x14ac:dyDescent="0.45">
      <c r="B87" t="s">
        <v>594</v>
      </c>
      <c r="C87" t="s">
        <v>12</v>
      </c>
      <c r="D87">
        <v>0.28406828760140973</v>
      </c>
      <c r="E87" t="s">
        <v>6</v>
      </c>
      <c r="G87" t="s">
        <v>595</v>
      </c>
      <c r="H87" t="s">
        <v>12</v>
      </c>
      <c r="I87">
        <v>0.13257910865716005</v>
      </c>
      <c r="J87" t="s">
        <v>6</v>
      </c>
      <c r="L87" t="s">
        <v>596</v>
      </c>
      <c r="M87" t="s">
        <v>12</v>
      </c>
      <c r="N87">
        <v>0.1404313918471094</v>
      </c>
      <c r="O87" t="s">
        <v>6</v>
      </c>
    </row>
    <row r="88" spans="2:15" x14ac:dyDescent="0.45">
      <c r="B88" t="s">
        <v>594</v>
      </c>
      <c r="C88" t="s">
        <v>13</v>
      </c>
      <c r="D88">
        <v>4.0047752518835439E-3</v>
      </c>
      <c r="E88" t="s">
        <v>6</v>
      </c>
      <c r="G88" t="s">
        <v>595</v>
      </c>
      <c r="H88" t="s">
        <v>13</v>
      </c>
      <c r="I88">
        <v>7.5065314754842835E-2</v>
      </c>
      <c r="J88" t="s">
        <v>6</v>
      </c>
      <c r="L88" t="s">
        <v>596</v>
      </c>
      <c r="M88" t="s">
        <v>13</v>
      </c>
      <c r="N88">
        <v>8.7993593504438722E-2</v>
      </c>
      <c r="O88" t="s">
        <v>6</v>
      </c>
    </row>
    <row r="89" spans="2:15" x14ac:dyDescent="0.45">
      <c r="B89" t="s">
        <v>594</v>
      </c>
      <c r="C89" t="s">
        <v>14</v>
      </c>
      <c r="D89">
        <v>9.1465243712205192E-3</v>
      </c>
      <c r="E89" t="s">
        <v>6</v>
      </c>
      <c r="G89" t="s">
        <v>595</v>
      </c>
      <c r="H89" t="s">
        <v>14</v>
      </c>
      <c r="I89">
        <v>5.3778172410486491E-2</v>
      </c>
      <c r="J89" t="s">
        <v>6</v>
      </c>
      <c r="L89" t="s">
        <v>596</v>
      </c>
      <c r="M89" t="s">
        <v>14</v>
      </c>
      <c r="N89">
        <v>3.7513596829267748E-2</v>
      </c>
      <c r="O89" t="s">
        <v>6</v>
      </c>
    </row>
    <row r="90" spans="2:15" x14ac:dyDescent="0.45">
      <c r="B90" t="s">
        <v>594</v>
      </c>
      <c r="C90" t="s">
        <v>15</v>
      </c>
      <c r="D90">
        <v>0.30242223179279804</v>
      </c>
      <c r="E90" t="s">
        <v>6</v>
      </c>
      <c r="G90" t="s">
        <v>595</v>
      </c>
      <c r="H90" t="s">
        <v>15</v>
      </c>
      <c r="I90">
        <v>5.4780535200887187E-2</v>
      </c>
      <c r="J90" t="s">
        <v>6</v>
      </c>
      <c r="L90" t="s">
        <v>596</v>
      </c>
      <c r="M90" t="s">
        <v>15</v>
      </c>
      <c r="N90">
        <v>4.3123715465982475E-2</v>
      </c>
      <c r="O90" t="s">
        <v>6</v>
      </c>
    </row>
    <row r="91" spans="2:15" x14ac:dyDescent="0.45">
      <c r="B91" t="s">
        <v>594</v>
      </c>
      <c r="C91" t="s">
        <v>16</v>
      </c>
      <c r="D91">
        <v>6.9880778205361005E-3</v>
      </c>
      <c r="E91" t="s">
        <v>6</v>
      </c>
      <c r="G91" t="s">
        <v>595</v>
      </c>
      <c r="H91" t="s">
        <v>16</v>
      </c>
      <c r="I91">
        <v>3.1274374189313725E-2</v>
      </c>
      <c r="J91" t="s">
        <v>6</v>
      </c>
      <c r="L91" t="s">
        <v>596</v>
      </c>
      <c r="M91" t="s">
        <v>16</v>
      </c>
      <c r="N91">
        <v>3.3858909214952583E-2</v>
      </c>
      <c r="O91" t="s">
        <v>6</v>
      </c>
    </row>
    <row r="92" spans="2:15" x14ac:dyDescent="0.45">
      <c r="B92" t="s">
        <v>594</v>
      </c>
      <c r="C92" t="s">
        <v>17</v>
      </c>
      <c r="D92">
        <v>2.1920356613344995E-3</v>
      </c>
      <c r="E92" t="s">
        <v>6</v>
      </c>
      <c r="G92" t="s">
        <v>595</v>
      </c>
      <c r="H92" t="s">
        <v>17</v>
      </c>
      <c r="I92">
        <v>8.497608771149702E-2</v>
      </c>
      <c r="J92" t="s">
        <v>6</v>
      </c>
      <c r="L92" t="s">
        <v>596</v>
      </c>
      <c r="M92" t="s">
        <v>17</v>
      </c>
      <c r="N92">
        <v>8.7737371574434966E-2</v>
      </c>
      <c r="O92" t="s">
        <v>6</v>
      </c>
    </row>
    <row r="93" spans="2:15" x14ac:dyDescent="0.45">
      <c r="B93" t="s">
        <v>594</v>
      </c>
      <c r="C93" t="s">
        <v>18</v>
      </c>
      <c r="D93">
        <v>0.21473323147772261</v>
      </c>
      <c r="E93" t="s">
        <v>6</v>
      </c>
      <c r="G93" t="s">
        <v>595</v>
      </c>
      <c r="H93" t="s">
        <v>18</v>
      </c>
      <c r="I93">
        <v>0.10596196502029014</v>
      </c>
      <c r="J93" t="s">
        <v>6</v>
      </c>
      <c r="L93" t="s">
        <v>596</v>
      </c>
      <c r="M93" t="s">
        <v>18</v>
      </c>
      <c r="N93">
        <v>0.10972883526392078</v>
      </c>
      <c r="O93" t="s">
        <v>6</v>
      </c>
    </row>
    <row r="94" spans="2:15" x14ac:dyDescent="0.45">
      <c r="B94" t="s">
        <v>594</v>
      </c>
      <c r="C94" t="s">
        <v>19</v>
      </c>
      <c r="D94">
        <v>5.1407187160021578E-4</v>
      </c>
      <c r="E94" t="s">
        <v>6</v>
      </c>
      <c r="G94" t="s">
        <v>595</v>
      </c>
      <c r="H94" t="s">
        <v>19</v>
      </c>
      <c r="I94">
        <v>6.3407414986144536E-2</v>
      </c>
      <c r="J94" t="s">
        <v>6</v>
      </c>
      <c r="L94" t="s">
        <v>596</v>
      </c>
      <c r="M94" t="s">
        <v>19</v>
      </c>
      <c r="N94">
        <v>7.1171312705972406E-2</v>
      </c>
      <c r="O94" t="s">
        <v>6</v>
      </c>
    </row>
    <row r="95" spans="2:15" x14ac:dyDescent="0.45">
      <c r="B95" t="s">
        <v>597</v>
      </c>
      <c r="C95" t="s">
        <v>5</v>
      </c>
      <c r="D95">
        <v>0</v>
      </c>
      <c r="E95" t="s">
        <v>6</v>
      </c>
      <c r="G95" t="s">
        <v>598</v>
      </c>
      <c r="H95" t="s">
        <v>5</v>
      </c>
      <c r="I95">
        <v>9.2840575703095091E-2</v>
      </c>
      <c r="J95" t="s">
        <v>6</v>
      </c>
      <c r="L95" t="s">
        <v>599</v>
      </c>
      <c r="M95" t="s">
        <v>5</v>
      </c>
      <c r="N95">
        <v>0.10024648629798316</v>
      </c>
      <c r="O95" t="s">
        <v>6</v>
      </c>
    </row>
    <row r="96" spans="2:15" x14ac:dyDescent="0.45">
      <c r="B96" t="s">
        <v>597</v>
      </c>
      <c r="C96" t="s">
        <v>9</v>
      </c>
      <c r="D96">
        <v>0.17746255108565437</v>
      </c>
      <c r="E96" t="s">
        <v>6</v>
      </c>
      <c r="G96" t="s">
        <v>598</v>
      </c>
      <c r="H96" t="s">
        <v>9</v>
      </c>
      <c r="I96">
        <v>0.10765091719061236</v>
      </c>
      <c r="J96" t="s">
        <v>6</v>
      </c>
      <c r="L96" t="s">
        <v>599</v>
      </c>
      <c r="M96" t="s">
        <v>9</v>
      </c>
      <c r="N96">
        <v>0.12405195417847108</v>
      </c>
      <c r="O96" t="s">
        <v>6</v>
      </c>
    </row>
    <row r="97" spans="2:15" x14ac:dyDescent="0.45">
      <c r="B97" t="s">
        <v>597</v>
      </c>
      <c r="C97" t="s">
        <v>10</v>
      </c>
      <c r="D97">
        <v>3.7461042606175911E-4</v>
      </c>
      <c r="E97" t="s">
        <v>6</v>
      </c>
      <c r="G97" t="s">
        <v>598</v>
      </c>
      <c r="H97" t="s">
        <v>10</v>
      </c>
      <c r="I97">
        <v>6.1595858552840395E-2</v>
      </c>
      <c r="J97" t="s">
        <v>6</v>
      </c>
      <c r="L97" t="s">
        <v>599</v>
      </c>
      <c r="M97" t="s">
        <v>10</v>
      </c>
      <c r="N97">
        <v>7.5854616775715603E-2</v>
      </c>
      <c r="O97" t="s">
        <v>6</v>
      </c>
    </row>
    <row r="98" spans="2:15" x14ac:dyDescent="0.45">
      <c r="B98" t="s">
        <v>597</v>
      </c>
      <c r="C98" t="s">
        <v>11</v>
      </c>
      <c r="D98">
        <v>3.6276126026163584E-3</v>
      </c>
      <c r="E98" t="s">
        <v>6</v>
      </c>
      <c r="G98" t="s">
        <v>598</v>
      </c>
      <c r="H98" t="s">
        <v>11</v>
      </c>
      <c r="I98">
        <v>8.105679642123205E-2</v>
      </c>
      <c r="J98" t="s">
        <v>6</v>
      </c>
      <c r="L98" t="s">
        <v>599</v>
      </c>
      <c r="M98" t="s">
        <v>11</v>
      </c>
      <c r="N98">
        <v>9.3625124071686244E-2</v>
      </c>
      <c r="O98" t="s">
        <v>6</v>
      </c>
    </row>
    <row r="99" spans="2:15" x14ac:dyDescent="0.45">
      <c r="B99" t="s">
        <v>597</v>
      </c>
      <c r="C99" t="s">
        <v>12</v>
      </c>
      <c r="D99">
        <v>0.26883738964053644</v>
      </c>
      <c r="E99" t="s">
        <v>6</v>
      </c>
      <c r="G99" t="s">
        <v>598</v>
      </c>
      <c r="H99" t="s">
        <v>12</v>
      </c>
      <c r="I99">
        <v>0.1454519066178255</v>
      </c>
      <c r="J99" t="s">
        <v>6</v>
      </c>
      <c r="L99" t="s">
        <v>599</v>
      </c>
      <c r="M99" t="s">
        <v>12</v>
      </c>
      <c r="N99">
        <v>0.12619514131266737</v>
      </c>
      <c r="O99" t="s">
        <v>6</v>
      </c>
    </row>
    <row r="100" spans="2:15" x14ac:dyDescent="0.45">
      <c r="B100" t="s">
        <v>597</v>
      </c>
      <c r="C100" t="s">
        <v>13</v>
      </c>
      <c r="D100">
        <v>6.1312034294237231E-3</v>
      </c>
      <c r="E100" t="s">
        <v>6</v>
      </c>
      <c r="G100" t="s">
        <v>598</v>
      </c>
      <c r="H100" t="s">
        <v>13</v>
      </c>
      <c r="I100">
        <v>6.5649846093632072E-2</v>
      </c>
      <c r="J100" t="s">
        <v>6</v>
      </c>
      <c r="L100" t="s">
        <v>599</v>
      </c>
      <c r="M100" t="s">
        <v>13</v>
      </c>
      <c r="N100">
        <v>7.1737482939484037E-2</v>
      </c>
      <c r="O100" t="s">
        <v>6</v>
      </c>
    </row>
    <row r="101" spans="2:15" x14ac:dyDescent="0.45">
      <c r="B101" t="s">
        <v>597</v>
      </c>
      <c r="C101" t="s">
        <v>14</v>
      </c>
      <c r="D101">
        <v>6.5384036467204098E-3</v>
      </c>
      <c r="E101" t="s">
        <v>6</v>
      </c>
      <c r="G101" t="s">
        <v>598</v>
      </c>
      <c r="H101" t="s">
        <v>14</v>
      </c>
      <c r="I101">
        <v>3.7862996668710312E-2</v>
      </c>
      <c r="J101" t="s">
        <v>6</v>
      </c>
      <c r="L101" t="s">
        <v>599</v>
      </c>
      <c r="M101" t="s">
        <v>14</v>
      </c>
      <c r="N101">
        <v>3.3317294385845818E-2</v>
      </c>
      <c r="O101" t="s">
        <v>6</v>
      </c>
    </row>
    <row r="102" spans="2:15" x14ac:dyDescent="0.45">
      <c r="B102" t="s">
        <v>597</v>
      </c>
      <c r="C102" t="s">
        <v>15</v>
      </c>
      <c r="D102">
        <v>0.30934730514230901</v>
      </c>
      <c r="E102" t="s">
        <v>6</v>
      </c>
      <c r="G102" t="s">
        <v>598</v>
      </c>
      <c r="H102" t="s">
        <v>15</v>
      </c>
      <c r="I102">
        <v>6.328416848703633E-2</v>
      </c>
      <c r="J102" t="s">
        <v>6</v>
      </c>
      <c r="L102" t="s">
        <v>599</v>
      </c>
      <c r="M102" t="s">
        <v>15</v>
      </c>
      <c r="N102">
        <v>4.2336635196915974E-2</v>
      </c>
      <c r="O102" t="s">
        <v>6</v>
      </c>
    </row>
    <row r="103" spans="2:15" x14ac:dyDescent="0.45">
      <c r="B103" t="s">
        <v>597</v>
      </c>
      <c r="C103" t="s">
        <v>16</v>
      </c>
      <c r="D103">
        <v>1.0291860813560694E-2</v>
      </c>
      <c r="E103" t="s">
        <v>6</v>
      </c>
      <c r="G103" t="s">
        <v>598</v>
      </c>
      <c r="H103" t="s">
        <v>16</v>
      </c>
      <c r="I103">
        <v>3.3335057333045405E-2</v>
      </c>
      <c r="J103" t="s">
        <v>6</v>
      </c>
      <c r="L103" t="s">
        <v>599</v>
      </c>
      <c r="M103" t="s">
        <v>16</v>
      </c>
      <c r="N103">
        <v>1.7358395595862441E-2</v>
      </c>
      <c r="O103" t="s">
        <v>6</v>
      </c>
    </row>
    <row r="104" spans="2:15" x14ac:dyDescent="0.45">
      <c r="B104" t="s">
        <v>597</v>
      </c>
      <c r="C104" t="s">
        <v>17</v>
      </c>
      <c r="D104">
        <v>9.1974393189756226E-4</v>
      </c>
      <c r="E104" t="s">
        <v>6</v>
      </c>
      <c r="G104" t="s">
        <v>598</v>
      </c>
      <c r="H104" t="s">
        <v>17</v>
      </c>
      <c r="I104">
        <v>9.8240267773559764E-2</v>
      </c>
      <c r="J104" t="s">
        <v>6</v>
      </c>
      <c r="L104" t="s">
        <v>599</v>
      </c>
      <c r="M104" t="s">
        <v>17</v>
      </c>
      <c r="N104">
        <v>0.10320241191556243</v>
      </c>
      <c r="O104" t="s">
        <v>6</v>
      </c>
    </row>
    <row r="105" spans="2:15" x14ac:dyDescent="0.45">
      <c r="B105" t="s">
        <v>597</v>
      </c>
      <c r="C105" t="s">
        <v>18</v>
      </c>
      <c r="D105">
        <v>0.2153252247871083</v>
      </c>
      <c r="E105" t="s">
        <v>6</v>
      </c>
      <c r="G105" t="s">
        <v>598</v>
      </c>
      <c r="H105" t="s">
        <v>18</v>
      </c>
      <c r="I105">
        <v>0.13690888588918312</v>
      </c>
      <c r="J105" t="s">
        <v>6</v>
      </c>
      <c r="L105" t="s">
        <v>599</v>
      </c>
      <c r="M105" t="s">
        <v>18</v>
      </c>
      <c r="N105">
        <v>0.13106319220828852</v>
      </c>
      <c r="O105" t="s">
        <v>6</v>
      </c>
    </row>
    <row r="106" spans="2:15" x14ac:dyDescent="0.45">
      <c r="B106" t="s">
        <v>597</v>
      </c>
      <c r="C106" t="s">
        <v>19</v>
      </c>
      <c r="D106">
        <v>1.1440944941088749E-3</v>
      </c>
      <c r="E106" t="s">
        <v>6</v>
      </c>
      <c r="G106" t="s">
        <v>598</v>
      </c>
      <c r="H106" t="s">
        <v>19</v>
      </c>
      <c r="I106">
        <v>7.6122723269224479E-2</v>
      </c>
      <c r="J106" t="s">
        <v>6</v>
      </c>
      <c r="L106" t="s">
        <v>599</v>
      </c>
      <c r="M106" t="s">
        <v>19</v>
      </c>
      <c r="N106">
        <v>8.1011265121519835E-2</v>
      </c>
      <c r="O106" t="s">
        <v>6</v>
      </c>
    </row>
    <row r="107" spans="2:15" x14ac:dyDescent="0.45">
      <c r="B107" t="s">
        <v>600</v>
      </c>
      <c r="C107" t="s">
        <v>5</v>
      </c>
      <c r="D107">
        <v>0</v>
      </c>
      <c r="E107" t="s">
        <v>6</v>
      </c>
      <c r="G107" t="s">
        <v>601</v>
      </c>
      <c r="H107" t="s">
        <v>5</v>
      </c>
      <c r="I107">
        <v>0.10650109827571386</v>
      </c>
      <c r="J107" t="s">
        <v>6</v>
      </c>
      <c r="L107" t="s">
        <v>602</v>
      </c>
      <c r="M107" t="s">
        <v>5</v>
      </c>
      <c r="N107">
        <v>8.4529911476893441E-2</v>
      </c>
      <c r="O107" t="s">
        <v>6</v>
      </c>
    </row>
    <row r="108" spans="2:15" x14ac:dyDescent="0.45">
      <c r="B108" t="s">
        <v>600</v>
      </c>
      <c r="C108" t="s">
        <v>9</v>
      </c>
      <c r="D108">
        <v>0.15987653152200884</v>
      </c>
      <c r="E108" t="s">
        <v>6</v>
      </c>
      <c r="G108" t="s">
        <v>601</v>
      </c>
      <c r="H108" t="s">
        <v>9</v>
      </c>
      <c r="I108">
        <v>0.13368194739287953</v>
      </c>
      <c r="J108" t="s">
        <v>6</v>
      </c>
      <c r="L108" t="s">
        <v>602</v>
      </c>
      <c r="M108" t="s">
        <v>9</v>
      </c>
      <c r="N108">
        <v>0.10628999396698917</v>
      </c>
      <c r="O108" t="s">
        <v>6</v>
      </c>
    </row>
    <row r="109" spans="2:15" x14ac:dyDescent="0.45">
      <c r="B109" t="s">
        <v>600</v>
      </c>
      <c r="C109" t="s">
        <v>10</v>
      </c>
      <c r="D109">
        <v>2.1230672996564053E-4</v>
      </c>
      <c r="E109" t="s">
        <v>6</v>
      </c>
      <c r="G109" t="s">
        <v>601</v>
      </c>
      <c r="H109" t="s">
        <v>10</v>
      </c>
      <c r="I109">
        <v>7.2092328742811684E-2</v>
      </c>
      <c r="J109" t="s">
        <v>6</v>
      </c>
      <c r="L109" t="s">
        <v>602</v>
      </c>
      <c r="M109" t="s">
        <v>10</v>
      </c>
      <c r="N109">
        <v>6.3048515729074384E-2</v>
      </c>
      <c r="O109" t="s">
        <v>6</v>
      </c>
    </row>
    <row r="110" spans="2:15" x14ac:dyDescent="0.45">
      <c r="B110" t="s">
        <v>600</v>
      </c>
      <c r="C110" t="s">
        <v>11</v>
      </c>
      <c r="D110">
        <v>4.0932190674265465E-3</v>
      </c>
      <c r="E110" t="s">
        <v>6</v>
      </c>
      <c r="G110" t="s">
        <v>601</v>
      </c>
      <c r="H110" t="s">
        <v>11</v>
      </c>
      <c r="I110">
        <v>7.9016735036465544E-2</v>
      </c>
      <c r="J110" t="s">
        <v>6</v>
      </c>
      <c r="L110" t="s">
        <v>602</v>
      </c>
      <c r="M110" t="s">
        <v>11</v>
      </c>
      <c r="N110">
        <v>0.10682383861699028</v>
      </c>
      <c r="O110" t="s">
        <v>6</v>
      </c>
    </row>
    <row r="111" spans="2:15" x14ac:dyDescent="0.45">
      <c r="B111" t="s">
        <v>600</v>
      </c>
      <c r="C111" t="s">
        <v>12</v>
      </c>
      <c r="D111">
        <v>0.27437832923414995</v>
      </c>
      <c r="E111" t="s">
        <v>6</v>
      </c>
      <c r="G111" t="s">
        <v>601</v>
      </c>
      <c r="H111" t="s">
        <v>12</v>
      </c>
      <c r="I111">
        <v>0.14386423727912229</v>
      </c>
      <c r="J111" t="s">
        <v>6</v>
      </c>
      <c r="L111" t="s">
        <v>602</v>
      </c>
      <c r="M111" t="s">
        <v>12</v>
      </c>
      <c r="N111">
        <v>0.13655959949454569</v>
      </c>
      <c r="O111" t="s">
        <v>6</v>
      </c>
    </row>
    <row r="112" spans="2:15" x14ac:dyDescent="0.45">
      <c r="B112" t="s">
        <v>600</v>
      </c>
      <c r="C112" t="s">
        <v>13</v>
      </c>
      <c r="D112">
        <v>5.8600787596059844E-3</v>
      </c>
      <c r="E112" t="s">
        <v>6</v>
      </c>
      <c r="G112" t="s">
        <v>601</v>
      </c>
      <c r="H112" t="s">
        <v>13</v>
      </c>
      <c r="I112">
        <v>6.5262978265153898E-2</v>
      </c>
      <c r="J112" t="s">
        <v>6</v>
      </c>
      <c r="L112" t="s">
        <v>602</v>
      </c>
      <c r="M112" t="s">
        <v>13</v>
      </c>
      <c r="N112">
        <v>7.8984177710466855E-2</v>
      </c>
      <c r="O112" t="s">
        <v>6</v>
      </c>
    </row>
    <row r="113" spans="2:15" x14ac:dyDescent="0.45">
      <c r="B113" t="s">
        <v>600</v>
      </c>
      <c r="C113" t="s">
        <v>14</v>
      </c>
      <c r="D113">
        <v>7.2245768444961491E-3</v>
      </c>
      <c r="E113" t="s">
        <v>6</v>
      </c>
      <c r="G113" t="s">
        <v>601</v>
      </c>
      <c r="H113" t="s">
        <v>14</v>
      </c>
      <c r="I113">
        <v>3.2331237714140683E-2</v>
      </c>
      <c r="J113" t="s">
        <v>6</v>
      </c>
      <c r="L113" t="s">
        <v>602</v>
      </c>
      <c r="M113" t="s">
        <v>14</v>
      </c>
      <c r="N113">
        <v>3.4836044077330923E-2</v>
      </c>
      <c r="O113" t="s">
        <v>6</v>
      </c>
    </row>
    <row r="114" spans="2:15" x14ac:dyDescent="0.45">
      <c r="B114" t="s">
        <v>600</v>
      </c>
      <c r="C114" t="s">
        <v>15</v>
      </c>
      <c r="D114">
        <v>0.32335942550065383</v>
      </c>
      <c r="E114" t="s">
        <v>6</v>
      </c>
      <c r="G114" t="s">
        <v>601</v>
      </c>
      <c r="H114" t="s">
        <v>15</v>
      </c>
      <c r="I114">
        <v>5.6237991663241955E-2</v>
      </c>
      <c r="J114" t="s">
        <v>6</v>
      </c>
      <c r="L114" t="s">
        <v>602</v>
      </c>
      <c r="M114" t="s">
        <v>15</v>
      </c>
      <c r="N114">
        <v>4.2709100204303456E-2</v>
      </c>
      <c r="O114" t="s">
        <v>6</v>
      </c>
    </row>
    <row r="115" spans="2:15" x14ac:dyDescent="0.45">
      <c r="B115" t="s">
        <v>600</v>
      </c>
      <c r="C115" t="s">
        <v>16</v>
      </c>
      <c r="D115">
        <v>1.0626693364169999E-2</v>
      </c>
      <c r="E115" t="s">
        <v>6</v>
      </c>
      <c r="G115" t="s">
        <v>601</v>
      </c>
      <c r="H115" t="s">
        <v>16</v>
      </c>
      <c r="I115">
        <v>3.13075547534915E-2</v>
      </c>
      <c r="J115" t="s">
        <v>6</v>
      </c>
      <c r="L115" t="s">
        <v>602</v>
      </c>
      <c r="M115" t="s">
        <v>16</v>
      </c>
      <c r="N115">
        <v>3.1985374029558318E-2</v>
      </c>
      <c r="O115" t="s">
        <v>6</v>
      </c>
    </row>
    <row r="116" spans="2:15" x14ac:dyDescent="0.45">
      <c r="B116" t="s">
        <v>600</v>
      </c>
      <c r="C116" t="s">
        <v>17</v>
      </c>
      <c r="D116">
        <v>1.06634446877304E-3</v>
      </c>
      <c r="E116" t="s">
        <v>6</v>
      </c>
      <c r="G116" t="s">
        <v>601</v>
      </c>
      <c r="H116" t="s">
        <v>17</v>
      </c>
      <c r="I116">
        <v>8.1456217235939196E-2</v>
      </c>
      <c r="J116" t="s">
        <v>6</v>
      </c>
      <c r="L116" t="s">
        <v>602</v>
      </c>
      <c r="M116" t="s">
        <v>17</v>
      </c>
      <c r="N116">
        <v>0.10738834836746268</v>
      </c>
      <c r="O116" t="s">
        <v>6</v>
      </c>
    </row>
    <row r="117" spans="2:15" x14ac:dyDescent="0.45">
      <c r="B117" t="s">
        <v>600</v>
      </c>
      <c r="C117" t="s">
        <v>18</v>
      </c>
      <c r="D117">
        <v>0.21222348560521931</v>
      </c>
      <c r="E117" t="s">
        <v>6</v>
      </c>
      <c r="G117" t="s">
        <v>601</v>
      </c>
      <c r="H117" t="s">
        <v>18</v>
      </c>
      <c r="I117">
        <v>0.1275482353995343</v>
      </c>
      <c r="J117" t="s">
        <v>6</v>
      </c>
      <c r="L117" t="s">
        <v>602</v>
      </c>
      <c r="M117" t="s">
        <v>18</v>
      </c>
      <c r="N117">
        <v>0.12427949333748062</v>
      </c>
      <c r="O117" t="s">
        <v>6</v>
      </c>
    </row>
    <row r="118" spans="2:15" x14ac:dyDescent="0.45">
      <c r="B118" t="s">
        <v>600</v>
      </c>
      <c r="C118" t="s">
        <v>19</v>
      </c>
      <c r="D118">
        <v>1.0790089035320497E-3</v>
      </c>
      <c r="E118" t="s">
        <v>6</v>
      </c>
      <c r="G118" t="s">
        <v>601</v>
      </c>
      <c r="H118" t="s">
        <v>19</v>
      </c>
      <c r="I118">
        <v>7.0699438241506998E-2</v>
      </c>
      <c r="J118" t="s">
        <v>6</v>
      </c>
      <c r="L118" t="s">
        <v>602</v>
      </c>
      <c r="M118" t="s">
        <v>19</v>
      </c>
      <c r="N118">
        <v>8.2565602988905473E-2</v>
      </c>
      <c r="O118" t="s">
        <v>6</v>
      </c>
    </row>
    <row r="119" spans="2:15" x14ac:dyDescent="0.45">
      <c r="B119" t="s">
        <v>603</v>
      </c>
      <c r="C119" t="s">
        <v>5</v>
      </c>
      <c r="D119">
        <v>0</v>
      </c>
      <c r="E119" t="s">
        <v>6</v>
      </c>
      <c r="G119" t="s">
        <v>604</v>
      </c>
      <c r="H119" t="s">
        <v>5</v>
      </c>
      <c r="I119">
        <v>0.10014263956541122</v>
      </c>
      <c r="J119" t="s">
        <v>6</v>
      </c>
      <c r="L119" t="s">
        <v>605</v>
      </c>
      <c r="M119" t="s">
        <v>5</v>
      </c>
      <c r="N119">
        <v>0.1034836364449892</v>
      </c>
      <c r="O119" t="s">
        <v>6</v>
      </c>
    </row>
    <row r="120" spans="2:15" x14ac:dyDescent="0.45">
      <c r="B120" t="s">
        <v>603</v>
      </c>
      <c r="C120" t="s">
        <v>9</v>
      </c>
      <c r="D120">
        <v>0.16669668375957186</v>
      </c>
      <c r="E120" t="s">
        <v>6</v>
      </c>
      <c r="G120" t="s">
        <v>604</v>
      </c>
      <c r="H120" t="s">
        <v>9</v>
      </c>
      <c r="I120">
        <v>0.12223239866717776</v>
      </c>
      <c r="J120" t="s">
        <v>6</v>
      </c>
      <c r="L120" t="s">
        <v>605</v>
      </c>
      <c r="M120" t="s">
        <v>9</v>
      </c>
      <c r="N120">
        <v>0.14220651268479306</v>
      </c>
      <c r="O120" t="s">
        <v>6</v>
      </c>
    </row>
    <row r="121" spans="2:15" x14ac:dyDescent="0.45">
      <c r="B121" t="s">
        <v>603</v>
      </c>
      <c r="C121" t="s">
        <v>10</v>
      </c>
      <c r="D121">
        <v>1.520617312554299E-4</v>
      </c>
      <c r="E121" t="s">
        <v>6</v>
      </c>
      <c r="G121" t="s">
        <v>604</v>
      </c>
      <c r="H121" t="s">
        <v>10</v>
      </c>
      <c r="I121">
        <v>7.5905910726487835E-2</v>
      </c>
      <c r="J121" t="s">
        <v>6</v>
      </c>
      <c r="L121" t="s">
        <v>605</v>
      </c>
      <c r="M121" t="s">
        <v>10</v>
      </c>
      <c r="N121">
        <v>7.2755577006410901E-2</v>
      </c>
      <c r="O121" t="s">
        <v>6</v>
      </c>
    </row>
    <row r="122" spans="2:15" x14ac:dyDescent="0.45">
      <c r="B122" t="s">
        <v>603</v>
      </c>
      <c r="C122" t="s">
        <v>11</v>
      </c>
      <c r="D122">
        <v>4.7367612261780502E-3</v>
      </c>
      <c r="E122" t="s">
        <v>6</v>
      </c>
      <c r="G122" t="s">
        <v>604</v>
      </c>
      <c r="H122" t="s">
        <v>11</v>
      </c>
      <c r="I122">
        <v>9.8482919199318633E-2</v>
      </c>
      <c r="J122" t="s">
        <v>6</v>
      </c>
      <c r="L122" t="s">
        <v>605</v>
      </c>
      <c r="M122" t="s">
        <v>11</v>
      </c>
      <c r="N122">
        <v>0.12599665843380078</v>
      </c>
      <c r="O122" t="s">
        <v>6</v>
      </c>
    </row>
    <row r="123" spans="2:15" x14ac:dyDescent="0.45">
      <c r="B123" t="s">
        <v>603</v>
      </c>
      <c r="C123" t="s">
        <v>12</v>
      </c>
      <c r="D123">
        <v>0.28250462697222073</v>
      </c>
      <c r="E123" t="s">
        <v>6</v>
      </c>
      <c r="G123" t="s">
        <v>604</v>
      </c>
      <c r="H123" t="s">
        <v>12</v>
      </c>
      <c r="I123">
        <v>0.12673338456496899</v>
      </c>
      <c r="J123" t="s">
        <v>6</v>
      </c>
      <c r="L123" t="s">
        <v>605</v>
      </c>
      <c r="M123" t="s">
        <v>12</v>
      </c>
      <c r="N123">
        <v>0.15256679328855924</v>
      </c>
      <c r="O123" t="s">
        <v>6</v>
      </c>
    </row>
    <row r="124" spans="2:15" x14ac:dyDescent="0.45">
      <c r="B124" t="s">
        <v>603</v>
      </c>
      <c r="C124" t="s">
        <v>13</v>
      </c>
      <c r="D124">
        <v>5.1058580596077385E-3</v>
      </c>
      <c r="E124" t="s">
        <v>6</v>
      </c>
      <c r="G124" t="s">
        <v>604</v>
      </c>
      <c r="H124" t="s">
        <v>13</v>
      </c>
      <c r="I124">
        <v>7.860010406400586E-2</v>
      </c>
      <c r="J124" t="s">
        <v>6</v>
      </c>
      <c r="L124" t="s">
        <v>605</v>
      </c>
      <c r="M124" t="s">
        <v>13</v>
      </c>
      <c r="N124">
        <v>9.5299871401539865E-2</v>
      </c>
      <c r="O124" t="s">
        <v>6</v>
      </c>
    </row>
    <row r="125" spans="2:15" x14ac:dyDescent="0.45">
      <c r="B125" t="s">
        <v>603</v>
      </c>
      <c r="C125" t="s">
        <v>14</v>
      </c>
      <c r="D125">
        <v>7.8400772859604333E-3</v>
      </c>
      <c r="E125" t="s">
        <v>6</v>
      </c>
      <c r="G125" t="s">
        <v>604</v>
      </c>
      <c r="H125" t="s">
        <v>14</v>
      </c>
      <c r="I125">
        <v>7.1341274822960835E-2</v>
      </c>
      <c r="J125" t="s">
        <v>6</v>
      </c>
      <c r="L125" t="s">
        <v>605</v>
      </c>
      <c r="M125" t="s">
        <v>14</v>
      </c>
      <c r="N125">
        <v>3.0003284729730396E-2</v>
      </c>
      <c r="O125" t="s">
        <v>6</v>
      </c>
    </row>
    <row r="126" spans="2:15" x14ac:dyDescent="0.45">
      <c r="B126" t="s">
        <v>603</v>
      </c>
      <c r="C126" t="s">
        <v>15</v>
      </c>
      <c r="D126">
        <v>0.30438680771535187</v>
      </c>
      <c r="E126" t="s">
        <v>6</v>
      </c>
      <c r="G126" t="s">
        <v>604</v>
      </c>
      <c r="H126" t="s">
        <v>15</v>
      </c>
      <c r="I126">
        <v>7.5877221706637327E-2</v>
      </c>
      <c r="J126" t="s">
        <v>6</v>
      </c>
      <c r="L126" t="s">
        <v>605</v>
      </c>
      <c r="M126" t="s">
        <v>15</v>
      </c>
      <c r="N126">
        <v>4.4463545600784971E-2</v>
      </c>
      <c r="O126" t="s">
        <v>6</v>
      </c>
    </row>
    <row r="127" spans="2:15" x14ac:dyDescent="0.45">
      <c r="B127" t="s">
        <v>603</v>
      </c>
      <c r="C127" t="s">
        <v>16</v>
      </c>
      <c r="D127">
        <v>8.7408111641754521E-3</v>
      </c>
      <c r="E127" t="s">
        <v>6</v>
      </c>
      <c r="G127" t="s">
        <v>604</v>
      </c>
      <c r="H127" t="s">
        <v>16</v>
      </c>
      <c r="I127">
        <v>4.2253592377770356E-2</v>
      </c>
      <c r="J127" t="s">
        <v>6</v>
      </c>
      <c r="L127" t="s">
        <v>605</v>
      </c>
      <c r="M127" t="s">
        <v>16</v>
      </c>
      <c r="N127">
        <v>2.4771917550208869E-2</v>
      </c>
      <c r="O127" t="s">
        <v>6</v>
      </c>
    </row>
    <row r="128" spans="2:15" x14ac:dyDescent="0.45">
      <c r="B128" t="s">
        <v>603</v>
      </c>
      <c r="C128" t="s">
        <v>17</v>
      </c>
      <c r="D128">
        <v>1.468558587076559E-3</v>
      </c>
      <c r="E128" t="s">
        <v>6</v>
      </c>
      <c r="G128" t="s">
        <v>604</v>
      </c>
      <c r="H128" t="s">
        <v>17</v>
      </c>
      <c r="I128">
        <v>6.7627875582680311E-2</v>
      </c>
      <c r="J128" t="s">
        <v>6</v>
      </c>
      <c r="L128" t="s">
        <v>605</v>
      </c>
      <c r="M128" t="s">
        <v>17</v>
      </c>
      <c r="N128">
        <v>6.9076821946479641E-2</v>
      </c>
      <c r="O128" t="s">
        <v>6</v>
      </c>
    </row>
    <row r="129" spans="2:15" x14ac:dyDescent="0.45">
      <c r="B129" t="s">
        <v>603</v>
      </c>
      <c r="C129" t="s">
        <v>18</v>
      </c>
      <c r="D129">
        <v>0.21755636734765216</v>
      </c>
      <c r="E129" t="s">
        <v>6</v>
      </c>
      <c r="G129" t="s">
        <v>604</v>
      </c>
      <c r="H129" t="s">
        <v>18</v>
      </c>
      <c r="I129">
        <v>8.6647497715816035E-2</v>
      </c>
      <c r="J129" t="s">
        <v>6</v>
      </c>
      <c r="L129" t="s">
        <v>605</v>
      </c>
      <c r="M129" t="s">
        <v>18</v>
      </c>
      <c r="N129">
        <v>8.9340920533701434E-2</v>
      </c>
      <c r="O129" t="s">
        <v>6</v>
      </c>
    </row>
    <row r="130" spans="2:15" x14ac:dyDescent="0.45">
      <c r="B130" t="s">
        <v>603</v>
      </c>
      <c r="C130" t="s">
        <v>19</v>
      </c>
      <c r="D130">
        <v>8.1138615094790011E-4</v>
      </c>
      <c r="E130" t="s">
        <v>6</v>
      </c>
      <c r="G130" t="s">
        <v>604</v>
      </c>
      <c r="H130" t="s">
        <v>19</v>
      </c>
      <c r="I130">
        <v>5.415518100676605E-2</v>
      </c>
      <c r="J130" t="s">
        <v>6</v>
      </c>
      <c r="L130" t="s">
        <v>605</v>
      </c>
      <c r="M130" t="s">
        <v>19</v>
      </c>
      <c r="N130">
        <v>5.0034460379003706E-2</v>
      </c>
      <c r="O130" t="s">
        <v>6</v>
      </c>
    </row>
    <row r="131" spans="2:15" x14ac:dyDescent="0.45">
      <c r="B131" t="s">
        <v>606</v>
      </c>
      <c r="C131" t="s">
        <v>5</v>
      </c>
      <c r="D131">
        <v>0</v>
      </c>
      <c r="E131" t="s">
        <v>6</v>
      </c>
      <c r="G131" t="s">
        <v>607</v>
      </c>
      <c r="H131" t="s">
        <v>5</v>
      </c>
      <c r="I131">
        <v>9.2395029740679369E-2</v>
      </c>
      <c r="J131" t="s">
        <v>6</v>
      </c>
      <c r="L131" t="s">
        <v>608</v>
      </c>
      <c r="M131" t="s">
        <v>5</v>
      </c>
      <c r="N131">
        <v>0.10410625417152768</v>
      </c>
      <c r="O131" t="s">
        <v>6</v>
      </c>
    </row>
    <row r="132" spans="2:15" x14ac:dyDescent="0.45">
      <c r="B132" t="s">
        <v>606</v>
      </c>
      <c r="C132" t="s">
        <v>9</v>
      </c>
      <c r="D132">
        <v>0.20461792996122757</v>
      </c>
      <c r="E132" t="s">
        <v>6</v>
      </c>
      <c r="G132" t="s">
        <v>607</v>
      </c>
      <c r="H132" t="s">
        <v>9</v>
      </c>
      <c r="I132">
        <v>0.1281421036291005</v>
      </c>
      <c r="J132" t="s">
        <v>6</v>
      </c>
      <c r="L132" t="s">
        <v>608</v>
      </c>
      <c r="M132" t="s">
        <v>9</v>
      </c>
      <c r="N132">
        <v>0.13185362562661046</v>
      </c>
      <c r="O132" t="s">
        <v>6</v>
      </c>
    </row>
    <row r="133" spans="2:15" x14ac:dyDescent="0.45">
      <c r="B133" t="s">
        <v>606</v>
      </c>
      <c r="C133" t="s">
        <v>10</v>
      </c>
      <c r="D133">
        <v>1.2802527398806146E-3</v>
      </c>
      <c r="E133" t="s">
        <v>6</v>
      </c>
      <c r="G133" t="s">
        <v>607</v>
      </c>
      <c r="H133" t="s">
        <v>10</v>
      </c>
      <c r="I133">
        <v>7.455995665350329E-2</v>
      </c>
      <c r="J133" t="s">
        <v>6</v>
      </c>
      <c r="L133" t="s">
        <v>608</v>
      </c>
      <c r="M133" t="s">
        <v>10</v>
      </c>
      <c r="N133">
        <v>8.1282140413258569E-2</v>
      </c>
      <c r="O133" t="s">
        <v>6</v>
      </c>
    </row>
    <row r="134" spans="2:15" x14ac:dyDescent="0.45">
      <c r="B134" t="s">
        <v>606</v>
      </c>
      <c r="C134" t="s">
        <v>11</v>
      </c>
      <c r="D134">
        <v>2.120230626470813E-3</v>
      </c>
      <c r="E134" t="s">
        <v>6</v>
      </c>
      <c r="G134" t="s">
        <v>607</v>
      </c>
      <c r="H134" t="s">
        <v>11</v>
      </c>
      <c r="I134">
        <v>0.11828067565251429</v>
      </c>
      <c r="J134" t="s">
        <v>6</v>
      </c>
      <c r="L134" t="s">
        <v>608</v>
      </c>
      <c r="M134" t="s">
        <v>11</v>
      </c>
      <c r="N134">
        <v>0.1367005390968207</v>
      </c>
      <c r="O134" t="s">
        <v>6</v>
      </c>
    </row>
    <row r="135" spans="2:15" x14ac:dyDescent="0.45">
      <c r="B135" t="s">
        <v>606</v>
      </c>
      <c r="C135" t="s">
        <v>12</v>
      </c>
      <c r="D135">
        <v>0.28119877017997152</v>
      </c>
      <c r="E135" t="s">
        <v>6</v>
      </c>
      <c r="G135" t="s">
        <v>607</v>
      </c>
      <c r="H135" t="s">
        <v>12</v>
      </c>
      <c r="I135">
        <v>0.16901577414346936</v>
      </c>
      <c r="J135" t="s">
        <v>6</v>
      </c>
      <c r="L135" t="s">
        <v>608</v>
      </c>
      <c r="M135" t="s">
        <v>12</v>
      </c>
      <c r="N135">
        <v>0.16195766021838162</v>
      </c>
      <c r="O135" t="s">
        <v>6</v>
      </c>
    </row>
    <row r="136" spans="2:15" x14ac:dyDescent="0.45">
      <c r="B136" t="s">
        <v>606</v>
      </c>
      <c r="C136" t="s">
        <v>13</v>
      </c>
      <c r="D136">
        <v>1.1834850720367553E-2</v>
      </c>
      <c r="E136" t="s">
        <v>6</v>
      </c>
      <c r="G136" t="s">
        <v>607</v>
      </c>
      <c r="H136" t="s">
        <v>13</v>
      </c>
      <c r="I136">
        <v>9.69837683809157E-2</v>
      </c>
      <c r="J136" t="s">
        <v>6</v>
      </c>
      <c r="L136" t="s">
        <v>608</v>
      </c>
      <c r="M136" t="s">
        <v>13</v>
      </c>
      <c r="N136">
        <v>0.10503005864025323</v>
      </c>
      <c r="O136" t="s">
        <v>6</v>
      </c>
    </row>
    <row r="137" spans="2:15" x14ac:dyDescent="0.45">
      <c r="B137" t="s">
        <v>606</v>
      </c>
      <c r="C137" t="s">
        <v>14</v>
      </c>
      <c r="D137">
        <v>3.7221051813868425E-3</v>
      </c>
      <c r="E137" t="s">
        <v>6</v>
      </c>
      <c r="G137" t="s">
        <v>607</v>
      </c>
      <c r="H137" t="s">
        <v>14</v>
      </c>
      <c r="I137">
        <v>1.9915706462645847E-2</v>
      </c>
      <c r="J137" t="s">
        <v>6</v>
      </c>
      <c r="L137" t="s">
        <v>608</v>
      </c>
      <c r="M137" t="s">
        <v>14</v>
      </c>
      <c r="N137">
        <v>2.4170376530989059E-2</v>
      </c>
      <c r="O137" t="s">
        <v>6</v>
      </c>
    </row>
    <row r="138" spans="2:15" x14ac:dyDescent="0.45">
      <c r="B138" t="s">
        <v>606</v>
      </c>
      <c r="C138" t="s">
        <v>15</v>
      </c>
      <c r="D138">
        <v>0.28106339276713144</v>
      </c>
      <c r="E138" t="s">
        <v>6</v>
      </c>
      <c r="G138" t="s">
        <v>607</v>
      </c>
      <c r="H138" t="s">
        <v>15</v>
      </c>
      <c r="I138">
        <v>5.3129328884641468E-2</v>
      </c>
      <c r="J138" t="s">
        <v>6</v>
      </c>
      <c r="L138" t="s">
        <v>608</v>
      </c>
      <c r="M138" t="s">
        <v>15</v>
      </c>
      <c r="N138">
        <v>3.741034395120179E-2</v>
      </c>
      <c r="O138" t="s">
        <v>6</v>
      </c>
    </row>
    <row r="139" spans="2:15" x14ac:dyDescent="0.45">
      <c r="B139" t="s">
        <v>606</v>
      </c>
      <c r="C139" t="s">
        <v>16</v>
      </c>
      <c r="D139">
        <v>1.5657331057541718E-2</v>
      </c>
      <c r="E139" t="s">
        <v>6</v>
      </c>
      <c r="G139" t="s">
        <v>607</v>
      </c>
      <c r="H139" t="s">
        <v>16</v>
      </c>
      <c r="I139">
        <v>2.9764893384548175E-2</v>
      </c>
      <c r="J139" t="s">
        <v>6</v>
      </c>
      <c r="L139" t="s">
        <v>608</v>
      </c>
      <c r="M139" t="s">
        <v>16</v>
      </c>
      <c r="N139">
        <v>2.4548132484797643E-2</v>
      </c>
      <c r="O139" t="s">
        <v>6</v>
      </c>
    </row>
    <row r="140" spans="2:15" x14ac:dyDescent="0.45">
      <c r="B140" t="s">
        <v>606</v>
      </c>
      <c r="C140" t="s">
        <v>17</v>
      </c>
      <c r="D140">
        <v>1.297916077513496E-4</v>
      </c>
      <c r="E140" t="s">
        <v>6</v>
      </c>
      <c r="G140" t="s">
        <v>607</v>
      </c>
      <c r="H140" t="s">
        <v>17</v>
      </c>
      <c r="I140">
        <v>7.0697231379833178E-2</v>
      </c>
      <c r="J140" t="s">
        <v>6</v>
      </c>
      <c r="L140" t="s">
        <v>608</v>
      </c>
      <c r="M140" t="s">
        <v>17</v>
      </c>
      <c r="N140">
        <v>6.1701351179396666E-2</v>
      </c>
      <c r="O140" t="s">
        <v>6</v>
      </c>
    </row>
    <row r="141" spans="2:15" x14ac:dyDescent="0.45">
      <c r="B141" t="s">
        <v>606</v>
      </c>
      <c r="C141" t="s">
        <v>18</v>
      </c>
      <c r="D141">
        <v>0.19603862202249131</v>
      </c>
      <c r="E141" t="s">
        <v>6</v>
      </c>
      <c r="G141" t="s">
        <v>607</v>
      </c>
      <c r="H141" t="s">
        <v>18</v>
      </c>
      <c r="I141">
        <v>8.9408286791074792E-2</v>
      </c>
      <c r="J141" t="s">
        <v>6</v>
      </c>
      <c r="L141" t="s">
        <v>608</v>
      </c>
      <c r="M141" t="s">
        <v>18</v>
      </c>
      <c r="N141">
        <v>8.2909757296289688E-2</v>
      </c>
      <c r="O141" t="s">
        <v>6</v>
      </c>
    </row>
    <row r="142" spans="2:15" x14ac:dyDescent="0.45">
      <c r="B142" t="s">
        <v>606</v>
      </c>
      <c r="C142" t="s">
        <v>19</v>
      </c>
      <c r="D142">
        <v>2.3367231357812553E-3</v>
      </c>
      <c r="E142" t="s">
        <v>6</v>
      </c>
      <c r="G142" t="s">
        <v>607</v>
      </c>
      <c r="H142" t="s">
        <v>19</v>
      </c>
      <c r="I142">
        <v>5.7707244897072629E-2</v>
      </c>
      <c r="J142" t="s">
        <v>6</v>
      </c>
      <c r="L142" t="s">
        <v>608</v>
      </c>
      <c r="M142" t="s">
        <v>19</v>
      </c>
      <c r="N142">
        <v>4.832976039046994E-2</v>
      </c>
      <c r="O142" t="s">
        <v>6</v>
      </c>
    </row>
    <row r="143" spans="2:15" x14ac:dyDescent="0.45">
      <c r="B143" t="s">
        <v>609</v>
      </c>
      <c r="C143" t="s">
        <v>5</v>
      </c>
      <c r="D143">
        <v>0</v>
      </c>
      <c r="E143" t="s">
        <v>6</v>
      </c>
      <c r="G143" t="s">
        <v>610</v>
      </c>
      <c r="H143" t="s">
        <v>5</v>
      </c>
      <c r="I143">
        <v>0.10130437260972595</v>
      </c>
      <c r="J143" t="s">
        <v>6</v>
      </c>
      <c r="L143" t="s">
        <v>611</v>
      </c>
      <c r="M143" t="s">
        <v>5</v>
      </c>
      <c r="N143">
        <v>8.192078982313851E-2</v>
      </c>
      <c r="O143" t="s">
        <v>6</v>
      </c>
    </row>
    <row r="144" spans="2:15" x14ac:dyDescent="0.45">
      <c r="B144" t="s">
        <v>609</v>
      </c>
      <c r="C144" t="s">
        <v>9</v>
      </c>
      <c r="D144">
        <v>0.19010360935290455</v>
      </c>
      <c r="E144" t="s">
        <v>6</v>
      </c>
      <c r="G144" t="s">
        <v>610</v>
      </c>
      <c r="H144" t="s">
        <v>9</v>
      </c>
      <c r="I144">
        <v>0.13020986354835959</v>
      </c>
      <c r="J144" t="s">
        <v>6</v>
      </c>
      <c r="L144" t="s">
        <v>611</v>
      </c>
      <c r="M144" t="s">
        <v>9</v>
      </c>
      <c r="N144">
        <v>0.11763294901780301</v>
      </c>
      <c r="O144" t="s">
        <v>6</v>
      </c>
    </row>
    <row r="145" spans="2:15" x14ac:dyDescent="0.45">
      <c r="B145" t="s">
        <v>609</v>
      </c>
      <c r="C145" t="s">
        <v>10</v>
      </c>
      <c r="D145">
        <v>8.4130860407294436E-4</v>
      </c>
      <c r="E145" t="s">
        <v>6</v>
      </c>
      <c r="G145" t="s">
        <v>610</v>
      </c>
      <c r="H145" t="s">
        <v>10</v>
      </c>
      <c r="I145">
        <v>7.4684923868206216E-2</v>
      </c>
      <c r="J145" t="s">
        <v>6</v>
      </c>
      <c r="L145" t="s">
        <v>611</v>
      </c>
      <c r="M145" t="s">
        <v>10</v>
      </c>
      <c r="N145">
        <v>7.1069359482008487E-2</v>
      </c>
      <c r="O145" t="s">
        <v>6</v>
      </c>
    </row>
    <row r="146" spans="2:15" x14ac:dyDescent="0.45">
      <c r="B146" t="s">
        <v>609</v>
      </c>
      <c r="C146" t="s">
        <v>11</v>
      </c>
      <c r="D146">
        <v>2.3696404053003052E-3</v>
      </c>
      <c r="E146" t="s">
        <v>6</v>
      </c>
      <c r="G146" t="s">
        <v>610</v>
      </c>
      <c r="H146" t="s">
        <v>11</v>
      </c>
      <c r="I146">
        <v>8.7676983209795556E-2</v>
      </c>
      <c r="J146" t="s">
        <v>6</v>
      </c>
      <c r="L146" t="s">
        <v>611</v>
      </c>
      <c r="M146" t="s">
        <v>11</v>
      </c>
      <c r="N146">
        <v>0.11968791397451131</v>
      </c>
      <c r="O146" t="s">
        <v>6</v>
      </c>
    </row>
    <row r="147" spans="2:15" x14ac:dyDescent="0.45">
      <c r="B147" t="s">
        <v>609</v>
      </c>
      <c r="C147" t="s">
        <v>12</v>
      </c>
      <c r="D147">
        <v>0.25912371305362242</v>
      </c>
      <c r="E147" t="s">
        <v>6</v>
      </c>
      <c r="G147" t="s">
        <v>610</v>
      </c>
      <c r="H147" t="s">
        <v>12</v>
      </c>
      <c r="I147">
        <v>0.13659568434113481</v>
      </c>
      <c r="J147" t="s">
        <v>6</v>
      </c>
      <c r="L147" t="s">
        <v>611</v>
      </c>
      <c r="M147" t="s">
        <v>12</v>
      </c>
      <c r="N147">
        <v>0.1634657973903603</v>
      </c>
      <c r="O147" t="s">
        <v>6</v>
      </c>
    </row>
    <row r="148" spans="2:15" x14ac:dyDescent="0.45">
      <c r="B148" t="s">
        <v>609</v>
      </c>
      <c r="C148" t="s">
        <v>13</v>
      </c>
      <c r="D148">
        <v>9.0160056814441031E-3</v>
      </c>
      <c r="E148" t="s">
        <v>6</v>
      </c>
      <c r="G148" t="s">
        <v>610</v>
      </c>
      <c r="H148" t="s">
        <v>13</v>
      </c>
      <c r="I148">
        <v>7.5033556973231261E-2</v>
      </c>
      <c r="J148" t="s">
        <v>6</v>
      </c>
      <c r="L148" t="s">
        <v>611</v>
      </c>
      <c r="M148" t="s">
        <v>13</v>
      </c>
      <c r="N148">
        <v>0.10254459494088612</v>
      </c>
      <c r="O148" t="s">
        <v>6</v>
      </c>
    </row>
    <row r="149" spans="2:15" x14ac:dyDescent="0.45">
      <c r="B149" t="s">
        <v>609</v>
      </c>
      <c r="C149" t="s">
        <v>14</v>
      </c>
      <c r="D149">
        <v>5.1154304711943707E-3</v>
      </c>
      <c r="E149" t="s">
        <v>6</v>
      </c>
      <c r="G149" t="s">
        <v>610</v>
      </c>
      <c r="H149" t="s">
        <v>14</v>
      </c>
      <c r="I149">
        <v>5.1904814362966671E-2</v>
      </c>
      <c r="J149" t="s">
        <v>6</v>
      </c>
      <c r="L149" t="s">
        <v>611</v>
      </c>
      <c r="M149" t="s">
        <v>14</v>
      </c>
      <c r="N149">
        <v>2.6288085500929627E-2</v>
      </c>
      <c r="O149" t="s">
        <v>6</v>
      </c>
    </row>
    <row r="150" spans="2:15" x14ac:dyDescent="0.45">
      <c r="B150" t="s">
        <v>609</v>
      </c>
      <c r="C150" t="s">
        <v>15</v>
      </c>
      <c r="D150">
        <v>0.32404349675867739</v>
      </c>
      <c r="E150" t="s">
        <v>6</v>
      </c>
      <c r="G150" t="s">
        <v>610</v>
      </c>
      <c r="H150" t="s">
        <v>15</v>
      </c>
      <c r="I150">
        <v>8.0904318181865331E-2</v>
      </c>
      <c r="J150" t="s">
        <v>6</v>
      </c>
      <c r="L150" t="s">
        <v>611</v>
      </c>
      <c r="M150" t="s">
        <v>15</v>
      </c>
      <c r="N150">
        <v>4.8114058237408684E-2</v>
      </c>
      <c r="O150" t="s">
        <v>6</v>
      </c>
    </row>
    <row r="151" spans="2:15" x14ac:dyDescent="0.45">
      <c r="B151" t="s">
        <v>609</v>
      </c>
      <c r="C151" t="s">
        <v>16</v>
      </c>
      <c r="D151">
        <v>1.5812084736667099E-2</v>
      </c>
      <c r="E151" t="s">
        <v>6</v>
      </c>
      <c r="G151" t="s">
        <v>610</v>
      </c>
      <c r="H151" t="s">
        <v>16</v>
      </c>
      <c r="I151">
        <v>3.6715121478197707E-2</v>
      </c>
      <c r="J151" t="s">
        <v>6</v>
      </c>
      <c r="L151" t="s">
        <v>611</v>
      </c>
      <c r="M151" t="s">
        <v>16</v>
      </c>
      <c r="N151">
        <v>3.418556205834463E-2</v>
      </c>
      <c r="O151" t="s">
        <v>6</v>
      </c>
    </row>
    <row r="152" spans="2:15" x14ac:dyDescent="0.45">
      <c r="B152" t="s">
        <v>609</v>
      </c>
      <c r="C152" t="s">
        <v>17</v>
      </c>
      <c r="D152">
        <v>3.157277173806382E-4</v>
      </c>
      <c r="E152" t="s">
        <v>6</v>
      </c>
      <c r="G152" t="s">
        <v>610</v>
      </c>
      <c r="H152" t="s">
        <v>17</v>
      </c>
      <c r="I152">
        <v>6.8490693510479053E-2</v>
      </c>
      <c r="J152" t="s">
        <v>6</v>
      </c>
      <c r="L152" t="s">
        <v>611</v>
      </c>
      <c r="M152" t="s">
        <v>17</v>
      </c>
      <c r="N152">
        <v>7.2751487902125073E-2</v>
      </c>
      <c r="O152" t="s">
        <v>6</v>
      </c>
    </row>
    <row r="153" spans="2:15" x14ac:dyDescent="0.45">
      <c r="B153" t="s">
        <v>609</v>
      </c>
      <c r="C153" t="s">
        <v>18</v>
      </c>
      <c r="D153">
        <v>0.19119407888879986</v>
      </c>
      <c r="E153" t="s">
        <v>6</v>
      </c>
      <c r="G153" t="s">
        <v>610</v>
      </c>
      <c r="H153" t="s">
        <v>18</v>
      </c>
      <c r="I153">
        <v>0.10004041118452416</v>
      </c>
      <c r="J153" t="s">
        <v>6</v>
      </c>
      <c r="L153" t="s">
        <v>611</v>
      </c>
      <c r="M153" t="s">
        <v>18</v>
      </c>
      <c r="N153">
        <v>9.9684263787018751E-2</v>
      </c>
      <c r="O153" t="s">
        <v>6</v>
      </c>
    </row>
    <row r="154" spans="2:15" x14ac:dyDescent="0.45">
      <c r="B154" t="s">
        <v>609</v>
      </c>
      <c r="C154" t="s">
        <v>19</v>
      </c>
      <c r="D154">
        <v>2.0649043299393278E-3</v>
      </c>
      <c r="E154" t="s">
        <v>6</v>
      </c>
      <c r="G154" t="s">
        <v>610</v>
      </c>
      <c r="H154" t="s">
        <v>19</v>
      </c>
      <c r="I154">
        <v>5.6439256731513746E-2</v>
      </c>
      <c r="J154" t="s">
        <v>6</v>
      </c>
      <c r="L154" t="s">
        <v>611</v>
      </c>
      <c r="M154" t="s">
        <v>19</v>
      </c>
      <c r="N154">
        <v>6.2655137885469281E-2</v>
      </c>
      <c r="O154" t="s">
        <v>6</v>
      </c>
    </row>
    <row r="155" spans="2:15" x14ac:dyDescent="0.45">
      <c r="B155" t="s">
        <v>612</v>
      </c>
      <c r="C155" t="s">
        <v>5</v>
      </c>
      <c r="D155">
        <v>0</v>
      </c>
      <c r="E155" t="s">
        <v>6</v>
      </c>
      <c r="G155" t="s">
        <v>613</v>
      </c>
      <c r="H155" t="s">
        <v>5</v>
      </c>
      <c r="I155">
        <v>9.5125294978188835E-2</v>
      </c>
      <c r="J155" t="s">
        <v>6</v>
      </c>
      <c r="L155" t="s">
        <v>614</v>
      </c>
      <c r="M155" t="s">
        <v>5</v>
      </c>
      <c r="N155">
        <v>9.631697845381279E-2</v>
      </c>
      <c r="O155" t="s">
        <v>6</v>
      </c>
    </row>
    <row r="156" spans="2:15" x14ac:dyDescent="0.45">
      <c r="B156" t="s">
        <v>612</v>
      </c>
      <c r="C156" t="s">
        <v>9</v>
      </c>
      <c r="D156">
        <v>0.17300852994695273</v>
      </c>
      <c r="E156" t="s">
        <v>6</v>
      </c>
      <c r="G156" t="s">
        <v>613</v>
      </c>
      <c r="H156" t="s">
        <v>9</v>
      </c>
      <c r="I156">
        <v>0.12719802235955491</v>
      </c>
      <c r="J156" t="s">
        <v>6</v>
      </c>
      <c r="L156" t="s">
        <v>614</v>
      </c>
      <c r="M156" t="s">
        <v>9</v>
      </c>
      <c r="N156">
        <v>0.12442294230072413</v>
      </c>
      <c r="O156" t="s">
        <v>6</v>
      </c>
    </row>
    <row r="157" spans="2:15" x14ac:dyDescent="0.45">
      <c r="B157" t="s">
        <v>612</v>
      </c>
      <c r="C157" t="s">
        <v>10</v>
      </c>
      <c r="D157">
        <v>7.8403472098374414E-4</v>
      </c>
      <c r="E157" t="s">
        <v>6</v>
      </c>
      <c r="G157" t="s">
        <v>613</v>
      </c>
      <c r="H157" t="s">
        <v>10</v>
      </c>
      <c r="I157">
        <v>6.9892440558327551E-2</v>
      </c>
      <c r="J157" t="s">
        <v>6</v>
      </c>
      <c r="L157" t="s">
        <v>614</v>
      </c>
      <c r="M157" t="s">
        <v>10</v>
      </c>
      <c r="N157">
        <v>7.602044725295666E-2</v>
      </c>
      <c r="O157" t="s">
        <v>6</v>
      </c>
    </row>
    <row r="158" spans="2:15" x14ac:dyDescent="0.45">
      <c r="B158" t="s">
        <v>612</v>
      </c>
      <c r="C158" t="s">
        <v>11</v>
      </c>
      <c r="D158">
        <v>2.377535195442558E-3</v>
      </c>
      <c r="E158" t="s">
        <v>6</v>
      </c>
      <c r="G158" t="s">
        <v>613</v>
      </c>
      <c r="H158" t="s">
        <v>11</v>
      </c>
      <c r="I158">
        <v>8.800156070713977E-2</v>
      </c>
      <c r="J158" t="s">
        <v>6</v>
      </c>
      <c r="L158" t="s">
        <v>614</v>
      </c>
      <c r="M158" t="s">
        <v>11</v>
      </c>
      <c r="N158">
        <v>0.12568578777386599</v>
      </c>
      <c r="O158" t="s">
        <v>6</v>
      </c>
    </row>
    <row r="159" spans="2:15" x14ac:dyDescent="0.45">
      <c r="B159" t="s">
        <v>612</v>
      </c>
      <c r="C159" t="s">
        <v>12</v>
      </c>
      <c r="D159">
        <v>0.2569184792814222</v>
      </c>
      <c r="E159" t="s">
        <v>6</v>
      </c>
      <c r="G159" t="s">
        <v>613</v>
      </c>
      <c r="H159" t="s">
        <v>12</v>
      </c>
      <c r="I159">
        <v>0.17818483361175178</v>
      </c>
      <c r="J159" t="s">
        <v>6</v>
      </c>
      <c r="L159" t="s">
        <v>614</v>
      </c>
      <c r="M159" t="s">
        <v>12</v>
      </c>
      <c r="N159">
        <v>0.15596756217604679</v>
      </c>
      <c r="O159" t="s">
        <v>6</v>
      </c>
    </row>
    <row r="160" spans="2:15" x14ac:dyDescent="0.45">
      <c r="B160" t="s">
        <v>612</v>
      </c>
      <c r="C160" t="s">
        <v>13</v>
      </c>
      <c r="D160">
        <v>8.8013807959573722E-3</v>
      </c>
      <c r="E160" t="s">
        <v>6</v>
      </c>
      <c r="G160" t="s">
        <v>613</v>
      </c>
      <c r="H160" t="s">
        <v>13</v>
      </c>
      <c r="I160">
        <v>7.8119376425271683E-2</v>
      </c>
      <c r="J160" t="s">
        <v>6</v>
      </c>
      <c r="L160" t="s">
        <v>614</v>
      </c>
      <c r="M160" t="s">
        <v>13</v>
      </c>
      <c r="N160">
        <v>0.10635421096499358</v>
      </c>
      <c r="O160" t="s">
        <v>6</v>
      </c>
    </row>
    <row r="161" spans="2:15" x14ac:dyDescent="0.45">
      <c r="B161" t="s">
        <v>612</v>
      </c>
      <c r="C161" t="s">
        <v>14</v>
      </c>
      <c r="D161">
        <v>5.0906259363433133E-3</v>
      </c>
      <c r="E161" t="s">
        <v>6</v>
      </c>
      <c r="G161" t="s">
        <v>613</v>
      </c>
      <c r="H161" t="s">
        <v>14</v>
      </c>
      <c r="I161">
        <v>3.7169468370635846E-2</v>
      </c>
      <c r="J161" t="s">
        <v>6</v>
      </c>
      <c r="L161" t="s">
        <v>614</v>
      </c>
      <c r="M161" t="s">
        <v>14</v>
      </c>
      <c r="N161">
        <v>2.145528434806172E-2</v>
      </c>
      <c r="O161" t="s">
        <v>6</v>
      </c>
    </row>
    <row r="162" spans="2:15" x14ac:dyDescent="0.45">
      <c r="B162" t="s">
        <v>612</v>
      </c>
      <c r="C162" t="s">
        <v>15</v>
      </c>
      <c r="D162">
        <v>0.34090007393078747</v>
      </c>
      <c r="E162" t="s">
        <v>6</v>
      </c>
      <c r="G162" t="s">
        <v>613</v>
      </c>
      <c r="H162" t="s">
        <v>15</v>
      </c>
      <c r="I162">
        <v>6.9298287804341954E-2</v>
      </c>
      <c r="J162" t="s">
        <v>6</v>
      </c>
      <c r="L162" t="s">
        <v>614</v>
      </c>
      <c r="M162" t="s">
        <v>15</v>
      </c>
      <c r="N162">
        <v>3.9250049307562138E-2</v>
      </c>
      <c r="O162" t="s">
        <v>6</v>
      </c>
    </row>
    <row r="163" spans="2:15" x14ac:dyDescent="0.45">
      <c r="B163" t="s">
        <v>612</v>
      </c>
      <c r="C163" t="s">
        <v>16</v>
      </c>
      <c r="D163">
        <v>1.6343100118122764E-2</v>
      </c>
      <c r="E163" t="s">
        <v>6</v>
      </c>
      <c r="G163" t="s">
        <v>613</v>
      </c>
      <c r="H163" t="s">
        <v>16</v>
      </c>
      <c r="I163">
        <v>3.2248576914356959E-2</v>
      </c>
      <c r="J163" t="s">
        <v>6</v>
      </c>
      <c r="L163" t="s">
        <v>614</v>
      </c>
      <c r="M163" t="s">
        <v>16</v>
      </c>
      <c r="N163">
        <v>3.4218291354961669E-2</v>
      </c>
      <c r="O163" t="s">
        <v>6</v>
      </c>
    </row>
    <row r="164" spans="2:15" x14ac:dyDescent="0.45">
      <c r="B164" t="s">
        <v>612</v>
      </c>
      <c r="C164" t="s">
        <v>17</v>
      </c>
      <c r="D164">
        <v>3.4780644222065461E-4</v>
      </c>
      <c r="E164" t="s">
        <v>6</v>
      </c>
      <c r="G164" t="s">
        <v>613</v>
      </c>
      <c r="H164" t="s">
        <v>17</v>
      </c>
      <c r="I164">
        <v>6.664769939328441E-2</v>
      </c>
      <c r="J164" t="s">
        <v>6</v>
      </c>
      <c r="L164" t="s">
        <v>614</v>
      </c>
      <c r="M164" t="s">
        <v>17</v>
      </c>
      <c r="N164">
        <v>7.3760356216806877E-2</v>
      </c>
      <c r="O164" t="s">
        <v>6</v>
      </c>
    </row>
    <row r="165" spans="2:15" x14ac:dyDescent="0.45">
      <c r="B165" t="s">
        <v>612</v>
      </c>
      <c r="C165" t="s">
        <v>18</v>
      </c>
      <c r="D165">
        <v>0.19325276958604037</v>
      </c>
      <c r="E165" t="s">
        <v>6</v>
      </c>
      <c r="G165" t="s">
        <v>613</v>
      </c>
      <c r="H165" t="s">
        <v>18</v>
      </c>
      <c r="I165">
        <v>0.10455122006682516</v>
      </c>
      <c r="J165" t="s">
        <v>6</v>
      </c>
      <c r="L165" t="s">
        <v>614</v>
      </c>
      <c r="M165" t="s">
        <v>18</v>
      </c>
      <c r="N165">
        <v>8.4602582783770794E-2</v>
      </c>
      <c r="O165" t="s">
        <v>6</v>
      </c>
    </row>
    <row r="166" spans="2:15" x14ac:dyDescent="0.45">
      <c r="B166" t="s">
        <v>612</v>
      </c>
      <c r="C166" t="s">
        <v>19</v>
      </c>
      <c r="D166">
        <v>2.1756640457279526E-3</v>
      </c>
      <c r="E166" t="s">
        <v>6</v>
      </c>
      <c r="G166" t="s">
        <v>613</v>
      </c>
      <c r="H166" t="s">
        <v>19</v>
      </c>
      <c r="I166">
        <v>5.3563218810322347E-2</v>
      </c>
      <c r="J166" t="s">
        <v>6</v>
      </c>
      <c r="L166" t="s">
        <v>614</v>
      </c>
      <c r="M166" t="s">
        <v>19</v>
      </c>
      <c r="N166">
        <v>6.1945507066430677E-2</v>
      </c>
      <c r="O166" t="s">
        <v>6</v>
      </c>
    </row>
    <row r="167" spans="2:15" x14ac:dyDescent="0.45">
      <c r="B167" t="s">
        <v>615</v>
      </c>
      <c r="C167" t="s">
        <v>5</v>
      </c>
      <c r="D167">
        <v>0</v>
      </c>
      <c r="E167" t="s">
        <v>6</v>
      </c>
      <c r="G167" t="s">
        <v>616</v>
      </c>
      <c r="H167" t="s">
        <v>5</v>
      </c>
      <c r="I167">
        <v>9.2089688513708107E-2</v>
      </c>
      <c r="J167" t="s">
        <v>6</v>
      </c>
      <c r="L167" t="s">
        <v>617</v>
      </c>
      <c r="M167" t="s">
        <v>5</v>
      </c>
      <c r="N167">
        <v>0.10724533520385064</v>
      </c>
      <c r="O167" t="s">
        <v>6</v>
      </c>
    </row>
    <row r="168" spans="2:15" x14ac:dyDescent="0.45">
      <c r="B168" t="s">
        <v>615</v>
      </c>
      <c r="C168" t="s">
        <v>9</v>
      </c>
      <c r="D168">
        <v>0.19659150650979321</v>
      </c>
      <c r="E168" t="s">
        <v>6</v>
      </c>
      <c r="G168" t="s">
        <v>616</v>
      </c>
      <c r="H168" t="s">
        <v>9</v>
      </c>
      <c r="I168">
        <v>0.12553297847791781</v>
      </c>
      <c r="J168" t="s">
        <v>6</v>
      </c>
      <c r="L168" t="s">
        <v>617</v>
      </c>
      <c r="M168" t="s">
        <v>9</v>
      </c>
      <c r="N168">
        <v>0.13948690341035036</v>
      </c>
      <c r="O168" t="s">
        <v>6</v>
      </c>
    </row>
    <row r="169" spans="2:15" x14ac:dyDescent="0.45">
      <c r="B169" t="s">
        <v>615</v>
      </c>
      <c r="C169" t="s">
        <v>10</v>
      </c>
      <c r="D169">
        <v>1.0678066134938524E-3</v>
      </c>
      <c r="E169" t="s">
        <v>6</v>
      </c>
      <c r="G169" t="s">
        <v>616</v>
      </c>
      <c r="H169" t="s">
        <v>10</v>
      </c>
      <c r="I169">
        <v>7.3039759253575712E-2</v>
      </c>
      <c r="J169" t="s">
        <v>6</v>
      </c>
      <c r="L169" t="s">
        <v>617</v>
      </c>
      <c r="M169" t="s">
        <v>10</v>
      </c>
      <c r="N169">
        <v>8.8348108698449251E-2</v>
      </c>
      <c r="O169" t="s">
        <v>6</v>
      </c>
    </row>
    <row r="170" spans="2:15" x14ac:dyDescent="0.45">
      <c r="B170" t="s">
        <v>615</v>
      </c>
      <c r="C170" t="s">
        <v>11</v>
      </c>
      <c r="D170">
        <v>1.9144509318750279E-3</v>
      </c>
      <c r="E170" t="s">
        <v>6</v>
      </c>
      <c r="G170" t="s">
        <v>616</v>
      </c>
      <c r="H170" t="s">
        <v>11</v>
      </c>
      <c r="I170">
        <v>0.1067209996216156</v>
      </c>
      <c r="J170" t="s">
        <v>6</v>
      </c>
      <c r="L170" t="s">
        <v>617</v>
      </c>
      <c r="M170" t="s">
        <v>11</v>
      </c>
      <c r="N170">
        <v>0.11459054927893268</v>
      </c>
      <c r="O170" t="s">
        <v>6</v>
      </c>
    </row>
    <row r="171" spans="2:15" x14ac:dyDescent="0.45">
      <c r="B171" t="s">
        <v>615</v>
      </c>
      <c r="C171" t="s">
        <v>12</v>
      </c>
      <c r="D171">
        <v>0.25541183301391995</v>
      </c>
      <c r="E171" t="s">
        <v>6</v>
      </c>
      <c r="G171" t="s">
        <v>616</v>
      </c>
      <c r="H171" t="s">
        <v>12</v>
      </c>
      <c r="I171">
        <v>0.14774876833236414</v>
      </c>
      <c r="J171" t="s">
        <v>6</v>
      </c>
      <c r="L171" t="s">
        <v>617</v>
      </c>
      <c r="M171" t="s">
        <v>12</v>
      </c>
      <c r="N171">
        <v>0.15672015047827012</v>
      </c>
      <c r="O171" t="s">
        <v>6</v>
      </c>
    </row>
    <row r="172" spans="2:15" x14ac:dyDescent="0.45">
      <c r="B172" t="s">
        <v>615</v>
      </c>
      <c r="C172" t="s">
        <v>13</v>
      </c>
      <c r="D172">
        <v>9.781834271507913E-3</v>
      </c>
      <c r="E172" t="s">
        <v>6</v>
      </c>
      <c r="G172" t="s">
        <v>616</v>
      </c>
      <c r="H172" t="s">
        <v>13</v>
      </c>
      <c r="I172">
        <v>8.514895677366327E-2</v>
      </c>
      <c r="J172" t="s">
        <v>6</v>
      </c>
      <c r="L172" t="s">
        <v>617</v>
      </c>
      <c r="M172" t="s">
        <v>13</v>
      </c>
      <c r="N172">
        <v>9.0433944342899711E-2</v>
      </c>
      <c r="O172" t="s">
        <v>6</v>
      </c>
    </row>
    <row r="173" spans="2:15" x14ac:dyDescent="0.45">
      <c r="B173" t="s">
        <v>615</v>
      </c>
      <c r="C173" t="s">
        <v>14</v>
      </c>
      <c r="D173">
        <v>4.1599022522678022E-3</v>
      </c>
      <c r="E173" t="s">
        <v>6</v>
      </c>
      <c r="G173" t="s">
        <v>616</v>
      </c>
      <c r="H173" t="s">
        <v>14</v>
      </c>
      <c r="I173">
        <v>3.2568008574837534E-2</v>
      </c>
      <c r="J173" t="s">
        <v>6</v>
      </c>
      <c r="L173" t="s">
        <v>617</v>
      </c>
      <c r="M173" t="s">
        <v>14</v>
      </c>
      <c r="N173">
        <v>3.5890717224811214E-2</v>
      </c>
      <c r="O173" t="s">
        <v>6</v>
      </c>
    </row>
    <row r="174" spans="2:15" x14ac:dyDescent="0.45">
      <c r="B174" t="s">
        <v>615</v>
      </c>
      <c r="C174" t="s">
        <v>15</v>
      </c>
      <c r="D174">
        <v>0.32263261596884274</v>
      </c>
      <c r="E174" t="s">
        <v>6</v>
      </c>
      <c r="G174" t="s">
        <v>616</v>
      </c>
      <c r="H174" t="s">
        <v>15</v>
      </c>
      <c r="I174">
        <v>5.5254100090077793E-2</v>
      </c>
      <c r="J174" t="s">
        <v>6</v>
      </c>
      <c r="L174" t="s">
        <v>617</v>
      </c>
      <c r="M174" t="s">
        <v>15</v>
      </c>
      <c r="N174">
        <v>5.1155337121366259E-2</v>
      </c>
      <c r="O174" t="s">
        <v>6</v>
      </c>
    </row>
    <row r="175" spans="2:15" x14ac:dyDescent="0.45">
      <c r="B175" t="s">
        <v>615</v>
      </c>
      <c r="C175" t="s">
        <v>16</v>
      </c>
      <c r="D175">
        <v>1.6993640943036684E-2</v>
      </c>
      <c r="E175" t="s">
        <v>6</v>
      </c>
      <c r="G175" t="s">
        <v>616</v>
      </c>
      <c r="H175" t="s">
        <v>16</v>
      </c>
      <c r="I175">
        <v>2.8781445494750688E-2</v>
      </c>
      <c r="J175" t="s">
        <v>6</v>
      </c>
      <c r="L175" t="s">
        <v>617</v>
      </c>
      <c r="M175" t="s">
        <v>16</v>
      </c>
      <c r="N175">
        <v>3.5325358822941751E-2</v>
      </c>
      <c r="O175" t="s">
        <v>6</v>
      </c>
    </row>
    <row r="176" spans="2:15" x14ac:dyDescent="0.45">
      <c r="B176" t="s">
        <v>615</v>
      </c>
      <c r="C176" t="s">
        <v>17</v>
      </c>
      <c r="D176">
        <v>2.2863958414539161E-4</v>
      </c>
      <c r="E176" t="s">
        <v>6</v>
      </c>
      <c r="G176" t="s">
        <v>616</v>
      </c>
      <c r="H176" t="s">
        <v>17</v>
      </c>
      <c r="I176">
        <v>8.1292902677843407E-2</v>
      </c>
      <c r="J176" t="s">
        <v>6</v>
      </c>
      <c r="L176" t="s">
        <v>617</v>
      </c>
      <c r="M176" t="s">
        <v>17</v>
      </c>
      <c r="N176">
        <v>5.4358479562919462E-2</v>
      </c>
      <c r="O176" t="s">
        <v>6</v>
      </c>
    </row>
    <row r="177" spans="2:15" x14ac:dyDescent="0.45">
      <c r="B177" t="s">
        <v>615</v>
      </c>
      <c r="C177" t="s">
        <v>18</v>
      </c>
      <c r="D177">
        <v>0.18880617166990696</v>
      </c>
      <c r="E177" t="s">
        <v>6</v>
      </c>
      <c r="G177" t="s">
        <v>616</v>
      </c>
      <c r="H177" t="s">
        <v>18</v>
      </c>
      <c r="I177">
        <v>0.1114130696828937</v>
      </c>
      <c r="J177" t="s">
        <v>6</v>
      </c>
      <c r="L177" t="s">
        <v>617</v>
      </c>
      <c r="M177" t="s">
        <v>18</v>
      </c>
      <c r="N177">
        <v>7.880963255025146E-2</v>
      </c>
      <c r="O177" t="s">
        <v>6</v>
      </c>
    </row>
    <row r="178" spans="2:15" x14ac:dyDescent="0.45">
      <c r="B178" t="s">
        <v>615</v>
      </c>
      <c r="C178" t="s">
        <v>19</v>
      </c>
      <c r="D178">
        <v>2.4115982412138168E-3</v>
      </c>
      <c r="E178" t="s">
        <v>6</v>
      </c>
      <c r="G178" t="s">
        <v>616</v>
      </c>
      <c r="H178" t="s">
        <v>19</v>
      </c>
      <c r="I178">
        <v>6.0409322506752121E-2</v>
      </c>
      <c r="J178" t="s">
        <v>6</v>
      </c>
      <c r="L178" t="s">
        <v>617</v>
      </c>
      <c r="M178" t="s">
        <v>19</v>
      </c>
      <c r="N178">
        <v>4.7635483304960903E-2</v>
      </c>
      <c r="O178" t="s">
        <v>6</v>
      </c>
    </row>
    <row r="179" spans="2:15" x14ac:dyDescent="0.45">
      <c r="B179" t="s">
        <v>618</v>
      </c>
      <c r="C179" t="s">
        <v>5</v>
      </c>
      <c r="D179">
        <v>0</v>
      </c>
      <c r="E179" t="s">
        <v>6</v>
      </c>
      <c r="G179" t="s">
        <v>619</v>
      </c>
      <c r="H179" t="s">
        <v>5</v>
      </c>
      <c r="I179">
        <v>9.63536613318485E-2</v>
      </c>
      <c r="J179" t="s">
        <v>6</v>
      </c>
      <c r="L179" t="s">
        <v>620</v>
      </c>
      <c r="M179" t="s">
        <v>5</v>
      </c>
      <c r="N179">
        <v>0.10655404868084004</v>
      </c>
      <c r="O179" t="s">
        <v>6</v>
      </c>
    </row>
    <row r="180" spans="2:15" x14ac:dyDescent="0.45">
      <c r="B180" t="s">
        <v>618</v>
      </c>
      <c r="C180" t="s">
        <v>9</v>
      </c>
      <c r="D180">
        <v>0.19387774885235357</v>
      </c>
      <c r="E180" t="s">
        <v>6</v>
      </c>
      <c r="G180" t="s">
        <v>619</v>
      </c>
      <c r="H180" t="s">
        <v>9</v>
      </c>
      <c r="I180">
        <v>0.13154264342551239</v>
      </c>
      <c r="J180" t="s">
        <v>6</v>
      </c>
      <c r="L180" t="s">
        <v>620</v>
      </c>
      <c r="M180" t="s">
        <v>9</v>
      </c>
      <c r="N180">
        <v>0.14198295141428546</v>
      </c>
      <c r="O180" t="s">
        <v>6</v>
      </c>
    </row>
    <row r="181" spans="2:15" x14ac:dyDescent="0.45">
      <c r="B181" t="s">
        <v>618</v>
      </c>
      <c r="C181" t="s">
        <v>10</v>
      </c>
      <c r="D181">
        <v>1.2138423118792294E-3</v>
      </c>
      <c r="E181" t="s">
        <v>6</v>
      </c>
      <c r="G181" t="s">
        <v>619</v>
      </c>
      <c r="H181" t="s">
        <v>10</v>
      </c>
      <c r="I181">
        <v>7.1453114393919701E-2</v>
      </c>
      <c r="J181" t="s">
        <v>6</v>
      </c>
      <c r="L181" t="s">
        <v>620</v>
      </c>
      <c r="M181" t="s">
        <v>10</v>
      </c>
      <c r="N181">
        <v>8.4725115362741507E-2</v>
      </c>
      <c r="O181" t="s">
        <v>6</v>
      </c>
    </row>
    <row r="182" spans="2:15" x14ac:dyDescent="0.45">
      <c r="B182" t="s">
        <v>618</v>
      </c>
      <c r="C182" t="s">
        <v>11</v>
      </c>
      <c r="D182">
        <v>1.9162129808844421E-3</v>
      </c>
      <c r="E182" t="s">
        <v>6</v>
      </c>
      <c r="G182" t="s">
        <v>619</v>
      </c>
      <c r="H182" t="s">
        <v>11</v>
      </c>
      <c r="I182">
        <v>9.8200797835613779E-2</v>
      </c>
      <c r="J182" t="s">
        <v>6</v>
      </c>
      <c r="L182" t="s">
        <v>620</v>
      </c>
      <c r="M182" t="s">
        <v>11</v>
      </c>
      <c r="N182">
        <v>0.11042543960172307</v>
      </c>
      <c r="O182" t="s">
        <v>6</v>
      </c>
    </row>
    <row r="183" spans="2:15" x14ac:dyDescent="0.45">
      <c r="B183" t="s">
        <v>618</v>
      </c>
      <c r="C183" t="s">
        <v>12</v>
      </c>
      <c r="D183">
        <v>0.26602205975754323</v>
      </c>
      <c r="E183" t="s">
        <v>6</v>
      </c>
      <c r="G183" t="s">
        <v>619</v>
      </c>
      <c r="H183" t="s">
        <v>12</v>
      </c>
      <c r="I183">
        <v>0.1566786526822985</v>
      </c>
      <c r="J183" t="s">
        <v>6</v>
      </c>
      <c r="L183" t="s">
        <v>620</v>
      </c>
      <c r="M183" t="s">
        <v>12</v>
      </c>
      <c r="N183">
        <v>0.12770514818375761</v>
      </c>
      <c r="O183" t="s">
        <v>6</v>
      </c>
    </row>
    <row r="184" spans="2:15" x14ac:dyDescent="0.45">
      <c r="B184" t="s">
        <v>618</v>
      </c>
      <c r="C184" t="s">
        <v>13</v>
      </c>
      <c r="D184">
        <v>1.0414436580492487E-2</v>
      </c>
      <c r="E184" t="s">
        <v>6</v>
      </c>
      <c r="G184" t="s">
        <v>619</v>
      </c>
      <c r="H184" t="s">
        <v>13</v>
      </c>
      <c r="I184">
        <v>8.3334436316429839E-2</v>
      </c>
      <c r="J184" t="s">
        <v>6</v>
      </c>
      <c r="L184" t="s">
        <v>620</v>
      </c>
      <c r="M184" t="s">
        <v>13</v>
      </c>
      <c r="N184">
        <v>7.9285486039411199E-2</v>
      </c>
      <c r="O184" t="s">
        <v>6</v>
      </c>
    </row>
    <row r="185" spans="2:15" x14ac:dyDescent="0.45">
      <c r="B185" t="s">
        <v>618</v>
      </c>
      <c r="C185" t="s">
        <v>14</v>
      </c>
      <c r="D185">
        <v>3.6515005205682103E-3</v>
      </c>
      <c r="E185" t="s">
        <v>6</v>
      </c>
      <c r="G185" t="s">
        <v>619</v>
      </c>
      <c r="H185" t="s">
        <v>14</v>
      </c>
      <c r="I185">
        <v>3.4580466305940166E-2</v>
      </c>
      <c r="J185" t="s">
        <v>6</v>
      </c>
      <c r="L185" t="s">
        <v>620</v>
      </c>
      <c r="M185" t="s">
        <v>14</v>
      </c>
      <c r="N185">
        <v>5.293732848979632E-2</v>
      </c>
      <c r="O185" t="s">
        <v>6</v>
      </c>
    </row>
    <row r="186" spans="2:15" x14ac:dyDescent="0.45">
      <c r="B186" t="s">
        <v>618</v>
      </c>
      <c r="C186" t="s">
        <v>15</v>
      </c>
      <c r="D186">
        <v>0.29944185746524538</v>
      </c>
      <c r="E186" t="s">
        <v>6</v>
      </c>
      <c r="G186" t="s">
        <v>619</v>
      </c>
      <c r="H186" t="s">
        <v>15</v>
      </c>
      <c r="I186">
        <v>6.3874369255402463E-2</v>
      </c>
      <c r="J186" t="s">
        <v>6</v>
      </c>
      <c r="L186" t="s">
        <v>620</v>
      </c>
      <c r="M186" t="s">
        <v>15</v>
      </c>
      <c r="N186">
        <v>6.1886026883940126E-2</v>
      </c>
      <c r="O186" t="s">
        <v>6</v>
      </c>
    </row>
    <row r="187" spans="2:15" x14ac:dyDescent="0.45">
      <c r="B187" t="s">
        <v>618</v>
      </c>
      <c r="C187" t="s">
        <v>16</v>
      </c>
      <c r="D187">
        <v>1.5867277919040836E-2</v>
      </c>
      <c r="E187" t="s">
        <v>6</v>
      </c>
      <c r="G187" t="s">
        <v>619</v>
      </c>
      <c r="H187" t="s">
        <v>16</v>
      </c>
      <c r="I187">
        <v>3.1445673721436383E-2</v>
      </c>
      <c r="J187" t="s">
        <v>6</v>
      </c>
      <c r="L187" t="s">
        <v>620</v>
      </c>
      <c r="M187" t="s">
        <v>16</v>
      </c>
      <c r="N187">
        <v>4.2977942331812291E-2</v>
      </c>
      <c r="O187" t="s">
        <v>6</v>
      </c>
    </row>
    <row r="188" spans="2:15" x14ac:dyDescent="0.45">
      <c r="B188" t="s">
        <v>618</v>
      </c>
      <c r="C188" t="s">
        <v>17</v>
      </c>
      <c r="D188">
        <v>1.8180885772719587E-4</v>
      </c>
      <c r="E188" t="s">
        <v>6</v>
      </c>
      <c r="G188" t="s">
        <v>619</v>
      </c>
      <c r="H188" t="s">
        <v>17</v>
      </c>
      <c r="I188">
        <v>6.8976145748240916E-2</v>
      </c>
      <c r="J188" t="s">
        <v>6</v>
      </c>
      <c r="L188" t="s">
        <v>620</v>
      </c>
      <c r="M188" t="s">
        <v>17</v>
      </c>
      <c r="N188">
        <v>6.5561049592654325E-2</v>
      </c>
      <c r="O188" t="s">
        <v>6</v>
      </c>
    </row>
    <row r="189" spans="2:15" x14ac:dyDescent="0.45">
      <c r="B189" t="s">
        <v>618</v>
      </c>
      <c r="C189" t="s">
        <v>18</v>
      </c>
      <c r="D189">
        <v>0.20494099246205039</v>
      </c>
      <c r="E189" t="s">
        <v>6</v>
      </c>
      <c r="G189" t="s">
        <v>619</v>
      </c>
      <c r="H189" t="s">
        <v>18</v>
      </c>
      <c r="I189">
        <v>0.10768841551119943</v>
      </c>
      <c r="J189" t="s">
        <v>6</v>
      </c>
      <c r="L189" t="s">
        <v>620</v>
      </c>
      <c r="M189" t="s">
        <v>18</v>
      </c>
      <c r="N189">
        <v>7.5425093609443244E-2</v>
      </c>
      <c r="O189" t="s">
        <v>6</v>
      </c>
    </row>
    <row r="190" spans="2:15" x14ac:dyDescent="0.45">
      <c r="B190" t="s">
        <v>618</v>
      </c>
      <c r="C190" t="s">
        <v>19</v>
      </c>
      <c r="D190">
        <v>2.4722622922137725E-3</v>
      </c>
      <c r="E190" t="s">
        <v>6</v>
      </c>
      <c r="G190" t="s">
        <v>619</v>
      </c>
      <c r="H190" t="s">
        <v>19</v>
      </c>
      <c r="I190">
        <v>5.5871623472155789E-2</v>
      </c>
      <c r="J190" t="s">
        <v>6</v>
      </c>
      <c r="L190" t="s">
        <v>620</v>
      </c>
      <c r="M190" t="s">
        <v>19</v>
      </c>
      <c r="N190">
        <v>5.0534369809593173E-2</v>
      </c>
      <c r="O190" t="s">
        <v>6</v>
      </c>
    </row>
    <row r="191" spans="2:15" x14ac:dyDescent="0.45">
      <c r="B191" t="s">
        <v>621</v>
      </c>
      <c r="C191" t="s">
        <v>5</v>
      </c>
      <c r="D191">
        <v>0</v>
      </c>
      <c r="E191" t="s">
        <v>6</v>
      </c>
      <c r="G191" t="s">
        <v>622</v>
      </c>
      <c r="H191" t="s">
        <v>5</v>
      </c>
      <c r="I191">
        <v>9.6914924384583323E-2</v>
      </c>
      <c r="J191" t="s">
        <v>6</v>
      </c>
      <c r="L191" t="s">
        <v>623</v>
      </c>
      <c r="M191" t="s">
        <v>5</v>
      </c>
      <c r="N191">
        <v>9.5285273604568538E-2</v>
      </c>
      <c r="O191" t="s">
        <v>6</v>
      </c>
    </row>
    <row r="192" spans="2:15" x14ac:dyDescent="0.45">
      <c r="B192" t="s">
        <v>621</v>
      </c>
      <c r="C192" t="s">
        <v>9</v>
      </c>
      <c r="D192">
        <v>0.19262159541356527</v>
      </c>
      <c r="E192" t="s">
        <v>6</v>
      </c>
      <c r="G192" t="s">
        <v>622</v>
      </c>
      <c r="H192" t="s">
        <v>9</v>
      </c>
      <c r="I192">
        <v>0.13484975362400961</v>
      </c>
      <c r="J192" t="s">
        <v>6</v>
      </c>
      <c r="L192" t="s">
        <v>623</v>
      </c>
      <c r="M192" t="s">
        <v>9</v>
      </c>
      <c r="N192">
        <v>0.13486715733969409</v>
      </c>
      <c r="O192" t="s">
        <v>6</v>
      </c>
    </row>
    <row r="193" spans="2:15" x14ac:dyDescent="0.45">
      <c r="B193" t="s">
        <v>621</v>
      </c>
      <c r="C193" t="s">
        <v>10</v>
      </c>
      <c r="D193">
        <v>5.6562240838835948E-4</v>
      </c>
      <c r="E193" t="s">
        <v>6</v>
      </c>
      <c r="G193" t="s">
        <v>622</v>
      </c>
      <c r="H193" t="s">
        <v>10</v>
      </c>
      <c r="I193">
        <v>7.5752446956425079E-2</v>
      </c>
      <c r="J193" t="s">
        <v>6</v>
      </c>
      <c r="L193" t="s">
        <v>623</v>
      </c>
      <c r="M193" t="s">
        <v>10</v>
      </c>
      <c r="N193">
        <v>7.7984581672476419E-2</v>
      </c>
      <c r="O193" t="s">
        <v>6</v>
      </c>
    </row>
    <row r="194" spans="2:15" x14ac:dyDescent="0.45">
      <c r="B194" t="s">
        <v>621</v>
      </c>
      <c r="C194" t="s">
        <v>11</v>
      </c>
      <c r="D194">
        <v>2.8612485948719549E-3</v>
      </c>
      <c r="E194" t="s">
        <v>6</v>
      </c>
      <c r="G194" t="s">
        <v>622</v>
      </c>
      <c r="H194" t="s">
        <v>11</v>
      </c>
      <c r="I194">
        <v>0.10268654837665309</v>
      </c>
      <c r="J194" t="s">
        <v>6</v>
      </c>
      <c r="L194" t="s">
        <v>623</v>
      </c>
      <c r="M194" t="s">
        <v>11</v>
      </c>
      <c r="N194">
        <v>0.11211798864171707</v>
      </c>
      <c r="O194" t="s">
        <v>6</v>
      </c>
    </row>
    <row r="195" spans="2:15" x14ac:dyDescent="0.45">
      <c r="B195" t="s">
        <v>621</v>
      </c>
      <c r="C195" t="s">
        <v>12</v>
      </c>
      <c r="D195">
        <v>0.25754457302976969</v>
      </c>
      <c r="E195" t="s">
        <v>6</v>
      </c>
      <c r="G195" t="s">
        <v>622</v>
      </c>
      <c r="H195" t="s">
        <v>12</v>
      </c>
      <c r="I195">
        <v>0.13981770751359951</v>
      </c>
      <c r="J195" t="s">
        <v>6</v>
      </c>
      <c r="L195" t="s">
        <v>623</v>
      </c>
      <c r="M195" t="s">
        <v>12</v>
      </c>
      <c r="N195">
        <v>0.14159645042526739</v>
      </c>
      <c r="O195" t="s">
        <v>6</v>
      </c>
    </row>
    <row r="196" spans="2:15" x14ac:dyDescent="0.45">
      <c r="B196" t="s">
        <v>621</v>
      </c>
      <c r="C196" t="s">
        <v>13</v>
      </c>
      <c r="D196">
        <v>7.6851671815198015E-3</v>
      </c>
      <c r="E196" t="s">
        <v>6</v>
      </c>
      <c r="G196" t="s">
        <v>622</v>
      </c>
      <c r="H196" t="s">
        <v>13</v>
      </c>
      <c r="I196">
        <v>8.1817301744102275E-2</v>
      </c>
      <c r="J196" t="s">
        <v>6</v>
      </c>
      <c r="L196" t="s">
        <v>623</v>
      </c>
      <c r="M196" t="s">
        <v>13</v>
      </c>
      <c r="N196">
        <v>8.2718636169466425E-2</v>
      </c>
      <c r="O196" t="s">
        <v>6</v>
      </c>
    </row>
    <row r="197" spans="2:15" x14ac:dyDescent="0.45">
      <c r="B197" t="s">
        <v>621</v>
      </c>
      <c r="C197" t="s">
        <v>14</v>
      </c>
      <c r="D197">
        <v>6.0645226382970525E-3</v>
      </c>
      <c r="E197" t="s">
        <v>6</v>
      </c>
      <c r="G197" t="s">
        <v>622</v>
      </c>
      <c r="H197" t="s">
        <v>14</v>
      </c>
      <c r="I197">
        <v>4.1971347584798244E-2</v>
      </c>
      <c r="J197" t="s">
        <v>6</v>
      </c>
      <c r="L197" t="s">
        <v>623</v>
      </c>
      <c r="M197" t="s">
        <v>14</v>
      </c>
      <c r="N197">
        <v>4.206320455726887E-2</v>
      </c>
      <c r="O197" t="s">
        <v>6</v>
      </c>
    </row>
    <row r="198" spans="2:15" x14ac:dyDescent="0.45">
      <c r="B198" t="s">
        <v>621</v>
      </c>
      <c r="C198" t="s">
        <v>15</v>
      </c>
      <c r="D198">
        <v>0.31604868769260069</v>
      </c>
      <c r="E198" t="s">
        <v>6</v>
      </c>
      <c r="G198" t="s">
        <v>622</v>
      </c>
      <c r="H198" t="s">
        <v>15</v>
      </c>
      <c r="I198">
        <v>7.1655522636627098E-2</v>
      </c>
      <c r="J198" t="s">
        <v>6</v>
      </c>
      <c r="L198" t="s">
        <v>623</v>
      </c>
      <c r="M198" t="s">
        <v>15</v>
      </c>
      <c r="N198">
        <v>6.9612513958002234E-2</v>
      </c>
      <c r="O198" t="s">
        <v>6</v>
      </c>
    </row>
    <row r="199" spans="2:15" x14ac:dyDescent="0.45">
      <c r="B199" t="s">
        <v>621</v>
      </c>
      <c r="C199" t="s">
        <v>16</v>
      </c>
      <c r="D199">
        <v>1.3818704483544766E-2</v>
      </c>
      <c r="E199" t="s">
        <v>6</v>
      </c>
      <c r="G199" t="s">
        <v>622</v>
      </c>
      <c r="H199" t="s">
        <v>16</v>
      </c>
      <c r="I199">
        <v>4.4392193638058373E-2</v>
      </c>
      <c r="J199" t="s">
        <v>6</v>
      </c>
      <c r="L199" t="s">
        <v>623</v>
      </c>
      <c r="M199" t="s">
        <v>16</v>
      </c>
      <c r="N199">
        <v>4.7656953551742549E-2</v>
      </c>
      <c r="O199" t="s">
        <v>6</v>
      </c>
    </row>
    <row r="200" spans="2:15" x14ac:dyDescent="0.45">
      <c r="B200" t="s">
        <v>621</v>
      </c>
      <c r="C200" t="s">
        <v>17</v>
      </c>
      <c r="D200">
        <v>4.6977637145733135E-4</v>
      </c>
      <c r="E200" t="s">
        <v>6</v>
      </c>
      <c r="G200" t="s">
        <v>622</v>
      </c>
      <c r="H200" t="s">
        <v>17</v>
      </c>
      <c r="I200">
        <v>6.72496469267444E-2</v>
      </c>
      <c r="J200" t="s">
        <v>6</v>
      </c>
      <c r="L200" t="s">
        <v>623</v>
      </c>
      <c r="M200" t="s">
        <v>17</v>
      </c>
      <c r="N200">
        <v>6.31895159239175E-2</v>
      </c>
      <c r="O200" t="s">
        <v>6</v>
      </c>
    </row>
    <row r="201" spans="2:15" x14ac:dyDescent="0.45">
      <c r="B201" t="s">
        <v>621</v>
      </c>
      <c r="C201" t="s">
        <v>18</v>
      </c>
      <c r="D201">
        <v>0.20063001682592621</v>
      </c>
      <c r="E201" t="s">
        <v>6</v>
      </c>
      <c r="G201" t="s">
        <v>622</v>
      </c>
      <c r="H201" t="s">
        <v>18</v>
      </c>
      <c r="I201">
        <v>9.1023846111702195E-2</v>
      </c>
      <c r="J201" t="s">
        <v>6</v>
      </c>
      <c r="L201" t="s">
        <v>623</v>
      </c>
      <c r="M201" t="s">
        <v>18</v>
      </c>
      <c r="N201">
        <v>8.4089451576154675E-2</v>
      </c>
      <c r="O201" t="s">
        <v>6</v>
      </c>
    </row>
    <row r="202" spans="2:15" x14ac:dyDescent="0.45">
      <c r="B202" t="s">
        <v>621</v>
      </c>
      <c r="C202" t="s">
        <v>19</v>
      </c>
      <c r="D202">
        <v>1.690085360059008E-3</v>
      </c>
      <c r="E202" t="s">
        <v>6</v>
      </c>
      <c r="G202" t="s">
        <v>622</v>
      </c>
      <c r="H202" t="s">
        <v>19</v>
      </c>
      <c r="I202">
        <v>5.1868760502697037E-2</v>
      </c>
      <c r="J202" t="s">
        <v>6</v>
      </c>
      <c r="L202" t="s">
        <v>623</v>
      </c>
      <c r="M202" t="s">
        <v>19</v>
      </c>
      <c r="N202">
        <v>4.8818272579721676E-2</v>
      </c>
      <c r="O202" t="s">
        <v>6</v>
      </c>
    </row>
    <row r="203" spans="2:15" x14ac:dyDescent="0.45">
      <c r="B203" t="s">
        <v>624</v>
      </c>
      <c r="C203" t="s">
        <v>5</v>
      </c>
      <c r="D203">
        <v>0</v>
      </c>
      <c r="E203" t="s">
        <v>6</v>
      </c>
      <c r="G203" t="s">
        <v>625</v>
      </c>
      <c r="H203" t="s">
        <v>5</v>
      </c>
      <c r="I203">
        <v>9.8557702161301816E-2</v>
      </c>
      <c r="J203" t="s">
        <v>6</v>
      </c>
      <c r="L203" t="s">
        <v>626</v>
      </c>
      <c r="M203" t="s">
        <v>5</v>
      </c>
      <c r="N203">
        <v>0.10228381282360688</v>
      </c>
      <c r="O203" t="s">
        <v>6</v>
      </c>
    </row>
    <row r="204" spans="2:15" x14ac:dyDescent="0.45">
      <c r="B204" t="s">
        <v>624</v>
      </c>
      <c r="C204" t="s">
        <v>9</v>
      </c>
      <c r="D204">
        <v>0.19188475700476845</v>
      </c>
      <c r="E204" t="s">
        <v>6</v>
      </c>
      <c r="G204" t="s">
        <v>625</v>
      </c>
      <c r="H204" t="s">
        <v>9</v>
      </c>
      <c r="I204">
        <v>0.14345468095690156</v>
      </c>
      <c r="J204" t="s">
        <v>6</v>
      </c>
      <c r="L204" t="s">
        <v>626</v>
      </c>
      <c r="M204" t="s">
        <v>9</v>
      </c>
      <c r="N204">
        <v>0.13091247253646379</v>
      </c>
      <c r="O204" t="s">
        <v>6</v>
      </c>
    </row>
    <row r="205" spans="2:15" x14ac:dyDescent="0.45">
      <c r="B205" t="s">
        <v>624</v>
      </c>
      <c r="C205" t="s">
        <v>10</v>
      </c>
      <c r="D205">
        <v>4.1580353835805352E-4</v>
      </c>
      <c r="E205" t="s">
        <v>6</v>
      </c>
      <c r="G205" t="s">
        <v>625</v>
      </c>
      <c r="H205" t="s">
        <v>10</v>
      </c>
      <c r="I205">
        <v>8.0293204449375252E-2</v>
      </c>
      <c r="J205" t="s">
        <v>6</v>
      </c>
      <c r="L205" t="s">
        <v>626</v>
      </c>
      <c r="M205" t="s">
        <v>10</v>
      </c>
      <c r="N205">
        <v>7.241122311677331E-2</v>
      </c>
      <c r="O205" t="s">
        <v>6</v>
      </c>
    </row>
    <row r="206" spans="2:15" x14ac:dyDescent="0.45">
      <c r="B206" t="s">
        <v>624</v>
      </c>
      <c r="C206" t="s">
        <v>11</v>
      </c>
      <c r="D206">
        <v>3.5122063323341549E-3</v>
      </c>
      <c r="E206" t="s">
        <v>6</v>
      </c>
      <c r="G206" t="s">
        <v>625</v>
      </c>
      <c r="H206" t="s">
        <v>11</v>
      </c>
      <c r="I206">
        <v>0.11163817750108436</v>
      </c>
      <c r="J206" t="s">
        <v>6</v>
      </c>
      <c r="L206" t="s">
        <v>626</v>
      </c>
      <c r="M206" t="s">
        <v>11</v>
      </c>
      <c r="N206">
        <v>0.11451256863925272</v>
      </c>
      <c r="O206" t="s">
        <v>6</v>
      </c>
    </row>
    <row r="207" spans="2:15" x14ac:dyDescent="0.45">
      <c r="B207" t="s">
        <v>624</v>
      </c>
      <c r="C207" t="s">
        <v>12</v>
      </c>
      <c r="D207">
        <v>0.2788989226449326</v>
      </c>
      <c r="E207" t="s">
        <v>6</v>
      </c>
      <c r="G207" t="s">
        <v>625</v>
      </c>
      <c r="H207" t="s">
        <v>12</v>
      </c>
      <c r="I207">
        <v>0.17869556343324539</v>
      </c>
      <c r="J207" t="s">
        <v>6</v>
      </c>
      <c r="L207" t="s">
        <v>626</v>
      </c>
      <c r="M207" t="s">
        <v>12</v>
      </c>
      <c r="N207">
        <v>0.13121335161915731</v>
      </c>
      <c r="O207" t="s">
        <v>6</v>
      </c>
    </row>
    <row r="208" spans="2:15" x14ac:dyDescent="0.45">
      <c r="B208" t="s">
        <v>624</v>
      </c>
      <c r="C208" t="s">
        <v>13</v>
      </c>
      <c r="D208">
        <v>7.6823679998251756E-3</v>
      </c>
      <c r="E208" t="s">
        <v>6</v>
      </c>
      <c r="G208" t="s">
        <v>625</v>
      </c>
      <c r="H208" t="s">
        <v>13</v>
      </c>
      <c r="I208">
        <v>9.5974890321867276E-2</v>
      </c>
      <c r="J208" t="s">
        <v>6</v>
      </c>
      <c r="L208" t="s">
        <v>626</v>
      </c>
      <c r="M208" t="s">
        <v>13</v>
      </c>
      <c r="N208">
        <v>8.3921856792728539E-2</v>
      </c>
      <c r="O208" t="s">
        <v>6</v>
      </c>
    </row>
    <row r="209" spans="2:15" x14ac:dyDescent="0.45">
      <c r="B209" t="s">
        <v>624</v>
      </c>
      <c r="C209" t="s">
        <v>14</v>
      </c>
      <c r="D209">
        <v>6.5890228575907293E-3</v>
      </c>
      <c r="E209" t="s">
        <v>6</v>
      </c>
      <c r="G209" t="s">
        <v>625</v>
      </c>
      <c r="H209" t="s">
        <v>14</v>
      </c>
      <c r="I209">
        <v>2.5528984757202427E-2</v>
      </c>
      <c r="J209" t="s">
        <v>6</v>
      </c>
      <c r="L209" t="s">
        <v>626</v>
      </c>
      <c r="M209" t="s">
        <v>14</v>
      </c>
      <c r="N209">
        <v>4.3853409401425583E-2</v>
      </c>
      <c r="O209" t="s">
        <v>6</v>
      </c>
    </row>
    <row r="210" spans="2:15" x14ac:dyDescent="0.45">
      <c r="B210" t="s">
        <v>624</v>
      </c>
      <c r="C210" t="s">
        <v>15</v>
      </c>
      <c r="D210">
        <v>0.29782851351969269</v>
      </c>
      <c r="E210" t="s">
        <v>6</v>
      </c>
      <c r="G210" t="s">
        <v>625</v>
      </c>
      <c r="H210" t="s">
        <v>15</v>
      </c>
      <c r="I210">
        <v>5.5453653482434834E-2</v>
      </c>
      <c r="J210" t="s">
        <v>6</v>
      </c>
      <c r="L210" t="s">
        <v>626</v>
      </c>
      <c r="M210" t="s">
        <v>15</v>
      </c>
      <c r="N210">
        <v>5.5809848289311043E-2</v>
      </c>
      <c r="O210" t="s">
        <v>6</v>
      </c>
    </row>
    <row r="211" spans="2:15" x14ac:dyDescent="0.45">
      <c r="B211" t="s">
        <v>624</v>
      </c>
      <c r="C211" t="s">
        <v>16</v>
      </c>
      <c r="D211">
        <v>1.211527513352708E-2</v>
      </c>
      <c r="E211" t="s">
        <v>6</v>
      </c>
      <c r="G211" t="s">
        <v>625</v>
      </c>
      <c r="H211" t="s">
        <v>16</v>
      </c>
      <c r="I211">
        <v>2.9267112728915606E-2</v>
      </c>
      <c r="J211" t="s">
        <v>6</v>
      </c>
      <c r="L211" t="s">
        <v>626</v>
      </c>
      <c r="M211" t="s">
        <v>16</v>
      </c>
      <c r="N211">
        <v>3.8609276508303259E-2</v>
      </c>
      <c r="O211" t="s">
        <v>6</v>
      </c>
    </row>
    <row r="212" spans="2:15" x14ac:dyDescent="0.45">
      <c r="B212" t="s">
        <v>624</v>
      </c>
      <c r="C212" t="s">
        <v>17</v>
      </c>
      <c r="D212">
        <v>4.8877407299809474E-4</v>
      </c>
      <c r="E212" t="s">
        <v>6</v>
      </c>
      <c r="G212" t="s">
        <v>625</v>
      </c>
      <c r="H212" t="s">
        <v>17</v>
      </c>
      <c r="I212">
        <v>4.9005182392896238E-2</v>
      </c>
      <c r="J212" t="s">
        <v>6</v>
      </c>
      <c r="L212" t="s">
        <v>626</v>
      </c>
      <c r="M212" t="s">
        <v>17</v>
      </c>
      <c r="N212">
        <v>7.7896501134799581E-2</v>
      </c>
      <c r="O212" t="s">
        <v>6</v>
      </c>
    </row>
    <row r="213" spans="2:15" x14ac:dyDescent="0.45">
      <c r="B213" t="s">
        <v>624</v>
      </c>
      <c r="C213" t="s">
        <v>18</v>
      </c>
      <c r="D213">
        <v>0.19920111256580908</v>
      </c>
      <c r="E213" t="s">
        <v>6</v>
      </c>
      <c r="G213" t="s">
        <v>625</v>
      </c>
      <c r="H213" t="s">
        <v>18</v>
      </c>
      <c r="I213">
        <v>9.1210649651824766E-2</v>
      </c>
      <c r="J213" t="s">
        <v>6</v>
      </c>
      <c r="L213" t="s">
        <v>626</v>
      </c>
      <c r="M213" t="s">
        <v>18</v>
      </c>
      <c r="N213">
        <v>9.0472229571119847E-2</v>
      </c>
      <c r="O213" t="s">
        <v>6</v>
      </c>
    </row>
    <row r="214" spans="2:15" x14ac:dyDescent="0.45">
      <c r="B214" t="s">
        <v>624</v>
      </c>
      <c r="C214" t="s">
        <v>19</v>
      </c>
      <c r="D214">
        <v>1.3832443301651281E-3</v>
      </c>
      <c r="E214" t="s">
        <v>6</v>
      </c>
      <c r="G214" t="s">
        <v>625</v>
      </c>
      <c r="H214" t="s">
        <v>19</v>
      </c>
      <c r="I214">
        <v>4.0920198162951719E-2</v>
      </c>
      <c r="J214" t="s">
        <v>6</v>
      </c>
      <c r="L214" t="s">
        <v>626</v>
      </c>
      <c r="M214" t="s">
        <v>19</v>
      </c>
      <c r="N214">
        <v>5.8103449567055258E-2</v>
      </c>
      <c r="O214" t="s">
        <v>6</v>
      </c>
    </row>
    <row r="215" spans="2:15" x14ac:dyDescent="0.45">
      <c r="B215" t="s">
        <v>627</v>
      </c>
      <c r="C215" t="s">
        <v>5</v>
      </c>
      <c r="D215">
        <v>0</v>
      </c>
      <c r="E215" t="s">
        <v>6</v>
      </c>
      <c r="G215" t="s">
        <v>628</v>
      </c>
      <c r="H215" t="s">
        <v>5</v>
      </c>
      <c r="I215">
        <v>0.11499366224638703</v>
      </c>
      <c r="J215" t="s">
        <v>6</v>
      </c>
      <c r="L215" t="s">
        <v>629</v>
      </c>
      <c r="M215" t="s">
        <v>5</v>
      </c>
      <c r="N215">
        <v>0.10250982154147406</v>
      </c>
      <c r="O215" t="s">
        <v>6</v>
      </c>
    </row>
    <row r="216" spans="2:15" x14ac:dyDescent="0.45">
      <c r="B216" t="s">
        <v>627</v>
      </c>
      <c r="C216" t="s">
        <v>9</v>
      </c>
      <c r="D216">
        <v>0.16365983816844873</v>
      </c>
      <c r="E216" t="s">
        <v>6</v>
      </c>
      <c r="G216" t="s">
        <v>628</v>
      </c>
      <c r="H216" t="s">
        <v>9</v>
      </c>
      <c r="I216">
        <v>0.14586660947585484</v>
      </c>
      <c r="J216" t="s">
        <v>6</v>
      </c>
      <c r="L216" t="s">
        <v>629</v>
      </c>
      <c r="M216" t="s">
        <v>9</v>
      </c>
      <c r="N216">
        <v>0.12498881350917743</v>
      </c>
      <c r="O216" t="s">
        <v>6</v>
      </c>
    </row>
    <row r="217" spans="2:15" x14ac:dyDescent="0.45">
      <c r="B217" t="s">
        <v>627</v>
      </c>
      <c r="C217" t="s">
        <v>10</v>
      </c>
      <c r="D217">
        <v>1.6140252078983871E-4</v>
      </c>
      <c r="E217" t="s">
        <v>6</v>
      </c>
      <c r="G217" t="s">
        <v>628</v>
      </c>
      <c r="H217" t="s">
        <v>10</v>
      </c>
      <c r="I217">
        <v>8.7158585654328061E-2</v>
      </c>
      <c r="J217" t="s">
        <v>6</v>
      </c>
      <c r="L217" t="s">
        <v>629</v>
      </c>
      <c r="M217" t="s">
        <v>10</v>
      </c>
      <c r="N217">
        <v>7.3863262117432826E-2</v>
      </c>
      <c r="O217" t="s">
        <v>6</v>
      </c>
    </row>
    <row r="218" spans="2:15" x14ac:dyDescent="0.45">
      <c r="B218" t="s">
        <v>627</v>
      </c>
      <c r="C218" t="s">
        <v>11</v>
      </c>
      <c r="D218">
        <v>4.176155948575103E-3</v>
      </c>
      <c r="E218" t="s">
        <v>6</v>
      </c>
      <c r="G218" t="s">
        <v>628</v>
      </c>
      <c r="H218" t="s">
        <v>11</v>
      </c>
      <c r="I218">
        <v>9.998997632384117E-2</v>
      </c>
      <c r="J218" t="s">
        <v>6</v>
      </c>
      <c r="L218" t="s">
        <v>629</v>
      </c>
      <c r="M218" t="s">
        <v>11</v>
      </c>
      <c r="N218">
        <v>0.10419945682802943</v>
      </c>
      <c r="O218" t="s">
        <v>6</v>
      </c>
    </row>
    <row r="219" spans="2:15" x14ac:dyDescent="0.45">
      <c r="B219" t="s">
        <v>627</v>
      </c>
      <c r="C219" t="s">
        <v>12</v>
      </c>
      <c r="D219">
        <v>0.26325561566614331</v>
      </c>
      <c r="E219" t="s">
        <v>6</v>
      </c>
      <c r="G219" t="s">
        <v>628</v>
      </c>
      <c r="H219" t="s">
        <v>12</v>
      </c>
      <c r="I219">
        <v>0.13892106597189827</v>
      </c>
      <c r="J219" t="s">
        <v>6</v>
      </c>
      <c r="L219" t="s">
        <v>629</v>
      </c>
      <c r="M219" t="s">
        <v>12</v>
      </c>
      <c r="N219">
        <v>0.13108074391251612</v>
      </c>
      <c r="O219" t="s">
        <v>6</v>
      </c>
    </row>
    <row r="220" spans="2:15" x14ac:dyDescent="0.45">
      <c r="B220" t="s">
        <v>627</v>
      </c>
      <c r="C220" t="s">
        <v>13</v>
      </c>
      <c r="D220">
        <v>5.9307506795822024E-3</v>
      </c>
      <c r="E220" t="s">
        <v>6</v>
      </c>
      <c r="G220" t="s">
        <v>628</v>
      </c>
      <c r="H220" t="s">
        <v>13</v>
      </c>
      <c r="I220">
        <v>8.2595204189339619E-2</v>
      </c>
      <c r="J220" t="s">
        <v>6</v>
      </c>
      <c r="L220" t="s">
        <v>629</v>
      </c>
      <c r="M220" t="s">
        <v>13</v>
      </c>
      <c r="N220">
        <v>8.2180926044259375E-2</v>
      </c>
      <c r="O220" t="s">
        <v>6</v>
      </c>
    </row>
    <row r="221" spans="2:15" x14ac:dyDescent="0.45">
      <c r="B221" t="s">
        <v>627</v>
      </c>
      <c r="C221" t="s">
        <v>14</v>
      </c>
      <c r="D221">
        <v>8.5122793134987974E-3</v>
      </c>
      <c r="E221" t="s">
        <v>6</v>
      </c>
      <c r="G221" t="s">
        <v>628</v>
      </c>
      <c r="H221" t="s">
        <v>14</v>
      </c>
      <c r="I221">
        <v>5.9347509140761763E-2</v>
      </c>
      <c r="J221" t="s">
        <v>6</v>
      </c>
      <c r="L221" t="s">
        <v>629</v>
      </c>
      <c r="M221" t="s">
        <v>14</v>
      </c>
      <c r="N221">
        <v>4.9329502401472942E-2</v>
      </c>
      <c r="O221" t="s">
        <v>6</v>
      </c>
    </row>
    <row r="222" spans="2:15" x14ac:dyDescent="0.45">
      <c r="B222" t="s">
        <v>627</v>
      </c>
      <c r="C222" t="s">
        <v>15</v>
      </c>
      <c r="D222">
        <v>0.34666372285134445</v>
      </c>
      <c r="E222" t="s">
        <v>6</v>
      </c>
      <c r="G222" t="s">
        <v>628</v>
      </c>
      <c r="H222" t="s">
        <v>15</v>
      </c>
      <c r="I222">
        <v>4.7308692985109091E-2</v>
      </c>
      <c r="J222" t="s">
        <v>6</v>
      </c>
      <c r="L222" t="s">
        <v>629</v>
      </c>
      <c r="M222" t="s">
        <v>15</v>
      </c>
      <c r="N222">
        <v>6.5331193312293798E-2</v>
      </c>
      <c r="O222" t="s">
        <v>6</v>
      </c>
    </row>
    <row r="223" spans="2:15" x14ac:dyDescent="0.45">
      <c r="B223" t="s">
        <v>627</v>
      </c>
      <c r="C223" t="s">
        <v>16</v>
      </c>
      <c r="D223">
        <v>1.2205263700139227E-2</v>
      </c>
      <c r="E223" t="s">
        <v>6</v>
      </c>
      <c r="G223" t="s">
        <v>628</v>
      </c>
      <c r="H223" t="s">
        <v>16</v>
      </c>
      <c r="I223">
        <v>3.5327019363409644E-2</v>
      </c>
      <c r="J223" t="s">
        <v>6</v>
      </c>
      <c r="L223" t="s">
        <v>629</v>
      </c>
      <c r="M223" t="s">
        <v>16</v>
      </c>
      <c r="N223">
        <v>4.4397481487046017E-2</v>
      </c>
      <c r="O223" t="s">
        <v>6</v>
      </c>
    </row>
    <row r="224" spans="2:15" x14ac:dyDescent="0.45">
      <c r="B224" t="s">
        <v>627</v>
      </c>
      <c r="C224" t="s">
        <v>17</v>
      </c>
      <c r="D224">
        <v>8.8506398506450789E-4</v>
      </c>
      <c r="E224" t="s">
        <v>6</v>
      </c>
      <c r="G224" t="s">
        <v>628</v>
      </c>
      <c r="H224" t="s">
        <v>17</v>
      </c>
      <c r="I224">
        <v>5.5702318496146139E-2</v>
      </c>
      <c r="J224" t="s">
        <v>6</v>
      </c>
      <c r="L224" t="s">
        <v>629</v>
      </c>
      <c r="M224" t="s">
        <v>17</v>
      </c>
      <c r="N224">
        <v>7.5095916617597139E-2</v>
      </c>
      <c r="O224" t="s">
        <v>6</v>
      </c>
    </row>
    <row r="225" spans="2:15" x14ac:dyDescent="0.45">
      <c r="B225" t="s">
        <v>627</v>
      </c>
      <c r="C225" t="s">
        <v>18</v>
      </c>
      <c r="D225">
        <v>0.19350239369345118</v>
      </c>
      <c r="E225" t="s">
        <v>6</v>
      </c>
      <c r="G225" t="s">
        <v>628</v>
      </c>
      <c r="H225" t="s">
        <v>18</v>
      </c>
      <c r="I225">
        <v>8.6382236359683909E-2</v>
      </c>
      <c r="J225" t="s">
        <v>6</v>
      </c>
      <c r="L225" t="s">
        <v>629</v>
      </c>
      <c r="M225" t="s">
        <v>18</v>
      </c>
      <c r="N225">
        <v>8.9409592129192347E-2</v>
      </c>
      <c r="O225" t="s">
        <v>6</v>
      </c>
    </row>
    <row r="226" spans="2:15" x14ac:dyDescent="0.45">
      <c r="B226" t="s">
        <v>627</v>
      </c>
      <c r="C226" t="s">
        <v>19</v>
      </c>
      <c r="D226">
        <v>1.0475134729611569E-3</v>
      </c>
      <c r="E226" t="s">
        <v>6</v>
      </c>
      <c r="G226" t="s">
        <v>628</v>
      </c>
      <c r="H226" t="s">
        <v>19</v>
      </c>
      <c r="I226">
        <v>4.6407119793239832E-2</v>
      </c>
      <c r="J226" t="s">
        <v>6</v>
      </c>
      <c r="L226" t="s">
        <v>629</v>
      </c>
      <c r="M226" t="s">
        <v>19</v>
      </c>
      <c r="N226">
        <v>5.7613290099508052E-2</v>
      </c>
      <c r="O226" t="s">
        <v>6</v>
      </c>
    </row>
    <row r="227" spans="2:15" x14ac:dyDescent="0.45">
      <c r="B227" t="s">
        <v>630</v>
      </c>
      <c r="C227" t="s">
        <v>5</v>
      </c>
      <c r="D227">
        <v>0</v>
      </c>
      <c r="E227" t="s">
        <v>6</v>
      </c>
      <c r="G227" t="s">
        <v>631</v>
      </c>
      <c r="H227" t="s">
        <v>5</v>
      </c>
      <c r="I227">
        <v>9.7931498753189669E-2</v>
      </c>
      <c r="J227" t="s">
        <v>6</v>
      </c>
      <c r="L227" t="s">
        <v>632</v>
      </c>
      <c r="M227" t="s">
        <v>5</v>
      </c>
      <c r="N227">
        <v>9.1465525132270228E-2</v>
      </c>
      <c r="O227" t="s">
        <v>6</v>
      </c>
    </row>
    <row r="228" spans="2:15" x14ac:dyDescent="0.45">
      <c r="B228" t="s">
        <v>630</v>
      </c>
      <c r="C228" t="s">
        <v>9</v>
      </c>
      <c r="D228">
        <v>0.17393521072535878</v>
      </c>
      <c r="E228" t="s">
        <v>6</v>
      </c>
      <c r="G228" t="s">
        <v>631</v>
      </c>
      <c r="H228" t="s">
        <v>9</v>
      </c>
      <c r="I228">
        <v>0.13257075317069753</v>
      </c>
      <c r="J228" t="s">
        <v>6</v>
      </c>
      <c r="L228" t="s">
        <v>632</v>
      </c>
      <c r="M228" t="s">
        <v>9</v>
      </c>
      <c r="N228">
        <v>0.11266273416119414</v>
      </c>
      <c r="O228" t="s">
        <v>6</v>
      </c>
    </row>
    <row r="229" spans="2:15" x14ac:dyDescent="0.45">
      <c r="B229" t="s">
        <v>630</v>
      </c>
      <c r="C229" t="s">
        <v>10</v>
      </c>
      <c r="D229">
        <v>3.0644242520482521E-4</v>
      </c>
      <c r="E229" t="s">
        <v>6</v>
      </c>
      <c r="G229" t="s">
        <v>631</v>
      </c>
      <c r="H229" t="s">
        <v>10</v>
      </c>
      <c r="I229">
        <v>7.5698620507578668E-2</v>
      </c>
      <c r="J229" t="s">
        <v>6</v>
      </c>
      <c r="L229" t="s">
        <v>632</v>
      </c>
      <c r="M229" t="s">
        <v>10</v>
      </c>
      <c r="N229">
        <v>6.9142282874596769E-2</v>
      </c>
      <c r="O229" t="s">
        <v>6</v>
      </c>
    </row>
    <row r="230" spans="2:15" x14ac:dyDescent="0.45">
      <c r="B230" t="s">
        <v>630</v>
      </c>
      <c r="C230" t="s">
        <v>11</v>
      </c>
      <c r="D230">
        <v>3.5813291979634463E-3</v>
      </c>
      <c r="E230" t="s">
        <v>6</v>
      </c>
      <c r="G230" t="s">
        <v>631</v>
      </c>
      <c r="H230" t="s">
        <v>11</v>
      </c>
      <c r="I230">
        <v>0.12479735772506302</v>
      </c>
      <c r="J230" t="s">
        <v>6</v>
      </c>
      <c r="L230" t="s">
        <v>632</v>
      </c>
      <c r="M230" t="s">
        <v>11</v>
      </c>
      <c r="N230">
        <v>0.10841704183094249</v>
      </c>
      <c r="O230" t="s">
        <v>6</v>
      </c>
    </row>
    <row r="231" spans="2:15" x14ac:dyDescent="0.45">
      <c r="B231" t="s">
        <v>630</v>
      </c>
      <c r="C231" t="s">
        <v>12</v>
      </c>
      <c r="D231">
        <v>0.2556669231253898</v>
      </c>
      <c r="E231" t="s">
        <v>6</v>
      </c>
      <c r="G231" t="s">
        <v>631</v>
      </c>
      <c r="H231" t="s">
        <v>12</v>
      </c>
      <c r="I231">
        <v>0.17273774515626178</v>
      </c>
      <c r="J231" t="s">
        <v>6</v>
      </c>
      <c r="L231" t="s">
        <v>632</v>
      </c>
      <c r="M231" t="s">
        <v>12</v>
      </c>
      <c r="N231">
        <v>0.13120132033451179</v>
      </c>
      <c r="O231" t="s">
        <v>6</v>
      </c>
    </row>
    <row r="232" spans="2:15" x14ac:dyDescent="0.45">
      <c r="B232" t="s">
        <v>630</v>
      </c>
      <c r="C232" t="s">
        <v>13</v>
      </c>
      <c r="D232">
        <v>6.7025776854705054E-3</v>
      </c>
      <c r="E232" t="s">
        <v>6</v>
      </c>
      <c r="G232" t="s">
        <v>631</v>
      </c>
      <c r="H232" t="s">
        <v>13</v>
      </c>
      <c r="I232">
        <v>9.4004578443851253E-2</v>
      </c>
      <c r="J232" t="s">
        <v>6</v>
      </c>
      <c r="L232" t="s">
        <v>632</v>
      </c>
      <c r="M232" t="s">
        <v>13</v>
      </c>
      <c r="N232">
        <v>8.3407414674723637E-2</v>
      </c>
      <c r="O232" t="s">
        <v>6</v>
      </c>
    </row>
    <row r="233" spans="2:15" x14ac:dyDescent="0.45">
      <c r="B233" t="s">
        <v>630</v>
      </c>
      <c r="C233" t="s">
        <v>14</v>
      </c>
      <c r="D233">
        <v>7.188356522196235E-3</v>
      </c>
      <c r="E233" t="s">
        <v>6</v>
      </c>
      <c r="G233" t="s">
        <v>631</v>
      </c>
      <c r="H233" t="s">
        <v>14</v>
      </c>
      <c r="I233">
        <v>4.8095384070143021E-2</v>
      </c>
      <c r="J233" t="s">
        <v>6</v>
      </c>
      <c r="L233" t="s">
        <v>632</v>
      </c>
      <c r="M233" t="s">
        <v>14</v>
      </c>
      <c r="N233">
        <v>4.4101382050283709E-2</v>
      </c>
      <c r="O233" t="s">
        <v>6</v>
      </c>
    </row>
    <row r="234" spans="2:15" x14ac:dyDescent="0.45">
      <c r="B234" t="s">
        <v>630</v>
      </c>
      <c r="C234" t="s">
        <v>15</v>
      </c>
      <c r="D234">
        <v>0.34020650215831161</v>
      </c>
      <c r="E234" t="s">
        <v>6</v>
      </c>
      <c r="G234" t="s">
        <v>631</v>
      </c>
      <c r="H234" t="s">
        <v>15</v>
      </c>
      <c r="I234">
        <v>4.8391235622829203E-2</v>
      </c>
      <c r="J234" t="s">
        <v>6</v>
      </c>
      <c r="L234" t="s">
        <v>632</v>
      </c>
      <c r="M234" t="s">
        <v>15</v>
      </c>
      <c r="N234">
        <v>4.7945659538602532E-2</v>
      </c>
      <c r="O234" t="s">
        <v>6</v>
      </c>
    </row>
    <row r="235" spans="2:15" x14ac:dyDescent="0.45">
      <c r="B235" t="s">
        <v>630</v>
      </c>
      <c r="C235" t="s">
        <v>16</v>
      </c>
      <c r="D235">
        <v>1.3172538541598373E-2</v>
      </c>
      <c r="E235" t="s">
        <v>6</v>
      </c>
      <c r="G235" t="s">
        <v>631</v>
      </c>
      <c r="H235" t="s">
        <v>16</v>
      </c>
      <c r="I235">
        <v>3.5344877313982476E-2</v>
      </c>
      <c r="J235" t="s">
        <v>6</v>
      </c>
      <c r="L235" t="s">
        <v>632</v>
      </c>
      <c r="M235" t="s">
        <v>16</v>
      </c>
      <c r="N235">
        <v>3.3454455350595179E-2</v>
      </c>
      <c r="O235" t="s">
        <v>6</v>
      </c>
    </row>
    <row r="236" spans="2:15" x14ac:dyDescent="0.45">
      <c r="B236" t="s">
        <v>630</v>
      </c>
      <c r="C236" t="s">
        <v>17</v>
      </c>
      <c r="D236">
        <v>6.9083244832007632E-4</v>
      </c>
      <c r="E236" t="s">
        <v>6</v>
      </c>
      <c r="G236" t="s">
        <v>631</v>
      </c>
      <c r="H236" t="s">
        <v>17</v>
      </c>
      <c r="I236">
        <v>5.0290523692551541E-2</v>
      </c>
      <c r="J236" t="s">
        <v>6</v>
      </c>
      <c r="L236" t="s">
        <v>632</v>
      </c>
      <c r="M236" t="s">
        <v>17</v>
      </c>
      <c r="N236">
        <v>9.082310063580154E-2</v>
      </c>
      <c r="O236" t="s">
        <v>6</v>
      </c>
    </row>
    <row r="237" spans="2:15" x14ac:dyDescent="0.45">
      <c r="B237" t="s">
        <v>630</v>
      </c>
      <c r="C237" t="s">
        <v>18</v>
      </c>
      <c r="D237">
        <v>0.19724273928608316</v>
      </c>
      <c r="E237" t="s">
        <v>6</v>
      </c>
      <c r="G237" t="s">
        <v>631</v>
      </c>
      <c r="H237" t="s">
        <v>18</v>
      </c>
      <c r="I237">
        <v>7.8244321663151942E-2</v>
      </c>
      <c r="J237" t="s">
        <v>6</v>
      </c>
      <c r="L237" t="s">
        <v>632</v>
      </c>
      <c r="M237" t="s">
        <v>18</v>
      </c>
      <c r="N237">
        <v>0.11628882227369007</v>
      </c>
      <c r="O237" t="s">
        <v>6</v>
      </c>
    </row>
    <row r="238" spans="2:15" x14ac:dyDescent="0.45">
      <c r="B238" t="s">
        <v>630</v>
      </c>
      <c r="C238" t="s">
        <v>19</v>
      </c>
      <c r="D238">
        <v>1.3065478841029216E-3</v>
      </c>
      <c r="E238" t="s">
        <v>6</v>
      </c>
      <c r="G238" t="s">
        <v>631</v>
      </c>
      <c r="H238" t="s">
        <v>19</v>
      </c>
      <c r="I238">
        <v>4.189310388069812E-2</v>
      </c>
      <c r="J238" t="s">
        <v>6</v>
      </c>
      <c r="L238" t="s">
        <v>632</v>
      </c>
      <c r="M238" t="s">
        <v>19</v>
      </c>
      <c r="N238">
        <v>7.1090261142784647E-2</v>
      </c>
      <c r="O238" t="s">
        <v>6</v>
      </c>
    </row>
    <row r="239" spans="2:15" x14ac:dyDescent="0.45">
      <c r="B239" t="s">
        <v>633</v>
      </c>
      <c r="C239" t="s">
        <v>5</v>
      </c>
      <c r="D239">
        <v>0</v>
      </c>
      <c r="E239" t="s">
        <v>6</v>
      </c>
      <c r="L239" t="s">
        <v>634</v>
      </c>
      <c r="M239" t="s">
        <v>5</v>
      </c>
      <c r="N239">
        <v>0.10051901748915117</v>
      </c>
      <c r="O239" t="s">
        <v>6</v>
      </c>
    </row>
    <row r="240" spans="2:15" x14ac:dyDescent="0.45">
      <c r="B240" t="s">
        <v>633</v>
      </c>
      <c r="C240" t="s">
        <v>9</v>
      </c>
      <c r="D240">
        <v>0.16106963798052182</v>
      </c>
      <c r="E240" t="s">
        <v>6</v>
      </c>
      <c r="L240" t="s">
        <v>634</v>
      </c>
      <c r="M240" t="s">
        <v>9</v>
      </c>
      <c r="N240">
        <v>0.12957682717584745</v>
      </c>
      <c r="O240" t="s">
        <v>6</v>
      </c>
    </row>
    <row r="241" spans="2:15" x14ac:dyDescent="0.45">
      <c r="B241" t="s">
        <v>633</v>
      </c>
      <c r="C241" t="s">
        <v>10</v>
      </c>
      <c r="D241">
        <v>3.2803267174329008E-4</v>
      </c>
      <c r="E241" t="s">
        <v>6</v>
      </c>
      <c r="L241" t="s">
        <v>634</v>
      </c>
      <c r="M241" t="s">
        <v>10</v>
      </c>
      <c r="N241">
        <v>7.8299228855586656E-2</v>
      </c>
      <c r="O241" t="s">
        <v>6</v>
      </c>
    </row>
    <row r="242" spans="2:15" x14ac:dyDescent="0.45">
      <c r="B242" t="s">
        <v>633</v>
      </c>
      <c r="C242" t="s">
        <v>11</v>
      </c>
      <c r="D242">
        <v>3.6965131615837809E-3</v>
      </c>
      <c r="E242" t="s">
        <v>6</v>
      </c>
      <c r="L242" t="s">
        <v>634</v>
      </c>
      <c r="M242" t="s">
        <v>11</v>
      </c>
      <c r="N242">
        <v>0.10486347340118519</v>
      </c>
      <c r="O242" t="s">
        <v>6</v>
      </c>
    </row>
    <row r="243" spans="2:15" x14ac:dyDescent="0.45">
      <c r="B243" t="s">
        <v>633</v>
      </c>
      <c r="C243" t="s">
        <v>12</v>
      </c>
      <c r="D243">
        <v>0.26727248277937549</v>
      </c>
      <c r="E243" t="s">
        <v>6</v>
      </c>
      <c r="L243" t="s">
        <v>634</v>
      </c>
      <c r="M243" t="s">
        <v>12</v>
      </c>
      <c r="N243">
        <v>0.13879227433045591</v>
      </c>
      <c r="O243" t="s">
        <v>6</v>
      </c>
    </row>
    <row r="244" spans="2:15" x14ac:dyDescent="0.45">
      <c r="B244" t="s">
        <v>633</v>
      </c>
      <c r="C244" t="s">
        <v>13</v>
      </c>
      <c r="D244">
        <v>6.8735005889844387E-3</v>
      </c>
      <c r="E244" t="s">
        <v>6</v>
      </c>
      <c r="L244" t="s">
        <v>634</v>
      </c>
      <c r="M244" t="s">
        <v>13</v>
      </c>
      <c r="N244">
        <v>8.0916816083104734E-2</v>
      </c>
      <c r="O244" t="s">
        <v>6</v>
      </c>
    </row>
    <row r="245" spans="2:15" x14ac:dyDescent="0.45">
      <c r="B245" t="s">
        <v>633</v>
      </c>
      <c r="C245" t="s">
        <v>14</v>
      </c>
      <c r="D245">
        <v>7.0360489319289546E-3</v>
      </c>
      <c r="E245" t="s">
        <v>6</v>
      </c>
      <c r="L245" t="s">
        <v>634</v>
      </c>
      <c r="M245" t="s">
        <v>14</v>
      </c>
      <c r="N245">
        <v>3.6738706082798764E-2</v>
      </c>
      <c r="O245" t="s">
        <v>6</v>
      </c>
    </row>
    <row r="246" spans="2:15" x14ac:dyDescent="0.45">
      <c r="B246" t="s">
        <v>633</v>
      </c>
      <c r="C246" t="s">
        <v>15</v>
      </c>
      <c r="D246">
        <v>0.3382278710777778</v>
      </c>
      <c r="E246" t="s">
        <v>6</v>
      </c>
      <c r="L246" t="s">
        <v>634</v>
      </c>
      <c r="M246" t="s">
        <v>15</v>
      </c>
      <c r="N246">
        <v>5.2009848804665484E-2</v>
      </c>
      <c r="O246" t="s">
        <v>6</v>
      </c>
    </row>
    <row r="247" spans="2:15" x14ac:dyDescent="0.45">
      <c r="B247" t="s">
        <v>633</v>
      </c>
      <c r="C247" t="s">
        <v>16</v>
      </c>
      <c r="D247">
        <v>1.2805243897672462E-2</v>
      </c>
      <c r="E247" t="s">
        <v>6</v>
      </c>
      <c r="L247" t="s">
        <v>634</v>
      </c>
      <c r="M247" t="s">
        <v>16</v>
      </c>
      <c r="N247">
        <v>3.3118564975889588E-2</v>
      </c>
      <c r="O247" t="s">
        <v>6</v>
      </c>
    </row>
    <row r="248" spans="2:15" x14ac:dyDescent="0.45">
      <c r="B248" t="s">
        <v>633</v>
      </c>
      <c r="C248" t="s">
        <v>17</v>
      </c>
      <c r="D248">
        <v>7.3473853974254002E-4</v>
      </c>
      <c r="E248" t="s">
        <v>6</v>
      </c>
      <c r="L248" t="s">
        <v>634</v>
      </c>
      <c r="M248" t="s">
        <v>17</v>
      </c>
      <c r="N248">
        <v>8.3120464908266883E-2</v>
      </c>
      <c r="O248" t="s">
        <v>6</v>
      </c>
    </row>
    <row r="249" spans="2:15" x14ac:dyDescent="0.45">
      <c r="B249" t="s">
        <v>633</v>
      </c>
      <c r="C249" t="s">
        <v>18</v>
      </c>
      <c r="D249">
        <v>0.2006751324413478</v>
      </c>
      <c r="E249" t="s">
        <v>6</v>
      </c>
      <c r="L249" t="s">
        <v>634</v>
      </c>
      <c r="M249" t="s">
        <v>18</v>
      </c>
      <c r="N249">
        <v>0.10192900178506183</v>
      </c>
      <c r="O249" t="s">
        <v>6</v>
      </c>
    </row>
    <row r="250" spans="2:15" x14ac:dyDescent="0.45">
      <c r="B250" t="s">
        <v>633</v>
      </c>
      <c r="C250" t="s">
        <v>19</v>
      </c>
      <c r="D250">
        <v>1.2807979293235736E-3</v>
      </c>
      <c r="E250" t="s">
        <v>6</v>
      </c>
      <c r="L250" t="s">
        <v>634</v>
      </c>
      <c r="M250" t="s">
        <v>19</v>
      </c>
      <c r="N250">
        <v>6.0115776107982626E-2</v>
      </c>
      <c r="O250" t="s">
        <v>6</v>
      </c>
    </row>
    <row r="251" spans="2:15" x14ac:dyDescent="0.45">
      <c r="B251" t="s">
        <v>635</v>
      </c>
      <c r="C251" t="s">
        <v>5</v>
      </c>
      <c r="D251">
        <v>0</v>
      </c>
      <c r="E251" t="s">
        <v>6</v>
      </c>
    </row>
    <row r="252" spans="2:15" x14ac:dyDescent="0.45">
      <c r="B252" t="s">
        <v>635</v>
      </c>
      <c r="C252" t="s">
        <v>9</v>
      </c>
      <c r="D252">
        <v>0.16844272838104654</v>
      </c>
      <c r="E252" t="s">
        <v>6</v>
      </c>
    </row>
    <row r="253" spans="2:15" x14ac:dyDescent="0.45">
      <c r="B253" t="s">
        <v>635</v>
      </c>
      <c r="C253" t="s">
        <v>10</v>
      </c>
      <c r="D253">
        <v>5.1465972404970994E-4</v>
      </c>
      <c r="E253" t="s">
        <v>6</v>
      </c>
    </row>
    <row r="254" spans="2:15" x14ac:dyDescent="0.45">
      <c r="B254" t="s">
        <v>635</v>
      </c>
      <c r="C254" t="s">
        <v>11</v>
      </c>
      <c r="D254">
        <v>3.0549048884223359E-3</v>
      </c>
      <c r="E254" t="s">
        <v>6</v>
      </c>
    </row>
    <row r="255" spans="2:15" x14ac:dyDescent="0.45">
      <c r="B255" t="s">
        <v>635</v>
      </c>
      <c r="C255" t="s">
        <v>12</v>
      </c>
      <c r="D255">
        <v>0.25909427340075386</v>
      </c>
      <c r="E255" t="s">
        <v>6</v>
      </c>
    </row>
    <row r="256" spans="2:15" x14ac:dyDescent="0.45">
      <c r="B256" t="s">
        <v>635</v>
      </c>
      <c r="C256" t="s">
        <v>13</v>
      </c>
      <c r="D256">
        <v>7.6074780757442416E-3</v>
      </c>
      <c r="E256" t="s">
        <v>6</v>
      </c>
    </row>
    <row r="257" spans="2:5" x14ac:dyDescent="0.45">
      <c r="B257" t="s">
        <v>635</v>
      </c>
      <c r="C257" t="s">
        <v>14</v>
      </c>
      <c r="D257">
        <v>6.0963124255884633E-3</v>
      </c>
      <c r="E257" t="s">
        <v>6</v>
      </c>
    </row>
    <row r="258" spans="2:5" x14ac:dyDescent="0.45">
      <c r="B258" t="s">
        <v>635</v>
      </c>
      <c r="C258" t="s">
        <v>15</v>
      </c>
      <c r="D258">
        <v>0.34239035634214365</v>
      </c>
      <c r="E258" t="s">
        <v>6</v>
      </c>
    </row>
    <row r="259" spans="2:5" x14ac:dyDescent="0.45">
      <c r="B259" t="s">
        <v>635</v>
      </c>
      <c r="C259" t="s">
        <v>16</v>
      </c>
      <c r="D259">
        <v>1.4153529824161562E-2</v>
      </c>
      <c r="E259" t="s">
        <v>6</v>
      </c>
    </row>
    <row r="260" spans="2:5" x14ac:dyDescent="0.45">
      <c r="B260" t="s">
        <v>635</v>
      </c>
      <c r="C260" t="s">
        <v>17</v>
      </c>
      <c r="D260">
        <v>5.7432158013171364E-4</v>
      </c>
      <c r="E260" t="s">
        <v>6</v>
      </c>
    </row>
    <row r="261" spans="2:5" x14ac:dyDescent="0.45">
      <c r="B261" t="s">
        <v>635</v>
      </c>
      <c r="C261" t="s">
        <v>18</v>
      </c>
      <c r="D261">
        <v>0.19642084344421873</v>
      </c>
      <c r="E261" t="s">
        <v>6</v>
      </c>
    </row>
    <row r="262" spans="2:5" x14ac:dyDescent="0.45">
      <c r="B262" t="s">
        <v>635</v>
      </c>
      <c r="C262" t="s">
        <v>19</v>
      </c>
      <c r="D262">
        <v>1.6505919137405208E-3</v>
      </c>
      <c r="E262" t="s">
        <v>6</v>
      </c>
    </row>
    <row r="263" spans="2:5" x14ac:dyDescent="0.45">
      <c r="B263" t="s">
        <v>636</v>
      </c>
      <c r="C263" t="s">
        <v>5</v>
      </c>
      <c r="D263">
        <v>0</v>
      </c>
      <c r="E263" t="s">
        <v>6</v>
      </c>
    </row>
    <row r="264" spans="2:5" x14ac:dyDescent="0.45">
      <c r="B264" t="s">
        <v>636</v>
      </c>
      <c r="C264" t="s">
        <v>9</v>
      </c>
      <c r="D264">
        <v>0.16393885157406041</v>
      </c>
      <c r="E264" t="s">
        <v>6</v>
      </c>
    </row>
    <row r="265" spans="2:5" x14ac:dyDescent="0.45">
      <c r="B265" t="s">
        <v>636</v>
      </c>
      <c r="C265" t="s">
        <v>10</v>
      </c>
      <c r="D265">
        <v>3.9337363252083348E-4</v>
      </c>
      <c r="E265" t="s">
        <v>6</v>
      </c>
    </row>
    <row r="266" spans="2:5" x14ac:dyDescent="0.45">
      <c r="B266" t="s">
        <v>636</v>
      </c>
      <c r="C266" t="s">
        <v>11</v>
      </c>
      <c r="D266">
        <v>3.4585677989070161E-3</v>
      </c>
      <c r="E266" t="s">
        <v>6</v>
      </c>
    </row>
    <row r="267" spans="2:5" x14ac:dyDescent="0.45">
      <c r="B267" t="s">
        <v>636</v>
      </c>
      <c r="C267" t="s">
        <v>12</v>
      </c>
      <c r="D267">
        <v>0.26719891728367934</v>
      </c>
      <c r="E267" t="s">
        <v>6</v>
      </c>
    </row>
    <row r="268" spans="2:5" x14ac:dyDescent="0.45">
      <c r="B268" t="s">
        <v>636</v>
      </c>
      <c r="C268" t="s">
        <v>13</v>
      </c>
      <c r="D268">
        <v>6.7031189679160018E-3</v>
      </c>
      <c r="E268" t="s">
        <v>6</v>
      </c>
    </row>
    <row r="269" spans="2:5" x14ac:dyDescent="0.45">
      <c r="B269" t="s">
        <v>636</v>
      </c>
      <c r="C269" t="s">
        <v>14</v>
      </c>
      <c r="D269">
        <v>6.7078798072432696E-3</v>
      </c>
      <c r="E269" t="s">
        <v>6</v>
      </c>
    </row>
    <row r="270" spans="2:5" x14ac:dyDescent="0.45">
      <c r="B270" t="s">
        <v>636</v>
      </c>
      <c r="C270" t="s">
        <v>15</v>
      </c>
      <c r="D270">
        <v>0.33047786276151697</v>
      </c>
      <c r="E270" t="s">
        <v>6</v>
      </c>
    </row>
    <row r="271" spans="2:5" x14ac:dyDescent="0.45">
      <c r="B271" t="s">
        <v>636</v>
      </c>
      <c r="C271" t="s">
        <v>16</v>
      </c>
      <c r="D271">
        <v>1.1744678622973811E-2</v>
      </c>
      <c r="E271" t="s">
        <v>6</v>
      </c>
    </row>
    <row r="272" spans="2:5" x14ac:dyDescent="0.45">
      <c r="B272" t="s">
        <v>636</v>
      </c>
      <c r="C272" t="s">
        <v>17</v>
      </c>
      <c r="D272">
        <v>7.723675426382755E-4</v>
      </c>
      <c r="E272" t="s">
        <v>6</v>
      </c>
    </row>
    <row r="273" spans="2:5" x14ac:dyDescent="0.45">
      <c r="B273" t="s">
        <v>636</v>
      </c>
      <c r="C273" t="s">
        <v>18</v>
      </c>
      <c r="D273">
        <v>0.20731750806622909</v>
      </c>
      <c r="E273" t="s">
        <v>6</v>
      </c>
    </row>
    <row r="274" spans="2:5" x14ac:dyDescent="0.45">
      <c r="B274" t="s">
        <v>636</v>
      </c>
      <c r="C274" t="s">
        <v>19</v>
      </c>
      <c r="D274">
        <v>1.2868739423178043E-3</v>
      </c>
      <c r="E274" t="s">
        <v>6</v>
      </c>
    </row>
    <row r="275" spans="2:5" x14ac:dyDescent="0.45">
      <c r="B275" t="s">
        <v>637</v>
      </c>
      <c r="C275" t="s">
        <v>5</v>
      </c>
      <c r="D275">
        <v>0</v>
      </c>
      <c r="E275" t="s">
        <v>6</v>
      </c>
    </row>
    <row r="276" spans="2:5" x14ac:dyDescent="0.45">
      <c r="B276" t="s">
        <v>637</v>
      </c>
      <c r="C276" t="s">
        <v>9</v>
      </c>
      <c r="D276">
        <v>0.17059955399667434</v>
      </c>
      <c r="E276" t="s">
        <v>6</v>
      </c>
    </row>
    <row r="277" spans="2:5" x14ac:dyDescent="0.45">
      <c r="B277" t="s">
        <v>637</v>
      </c>
      <c r="C277" t="s">
        <v>10</v>
      </c>
      <c r="D277">
        <v>5.9568439408367831E-4</v>
      </c>
      <c r="E277" t="s">
        <v>6</v>
      </c>
    </row>
    <row r="278" spans="2:5" x14ac:dyDescent="0.45">
      <c r="B278" t="s">
        <v>637</v>
      </c>
      <c r="C278" t="s">
        <v>11</v>
      </c>
      <c r="D278">
        <v>2.8025796268153023E-3</v>
      </c>
      <c r="E278" t="s">
        <v>6</v>
      </c>
    </row>
    <row r="279" spans="2:5" x14ac:dyDescent="0.45">
      <c r="B279" t="s">
        <v>637</v>
      </c>
      <c r="C279" t="s">
        <v>12</v>
      </c>
      <c r="D279">
        <v>0.26135018189994014</v>
      </c>
      <c r="E279" t="s">
        <v>6</v>
      </c>
    </row>
    <row r="280" spans="2:5" x14ac:dyDescent="0.45">
      <c r="B280" t="s">
        <v>637</v>
      </c>
      <c r="C280" t="s">
        <v>13</v>
      </c>
      <c r="D280">
        <v>7.8913870333807527E-3</v>
      </c>
      <c r="E280" t="s">
        <v>6</v>
      </c>
    </row>
    <row r="281" spans="2:5" x14ac:dyDescent="0.45">
      <c r="B281" t="s">
        <v>637</v>
      </c>
      <c r="C281" t="s">
        <v>14</v>
      </c>
      <c r="D281">
        <v>5.6976806723302428E-3</v>
      </c>
      <c r="E281" t="s">
        <v>6</v>
      </c>
    </row>
    <row r="282" spans="2:5" x14ac:dyDescent="0.45">
      <c r="B282" t="s">
        <v>637</v>
      </c>
      <c r="C282" t="s">
        <v>15</v>
      </c>
      <c r="D282">
        <v>0.33491926748442025</v>
      </c>
      <c r="E282" t="s">
        <v>6</v>
      </c>
    </row>
    <row r="283" spans="2:5" x14ac:dyDescent="0.45">
      <c r="B283" t="s">
        <v>637</v>
      </c>
      <c r="C283" t="s">
        <v>16</v>
      </c>
      <c r="D283">
        <v>1.3663684714757039E-2</v>
      </c>
      <c r="E283" t="s">
        <v>6</v>
      </c>
    </row>
    <row r="284" spans="2:5" x14ac:dyDescent="0.45">
      <c r="B284" t="s">
        <v>637</v>
      </c>
      <c r="C284" t="s">
        <v>17</v>
      </c>
      <c r="D284">
        <v>5.3797216215896297E-4</v>
      </c>
      <c r="E284" t="s">
        <v>6</v>
      </c>
    </row>
    <row r="285" spans="2:5" x14ac:dyDescent="0.45">
      <c r="B285" t="s">
        <v>637</v>
      </c>
      <c r="C285" t="s">
        <v>18</v>
      </c>
      <c r="D285">
        <v>0.20029632228138022</v>
      </c>
      <c r="E285" t="s">
        <v>6</v>
      </c>
    </row>
    <row r="286" spans="2:5" x14ac:dyDescent="0.45">
      <c r="B286" t="s">
        <v>637</v>
      </c>
      <c r="C286" t="s">
        <v>19</v>
      </c>
      <c r="D286">
        <v>1.6456857340560887E-3</v>
      </c>
      <c r="E286" t="s">
        <v>6</v>
      </c>
    </row>
    <row r="287" spans="2:5" x14ac:dyDescent="0.45">
      <c r="B287" t="s">
        <v>638</v>
      </c>
      <c r="C287" t="s">
        <v>5</v>
      </c>
      <c r="D287">
        <v>0</v>
      </c>
      <c r="E287" t="s">
        <v>6</v>
      </c>
    </row>
    <row r="288" spans="2:5" x14ac:dyDescent="0.45">
      <c r="B288" t="s">
        <v>638</v>
      </c>
      <c r="C288" t="s">
        <v>9</v>
      </c>
      <c r="D288">
        <v>0.17181250622385</v>
      </c>
      <c r="E288" t="s">
        <v>6</v>
      </c>
    </row>
    <row r="289" spans="2:5" x14ac:dyDescent="0.45">
      <c r="B289" t="s">
        <v>638</v>
      </c>
      <c r="C289" t="s">
        <v>10</v>
      </c>
      <c r="D289">
        <v>6.3485979203011455E-4</v>
      </c>
      <c r="E289" t="s">
        <v>6</v>
      </c>
    </row>
    <row r="290" spans="2:5" x14ac:dyDescent="0.45">
      <c r="B290" t="s">
        <v>638</v>
      </c>
      <c r="C290" t="s">
        <v>11</v>
      </c>
      <c r="D290">
        <v>2.9669372416388632E-3</v>
      </c>
      <c r="E290" t="s">
        <v>6</v>
      </c>
    </row>
    <row r="291" spans="2:5" x14ac:dyDescent="0.45">
      <c r="B291" t="s">
        <v>638</v>
      </c>
      <c r="C291" t="s">
        <v>12</v>
      </c>
      <c r="D291">
        <v>0.26903947385450339</v>
      </c>
      <c r="E291" t="s">
        <v>6</v>
      </c>
    </row>
    <row r="292" spans="2:5" x14ac:dyDescent="0.45">
      <c r="B292" t="s">
        <v>638</v>
      </c>
      <c r="C292" t="s">
        <v>13</v>
      </c>
      <c r="D292">
        <v>7.6130180759853639E-3</v>
      </c>
      <c r="E292" t="s">
        <v>6</v>
      </c>
    </row>
    <row r="293" spans="2:5" x14ac:dyDescent="0.45">
      <c r="B293" t="s">
        <v>638</v>
      </c>
      <c r="C293" t="s">
        <v>14</v>
      </c>
      <c r="D293">
        <v>5.5601596533137523E-3</v>
      </c>
      <c r="E293" t="s">
        <v>6</v>
      </c>
    </row>
    <row r="294" spans="2:5" x14ac:dyDescent="0.45">
      <c r="B294" t="s">
        <v>638</v>
      </c>
      <c r="C294" t="s">
        <v>15</v>
      </c>
      <c r="D294">
        <v>0.31963554125195293</v>
      </c>
      <c r="E294" t="s">
        <v>6</v>
      </c>
    </row>
    <row r="295" spans="2:5" x14ac:dyDescent="0.45">
      <c r="B295" t="s">
        <v>638</v>
      </c>
      <c r="C295" t="s">
        <v>16</v>
      </c>
      <c r="D295">
        <v>1.2596880483826046E-2</v>
      </c>
      <c r="E295" t="s">
        <v>6</v>
      </c>
    </row>
    <row r="296" spans="2:5" x14ac:dyDescent="0.45">
      <c r="B296" t="s">
        <v>638</v>
      </c>
      <c r="C296" t="s">
        <v>17</v>
      </c>
      <c r="D296">
        <v>6.034555682977496E-4</v>
      </c>
      <c r="E296" t="s">
        <v>6</v>
      </c>
    </row>
    <row r="297" spans="2:5" x14ac:dyDescent="0.45">
      <c r="B297" t="s">
        <v>638</v>
      </c>
      <c r="C297" t="s">
        <v>18</v>
      </c>
      <c r="D297">
        <v>0.2079669269462622</v>
      </c>
      <c r="E297" t="s">
        <v>6</v>
      </c>
    </row>
    <row r="298" spans="2:5" x14ac:dyDescent="0.45">
      <c r="B298" t="s">
        <v>638</v>
      </c>
      <c r="C298" t="s">
        <v>19</v>
      </c>
      <c r="D298">
        <v>1.5702409083353812E-3</v>
      </c>
      <c r="E298" t="s">
        <v>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DA080-C6CE-4A4E-8F69-863A9D25F384}">
  <dimension ref="B9:BL73"/>
  <sheetViews>
    <sheetView workbookViewId="0"/>
  </sheetViews>
  <sheetFormatPr defaultRowHeight="14.25" x14ac:dyDescent="0.45"/>
  <sheetData>
    <row r="9" spans="2:64" x14ac:dyDescent="0.45">
      <c r="B9" t="str">
        <f>IF(A11="x","DeActivated","~TFM_DINS-TSL: attribute=FLO_EMIS; other_indexes=ACT; region=ITA")</f>
        <v>~TFM_DINS-TSL: attribute=FLO_EMIS; other_indexes=ACT; region=ITA</v>
      </c>
      <c r="Q9" t="str">
        <f>IF(A11="x","DeActivated","~TFM_INS-TSL: attribute=FLO_SHAR; limtype=FX; region=ITA")</f>
        <v>~TFM_INS-TSL: attribute=FLO_SHAR; limtype=FX; region=ITA</v>
      </c>
      <c r="AF9" t="str">
        <f>IF(A11="x","DeActivated","~TFM_INS-TSL: attribute=FLO_SHAR; limtype=FX; region=ITA")</f>
        <v>~TFM_INS-TSL: attribute=FLO_SHAR; limtype=FX; region=ITA</v>
      </c>
      <c r="AU9" t="str">
        <f>IF(A11="x","DeActivated","~TFM_DINS-TSL: attribute=NCAP_PKCNT; region=ITA")</f>
        <v>~TFM_DINS-TSL: attribute=NCAP_PKCNT; region=ITA</v>
      </c>
      <c r="BI9" t="str">
        <f>IF(A11="x","DeActivated","~TFM_DINS-AT: region=ITA")</f>
        <v>~TFM_DINS-AT: region=ITA</v>
      </c>
    </row>
    <row r="10" spans="2:64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Q10" t="s">
        <v>3</v>
      </c>
      <c r="R10" t="s">
        <v>0</v>
      </c>
      <c r="S10" t="s">
        <v>5</v>
      </c>
      <c r="T10" t="s">
        <v>9</v>
      </c>
      <c r="U10" t="s">
        <v>10</v>
      </c>
      <c r="V10" t="s">
        <v>11</v>
      </c>
      <c r="W10" t="s">
        <v>12</v>
      </c>
      <c r="X10" t="s">
        <v>13</v>
      </c>
      <c r="Y10" t="s">
        <v>14</v>
      </c>
      <c r="Z10" t="s">
        <v>15</v>
      </c>
      <c r="AA10" t="s">
        <v>16</v>
      </c>
      <c r="AB10" t="s">
        <v>17</v>
      </c>
      <c r="AC10" t="s">
        <v>18</v>
      </c>
      <c r="AD10" t="s">
        <v>19</v>
      </c>
      <c r="AF10" t="s">
        <v>3</v>
      </c>
      <c r="AG10" t="s">
        <v>0</v>
      </c>
      <c r="AH10" t="s">
        <v>5</v>
      </c>
      <c r="AI10" t="s">
        <v>9</v>
      </c>
      <c r="AJ10" t="s">
        <v>10</v>
      </c>
      <c r="AK10" t="s">
        <v>11</v>
      </c>
      <c r="AL10" t="s">
        <v>12</v>
      </c>
      <c r="AM10" t="s">
        <v>13</v>
      </c>
      <c r="AN10" t="s">
        <v>14</v>
      </c>
      <c r="AO10" t="s">
        <v>15</v>
      </c>
      <c r="AP10" t="s">
        <v>16</v>
      </c>
      <c r="AQ10" t="s">
        <v>17</v>
      </c>
      <c r="AR10" t="s">
        <v>18</v>
      </c>
      <c r="AS10" t="s">
        <v>19</v>
      </c>
      <c r="AU10" t="s">
        <v>3</v>
      </c>
      <c r="AV10" t="s">
        <v>5</v>
      </c>
      <c r="AW10" t="s">
        <v>9</v>
      </c>
      <c r="AX10" t="s">
        <v>10</v>
      </c>
      <c r="AY10" t="s">
        <v>11</v>
      </c>
      <c r="AZ10" t="s">
        <v>12</v>
      </c>
      <c r="BA10" t="s">
        <v>13</v>
      </c>
      <c r="BB10" t="s">
        <v>14</v>
      </c>
      <c r="BC10" t="s">
        <v>15</v>
      </c>
      <c r="BD10" t="s">
        <v>16</v>
      </c>
      <c r="BE10" t="s">
        <v>17</v>
      </c>
      <c r="BF10" t="s">
        <v>18</v>
      </c>
      <c r="BG10" t="s">
        <v>19</v>
      </c>
      <c r="BI10" t="s">
        <v>3</v>
      </c>
      <c r="BJ10" t="s">
        <v>0</v>
      </c>
      <c r="BK10" t="s">
        <v>92</v>
      </c>
      <c r="BL10" t="s">
        <v>93</v>
      </c>
    </row>
    <row r="11" spans="2:64" x14ac:dyDescent="0.45">
      <c r="B11" t="s">
        <v>639</v>
      </c>
      <c r="C11" t="s">
        <v>95</v>
      </c>
      <c r="D11">
        <v>0</v>
      </c>
      <c r="E11">
        <v>0.27911369214824694</v>
      </c>
      <c r="F11">
        <v>0.93713827475111489</v>
      </c>
      <c r="G11">
        <v>0.88307506592488894</v>
      </c>
      <c r="H11">
        <v>0.18312749839186293</v>
      </c>
      <c r="I11">
        <v>0.74908873305005319</v>
      </c>
      <c r="J11">
        <v>0.81154680668424761</v>
      </c>
      <c r="K11">
        <v>0.13551546748342388</v>
      </c>
      <c r="L11">
        <v>0.6721337863111716</v>
      </c>
      <c r="M11">
        <v>0.9542139453980687</v>
      </c>
      <c r="N11">
        <v>0.21745679412096727</v>
      </c>
      <c r="O11">
        <v>0.89597078726237234</v>
      </c>
      <c r="Q11" t="s">
        <v>96</v>
      </c>
      <c r="R11" t="s">
        <v>97</v>
      </c>
      <c r="S11">
        <v>0</v>
      </c>
      <c r="T11">
        <v>0.14933299934365354</v>
      </c>
      <c r="U11">
        <v>0.88836540188582258</v>
      </c>
      <c r="V11">
        <v>0.7323709052639289</v>
      </c>
      <c r="W11">
        <v>8.5573628159140658E-2</v>
      </c>
      <c r="X11">
        <v>0.60367796960965769</v>
      </c>
      <c r="Y11">
        <v>0.64789106338370894</v>
      </c>
      <c r="Z11">
        <v>6.3536062051444117E-2</v>
      </c>
      <c r="AA11">
        <v>0.51616316370455217</v>
      </c>
      <c r="AB11">
        <v>0.84085556445106857</v>
      </c>
      <c r="AC11">
        <v>0.11158345918938228</v>
      </c>
      <c r="AD11">
        <v>0.83304027342982001</v>
      </c>
      <c r="AF11" t="s">
        <v>96</v>
      </c>
      <c r="AG11" t="s">
        <v>98</v>
      </c>
      <c r="AH11">
        <v>0</v>
      </c>
      <c r="AI11">
        <v>1.4212352108069129E-2</v>
      </c>
      <c r="AJ11">
        <v>0</v>
      </c>
      <c r="AK11">
        <v>0</v>
      </c>
      <c r="AL11">
        <v>1.6847740572662702E-2</v>
      </c>
      <c r="AM11">
        <v>0</v>
      </c>
      <c r="AN11">
        <v>0</v>
      </c>
      <c r="AO11">
        <v>1.6032237775301628E-3</v>
      </c>
      <c r="AP11">
        <v>0</v>
      </c>
      <c r="AQ11">
        <v>0</v>
      </c>
      <c r="AR11">
        <v>2.5395682558734197E-2</v>
      </c>
      <c r="AS11">
        <v>0</v>
      </c>
      <c r="AU11" t="s">
        <v>639</v>
      </c>
      <c r="AV11">
        <v>0</v>
      </c>
      <c r="AW11">
        <v>0.29885106489579066</v>
      </c>
      <c r="AX11">
        <v>3.0658725705273882E-3</v>
      </c>
      <c r="AY11">
        <v>4.1873946806789191E-3</v>
      </c>
      <c r="AZ11">
        <v>0.45527899983880904</v>
      </c>
      <c r="BA11">
        <v>2.5624107061539749E-2</v>
      </c>
      <c r="BB11">
        <v>7.3320046529651607E-3</v>
      </c>
      <c r="BC11">
        <v>0.50372655129461141</v>
      </c>
      <c r="BD11">
        <v>3.8783669030384979E-2</v>
      </c>
      <c r="BE11">
        <v>5.9650739370137155E-4</v>
      </c>
      <c r="BF11">
        <v>0.3850533800582932</v>
      </c>
      <c r="BG11">
        <v>6.0561355821339658E-3</v>
      </c>
      <c r="BI11" t="s">
        <v>639</v>
      </c>
      <c r="BJ11" t="s">
        <v>99</v>
      </c>
      <c r="BK11" t="s">
        <v>100</v>
      </c>
      <c r="BL11">
        <v>0.45846078478239527</v>
      </c>
    </row>
    <row r="12" spans="2:64" x14ac:dyDescent="0.45">
      <c r="B12" t="s">
        <v>640</v>
      </c>
      <c r="C12" t="s">
        <v>95</v>
      </c>
      <c r="D12">
        <v>0</v>
      </c>
      <c r="E12">
        <v>0.2831706433549987</v>
      </c>
      <c r="F12">
        <v>0.94230038200615729</v>
      </c>
      <c r="G12">
        <v>0.87786494040144769</v>
      </c>
      <c r="H12">
        <v>0.19153410415693042</v>
      </c>
      <c r="I12">
        <v>0.74975743833467146</v>
      </c>
      <c r="J12">
        <v>0.80700626668006736</v>
      </c>
      <c r="K12">
        <v>0.13458580965052952</v>
      </c>
      <c r="L12">
        <v>0.66851537337307176</v>
      </c>
      <c r="M12">
        <v>0.95424085436040829</v>
      </c>
      <c r="N12">
        <v>0.22660162479961185</v>
      </c>
      <c r="O12">
        <v>0.89658607875406726</v>
      </c>
      <c r="Q12" t="s">
        <v>102</v>
      </c>
      <c r="R12" t="s">
        <v>97</v>
      </c>
      <c r="S12">
        <v>1.793014465146786E-3</v>
      </c>
      <c r="T12">
        <v>4.5928317764087068E-3</v>
      </c>
      <c r="U12">
        <v>1.9278051312205026E-4</v>
      </c>
      <c r="V12">
        <v>3.1868748011479155E-3</v>
      </c>
      <c r="W12">
        <v>6.8298004607824404E-3</v>
      </c>
      <c r="X12">
        <v>0</v>
      </c>
      <c r="Y12">
        <v>1.054041592516122E-3</v>
      </c>
      <c r="Z12">
        <v>1.064972036059352E-2</v>
      </c>
      <c r="AA12">
        <v>4.43096434170703E-4</v>
      </c>
      <c r="AB12">
        <v>4.5609308581494737E-3</v>
      </c>
      <c r="AC12">
        <v>3.784290143057362E-3</v>
      </c>
      <c r="AD12">
        <v>2.5195996959070381E-3</v>
      </c>
      <c r="AF12" t="s">
        <v>102</v>
      </c>
      <c r="AG12" t="s">
        <v>98</v>
      </c>
      <c r="AH12">
        <v>3.7499937372704917E-3</v>
      </c>
      <c r="AI12">
        <v>1.978148841516908E-2</v>
      </c>
      <c r="AJ12">
        <v>1.4241426869551328E-2</v>
      </c>
      <c r="AK12">
        <v>8.8931788415846716E-3</v>
      </c>
      <c r="AL12">
        <v>2.1776604014176564E-2</v>
      </c>
      <c r="AM12">
        <v>1.7299940005727262E-2</v>
      </c>
      <c r="AN12">
        <v>6.8807148097875168E-4</v>
      </c>
      <c r="AO12">
        <v>8.5420298953725309E-3</v>
      </c>
      <c r="AP12">
        <v>2.7755726820636824E-2</v>
      </c>
      <c r="AQ12">
        <v>6.2461750906118137E-3</v>
      </c>
      <c r="AR12">
        <v>1.1784795472378883E-2</v>
      </c>
      <c r="AS12">
        <v>1.2640160991309352E-2</v>
      </c>
      <c r="AU12" t="s">
        <v>640</v>
      </c>
      <c r="AV12">
        <v>0</v>
      </c>
      <c r="AW12">
        <v>0.29517824774449825</v>
      </c>
      <c r="AX12">
        <v>2.8548443951120005E-3</v>
      </c>
      <c r="AY12">
        <v>4.0899562312118887E-3</v>
      </c>
      <c r="AZ12">
        <v>0.44046112606384197</v>
      </c>
      <c r="BA12">
        <v>2.4583016961710939E-2</v>
      </c>
      <c r="BB12">
        <v>7.6910190517522339E-3</v>
      </c>
      <c r="BC12">
        <v>0.5088065143293572</v>
      </c>
      <c r="BD12">
        <v>3.9140396808910481E-2</v>
      </c>
      <c r="BE12">
        <v>6.0008219903001962E-4</v>
      </c>
      <c r="BF12">
        <v>0.37262364916852803</v>
      </c>
      <c r="BG12">
        <v>6.0823850179314532E-3</v>
      </c>
      <c r="BI12" t="s">
        <v>640</v>
      </c>
      <c r="BJ12" t="s">
        <v>99</v>
      </c>
      <c r="BK12" t="s">
        <v>100</v>
      </c>
      <c r="BL12">
        <v>0.43875583166799298</v>
      </c>
    </row>
    <row r="13" spans="2:64" x14ac:dyDescent="0.45">
      <c r="B13" t="s">
        <v>641</v>
      </c>
      <c r="C13" t="s">
        <v>95</v>
      </c>
      <c r="D13">
        <v>0</v>
      </c>
      <c r="E13">
        <v>0.25784297251299726</v>
      </c>
      <c r="F13">
        <v>0.94340609806002473</v>
      </c>
      <c r="G13">
        <v>0.85179215386227491</v>
      </c>
      <c r="H13">
        <v>0.16326790845534392</v>
      </c>
      <c r="I13">
        <v>0.77096509422160964</v>
      </c>
      <c r="J13">
        <v>0.80030544369685375</v>
      </c>
      <c r="K13">
        <v>0.12985325665865671</v>
      </c>
      <c r="L13">
        <v>0.70397006673071716</v>
      </c>
      <c r="M13">
        <v>0.92741486306521215</v>
      </c>
      <c r="N13">
        <v>0.20576391094064569</v>
      </c>
      <c r="O13">
        <v>0.91639449166835329</v>
      </c>
      <c r="Q13" t="s">
        <v>104</v>
      </c>
      <c r="R13" t="s">
        <v>97</v>
      </c>
      <c r="S13">
        <v>2.4869113173784898E-4</v>
      </c>
      <c r="T13">
        <v>1.7341769449604649E-3</v>
      </c>
      <c r="U13">
        <v>5.6013511578117854E-5</v>
      </c>
      <c r="V13">
        <v>1.5098981710181983E-3</v>
      </c>
      <c r="W13">
        <v>3.2427287610806788E-3</v>
      </c>
      <c r="X13">
        <v>1.2924040178392349E-3</v>
      </c>
      <c r="Y13">
        <v>7.6339681412021174E-3</v>
      </c>
      <c r="Z13">
        <v>6.7668807926978547E-3</v>
      </c>
      <c r="AA13">
        <v>1.7905992936880595E-3</v>
      </c>
      <c r="AB13">
        <v>2.7277821157503696E-3</v>
      </c>
      <c r="AC13">
        <v>5.0098840717978659E-4</v>
      </c>
      <c r="AD13">
        <v>4.5987396215112691E-4</v>
      </c>
      <c r="AF13" t="s">
        <v>104</v>
      </c>
      <c r="AG13" t="s">
        <v>98</v>
      </c>
      <c r="AH13">
        <v>9.8634787530484948E-4</v>
      </c>
      <c r="AI13">
        <v>8.3881298655437125E-3</v>
      </c>
      <c r="AJ13">
        <v>1.1058680731466018E-2</v>
      </c>
      <c r="AK13">
        <v>1.1045007776741087E-2</v>
      </c>
      <c r="AL13">
        <v>1.290114162772108E-2</v>
      </c>
      <c r="AM13">
        <v>7.5759016243129194E-3</v>
      </c>
      <c r="AN13">
        <v>8.1122516124300745E-3</v>
      </c>
      <c r="AO13">
        <v>1.0464015546309985E-2</v>
      </c>
      <c r="AP13">
        <v>7.4068206454582838E-3</v>
      </c>
      <c r="AQ13">
        <v>8.5094657202239368E-3</v>
      </c>
      <c r="AR13">
        <v>4.6867865806963348E-3</v>
      </c>
      <c r="AS13">
        <v>1.3517894675424064E-3</v>
      </c>
      <c r="AU13" t="s">
        <v>641</v>
      </c>
      <c r="AV13">
        <v>0</v>
      </c>
      <c r="AW13">
        <v>0.31060134253338878</v>
      </c>
      <c r="AX13">
        <v>1.6615358831108919E-3</v>
      </c>
      <c r="AY13">
        <v>7.1568980521322656E-3</v>
      </c>
      <c r="AZ13">
        <v>0.48789133829969261</v>
      </c>
      <c r="BA13">
        <v>1.8555221061767935E-2</v>
      </c>
      <c r="BB13">
        <v>1.1357022984313623E-2</v>
      </c>
      <c r="BC13">
        <v>0.52241842604567734</v>
      </c>
      <c r="BD13">
        <v>2.8373263065789252E-2</v>
      </c>
      <c r="BE13">
        <v>1.8871125839705703E-3</v>
      </c>
      <c r="BF13">
        <v>0.38294643644932708</v>
      </c>
      <c r="BG13">
        <v>3.2661933878004572E-3</v>
      </c>
      <c r="BI13" t="s">
        <v>641</v>
      </c>
      <c r="BJ13" t="s">
        <v>99</v>
      </c>
      <c r="BK13" t="s">
        <v>100</v>
      </c>
      <c r="BL13">
        <v>0.45304183712179341</v>
      </c>
    </row>
    <row r="14" spans="2:64" x14ac:dyDescent="0.45">
      <c r="B14" t="s">
        <v>642</v>
      </c>
      <c r="C14" t="s">
        <v>95</v>
      </c>
      <c r="D14">
        <v>0</v>
      </c>
      <c r="E14">
        <v>0.25441588014495325</v>
      </c>
      <c r="F14">
        <v>0.9659355687945157</v>
      </c>
      <c r="G14">
        <v>0.83771685156895426</v>
      </c>
      <c r="H14">
        <v>0.16295254984856161</v>
      </c>
      <c r="I14">
        <v>0.78249928753362519</v>
      </c>
      <c r="J14">
        <v>0.79164561767553221</v>
      </c>
      <c r="K14">
        <v>0.13145943137628988</v>
      </c>
      <c r="L14">
        <v>0.71458347564214242</v>
      </c>
      <c r="M14">
        <v>0.91836167912268607</v>
      </c>
      <c r="N14">
        <v>0.21678712403903369</v>
      </c>
      <c r="O14">
        <v>0.93670829420469726</v>
      </c>
      <c r="AU14" t="s">
        <v>642</v>
      </c>
      <c r="AV14">
        <v>0</v>
      </c>
      <c r="AW14">
        <v>0.32895584845624803</v>
      </c>
      <c r="AX14">
        <v>8.2485709001911664E-4</v>
      </c>
      <c r="AY14">
        <v>9.7449737725371997E-3</v>
      </c>
      <c r="AZ14">
        <v>0.49021735079657575</v>
      </c>
      <c r="BA14">
        <v>1.4709702481011189E-2</v>
      </c>
      <c r="BB14">
        <v>1.4711194676196037E-2</v>
      </c>
      <c r="BC14">
        <v>0.50977200892264374</v>
      </c>
      <c r="BD14">
        <v>2.2935684197583545E-2</v>
      </c>
      <c r="BE14">
        <v>3.1661480758625017E-3</v>
      </c>
      <c r="BF14">
        <v>0.3861528256099292</v>
      </c>
      <c r="BG14">
        <v>2.2039912515863574E-3</v>
      </c>
      <c r="BI14" t="s">
        <v>642</v>
      </c>
      <c r="BJ14" t="s">
        <v>99</v>
      </c>
      <c r="BK14" t="s">
        <v>100</v>
      </c>
      <c r="BL14">
        <v>0.47146798719880695</v>
      </c>
    </row>
    <row r="15" spans="2:64" x14ac:dyDescent="0.45">
      <c r="B15" t="s">
        <v>643</v>
      </c>
      <c r="C15" t="s">
        <v>95</v>
      </c>
      <c r="D15">
        <v>0</v>
      </c>
      <c r="E15">
        <v>0.27144820207750431</v>
      </c>
      <c r="F15">
        <v>0.98139939831055867</v>
      </c>
      <c r="G15">
        <v>0.82889693753551652</v>
      </c>
      <c r="H15">
        <v>0.1719862094596806</v>
      </c>
      <c r="I15">
        <v>0.79089664761488832</v>
      </c>
      <c r="J15">
        <v>0.78097073328910993</v>
      </c>
      <c r="K15">
        <v>0.12901056374719846</v>
      </c>
      <c r="L15">
        <v>0.71921009220053789</v>
      </c>
      <c r="M15">
        <v>0.9144715425087544</v>
      </c>
      <c r="N15">
        <v>0.22749305259322108</v>
      </c>
      <c r="O15">
        <v>0.94411910162152701</v>
      </c>
      <c r="AU15" t="s">
        <v>643</v>
      </c>
      <c r="AV15">
        <v>0</v>
      </c>
      <c r="AW15">
        <v>0.30538574551821718</v>
      </c>
      <c r="AX15">
        <v>3.3855200956176321E-4</v>
      </c>
      <c r="AY15">
        <v>1.1836200170918292E-2</v>
      </c>
      <c r="AZ15">
        <v>0.47651124343323059</v>
      </c>
      <c r="BA15">
        <v>1.1407782370932894E-2</v>
      </c>
      <c r="BB15">
        <v>1.7476629726686572E-2</v>
      </c>
      <c r="BC15">
        <v>0.50512902564924245</v>
      </c>
      <c r="BD15">
        <v>1.9774884619202442E-2</v>
      </c>
      <c r="BE15">
        <v>4.5638976774421526E-3</v>
      </c>
      <c r="BF15">
        <v>0.36807882371613576</v>
      </c>
      <c r="BG15">
        <v>1.4154420057959033E-3</v>
      </c>
      <c r="BI15" t="s">
        <v>643</v>
      </c>
      <c r="BJ15" t="s">
        <v>99</v>
      </c>
      <c r="BK15" t="s">
        <v>100</v>
      </c>
      <c r="BL15">
        <v>0.46078076658826761</v>
      </c>
    </row>
    <row r="16" spans="2:64" x14ac:dyDescent="0.45">
      <c r="B16" t="s">
        <v>644</v>
      </c>
      <c r="C16" t="s">
        <v>95</v>
      </c>
      <c r="D16">
        <v>0</v>
      </c>
      <c r="E16">
        <v>0.2958363216159165</v>
      </c>
      <c r="F16">
        <v>0.9751979044837652</v>
      </c>
      <c r="G16">
        <v>0.84036188158997338</v>
      </c>
      <c r="H16">
        <v>0.18753782642725647</v>
      </c>
      <c r="I16">
        <v>0.78116367907338602</v>
      </c>
      <c r="J16">
        <v>0.78323149912496248</v>
      </c>
      <c r="K16">
        <v>0.13827109861286038</v>
      </c>
      <c r="L16">
        <v>0.70406722534137356</v>
      </c>
      <c r="M16">
        <v>0.92329478574828039</v>
      </c>
      <c r="N16">
        <v>0.2498888383120996</v>
      </c>
      <c r="O16">
        <v>0.93772893772893773</v>
      </c>
      <c r="AU16" t="s">
        <v>644</v>
      </c>
      <c r="AV16">
        <v>0</v>
      </c>
      <c r="AW16">
        <v>0.26945283667955272</v>
      </c>
      <c r="AX16">
        <v>5.3469020149627614E-4</v>
      </c>
      <c r="AY16">
        <v>8.8747928675564029E-3</v>
      </c>
      <c r="AZ16">
        <v>0.43712409849323036</v>
      </c>
      <c r="BA16">
        <v>1.3447139812603461E-2</v>
      </c>
      <c r="BB16">
        <v>1.5070626819143951E-2</v>
      </c>
      <c r="BC16">
        <v>0.48542143538385663</v>
      </c>
      <c r="BD16">
        <v>2.2505876343205517E-2</v>
      </c>
      <c r="BE16">
        <v>2.7459693227725292E-3</v>
      </c>
      <c r="BF16">
        <v>0.33973339415041853</v>
      </c>
      <c r="BG16">
        <v>2.1780723708030637E-3</v>
      </c>
      <c r="BI16" t="s">
        <v>644</v>
      </c>
      <c r="BJ16" t="s">
        <v>99</v>
      </c>
      <c r="BK16" t="s">
        <v>100</v>
      </c>
      <c r="BL16">
        <v>0.42844149158790851</v>
      </c>
    </row>
    <row r="17" spans="2:64" x14ac:dyDescent="0.45">
      <c r="B17" t="s">
        <v>645</v>
      </c>
      <c r="C17" t="s">
        <v>95</v>
      </c>
      <c r="D17">
        <v>0</v>
      </c>
      <c r="E17">
        <v>0.28629020354855494</v>
      </c>
      <c r="F17">
        <v>0.98634522698857285</v>
      </c>
      <c r="G17">
        <v>0.8238220183962196</v>
      </c>
      <c r="H17">
        <v>0.17546934849751392</v>
      </c>
      <c r="I17">
        <v>0.7887200110075715</v>
      </c>
      <c r="J17">
        <v>0.77605546226074262</v>
      </c>
      <c r="K17">
        <v>0.13380180138974379</v>
      </c>
      <c r="L17">
        <v>0.7138619270340828</v>
      </c>
      <c r="M17">
        <v>0.91048810617837228</v>
      </c>
      <c r="N17">
        <v>0.24138083016551695</v>
      </c>
      <c r="O17">
        <v>0.94700702344983267</v>
      </c>
      <c r="AU17" t="s">
        <v>645</v>
      </c>
      <c r="AV17">
        <v>0</v>
      </c>
      <c r="AW17">
        <v>0.28512732923036221</v>
      </c>
      <c r="AX17">
        <v>1.3771525948398373E-4</v>
      </c>
      <c r="AY17">
        <v>1.2329551687487282E-2</v>
      </c>
      <c r="AZ17">
        <v>0.46643216556837142</v>
      </c>
      <c r="BA17">
        <v>1.0959547843954122E-2</v>
      </c>
      <c r="BB17">
        <v>1.8772920790961524E-2</v>
      </c>
      <c r="BC17">
        <v>0.49656882745413067</v>
      </c>
      <c r="BD17">
        <v>1.9123713166030901E-2</v>
      </c>
      <c r="BE17">
        <v>4.5485167890144352E-3</v>
      </c>
      <c r="BF17">
        <v>0.35646051777866566</v>
      </c>
      <c r="BG17">
        <v>1.4222788920080079E-3</v>
      </c>
      <c r="BI17" t="s">
        <v>645</v>
      </c>
      <c r="BJ17" t="s">
        <v>99</v>
      </c>
      <c r="BK17" t="s">
        <v>100</v>
      </c>
      <c r="BL17">
        <v>0.45099208679522845</v>
      </c>
    </row>
    <row r="18" spans="2:64" x14ac:dyDescent="0.45">
      <c r="B18" t="s">
        <v>646</v>
      </c>
      <c r="C18" t="s">
        <v>95</v>
      </c>
      <c r="D18">
        <v>0</v>
      </c>
      <c r="E18">
        <v>0.31416161777478147</v>
      </c>
      <c r="F18">
        <v>0.96831054470879241</v>
      </c>
      <c r="G18">
        <v>0.84918054312613456</v>
      </c>
      <c r="H18">
        <v>0.19035108207129903</v>
      </c>
      <c r="I18">
        <v>0.76721994105562619</v>
      </c>
      <c r="J18">
        <v>0.78846849497215099</v>
      </c>
      <c r="K18">
        <v>0.13805738998850511</v>
      </c>
      <c r="L18">
        <v>0.69071244026985956</v>
      </c>
      <c r="M18">
        <v>0.93658315448515572</v>
      </c>
      <c r="N18">
        <v>0.24276529052095011</v>
      </c>
      <c r="O18">
        <v>0.92759740790751077</v>
      </c>
      <c r="AU18" t="s">
        <v>646</v>
      </c>
      <c r="AV18">
        <v>0</v>
      </c>
      <c r="AW18">
        <v>0.28670520306835873</v>
      </c>
      <c r="AX18">
        <v>1.0086894166168973E-3</v>
      </c>
      <c r="AY18">
        <v>7.1666212215664412E-3</v>
      </c>
      <c r="AZ18">
        <v>0.42488676775658457</v>
      </c>
      <c r="BA18">
        <v>1.6150203976892114E-2</v>
      </c>
      <c r="BB18">
        <v>1.2917107602933709E-2</v>
      </c>
      <c r="BC18">
        <v>0.48891107286777058</v>
      </c>
      <c r="BD18">
        <v>2.7109792286962298E-2</v>
      </c>
      <c r="BE18">
        <v>1.836990521683431E-3</v>
      </c>
      <c r="BF18">
        <v>0.34405262882001997</v>
      </c>
      <c r="BG18">
        <v>3.0467766352490692E-3</v>
      </c>
      <c r="BI18" t="s">
        <v>646</v>
      </c>
      <c r="BJ18" t="s">
        <v>99</v>
      </c>
      <c r="BK18" t="s">
        <v>100</v>
      </c>
      <c r="BL18">
        <v>0.40909616567617596</v>
      </c>
    </row>
    <row r="19" spans="2:64" x14ac:dyDescent="0.45">
      <c r="B19" t="s">
        <v>647</v>
      </c>
      <c r="C19" t="s">
        <v>95</v>
      </c>
      <c r="D19">
        <v>0</v>
      </c>
      <c r="E19">
        <v>0.33908214291867073</v>
      </c>
      <c r="F19">
        <v>0.97777777777777797</v>
      </c>
      <c r="G19">
        <v>0.84740316246775627</v>
      </c>
      <c r="H19">
        <v>0.2027503592784157</v>
      </c>
      <c r="I19">
        <v>0.76987246611405435</v>
      </c>
      <c r="J19">
        <v>0.78359588077619269</v>
      </c>
      <c r="K19">
        <v>0.13874152745814361</v>
      </c>
      <c r="L19">
        <v>0.69029566567228084</v>
      </c>
      <c r="M19">
        <v>0.93852381796621009</v>
      </c>
      <c r="N19">
        <v>0.26552596960178176</v>
      </c>
      <c r="O19">
        <v>0.93496388553475684</v>
      </c>
      <c r="AU19" t="s">
        <v>647</v>
      </c>
      <c r="AV19">
        <v>0</v>
      </c>
      <c r="AW19">
        <v>0.24839524776697397</v>
      </c>
      <c r="AX19">
        <v>5.4975738976373366E-4</v>
      </c>
      <c r="AY19">
        <v>7.7765729189039432E-3</v>
      </c>
      <c r="AZ19">
        <v>0.41702592497652902</v>
      </c>
      <c r="BA19">
        <v>1.4844495748997323E-2</v>
      </c>
      <c r="BB19">
        <v>1.3725737057794909E-2</v>
      </c>
      <c r="BC19">
        <v>0.4914719901374246</v>
      </c>
      <c r="BD19">
        <v>2.6919075825002418E-2</v>
      </c>
      <c r="BE19">
        <v>2.0481757302129875E-3</v>
      </c>
      <c r="BF19">
        <v>0.32610174691332727</v>
      </c>
      <c r="BG19">
        <v>2.7633345053947977E-3</v>
      </c>
      <c r="BI19" t="s">
        <v>647</v>
      </c>
      <c r="BJ19" t="s">
        <v>99</v>
      </c>
      <c r="BK19" t="s">
        <v>100</v>
      </c>
      <c r="BL19">
        <v>0.43448973563092308</v>
      </c>
    </row>
    <row r="20" spans="2:64" x14ac:dyDescent="0.45">
      <c r="B20" t="s">
        <v>648</v>
      </c>
      <c r="C20" t="s">
        <v>95</v>
      </c>
      <c r="D20">
        <v>0</v>
      </c>
      <c r="E20">
        <v>0.31184381577348891</v>
      </c>
      <c r="F20">
        <v>0.97777777777777797</v>
      </c>
      <c r="G20">
        <v>0.83813429809196105</v>
      </c>
      <c r="H20">
        <v>0.18377344553796451</v>
      </c>
      <c r="I20">
        <v>0.77596415811241737</v>
      </c>
      <c r="J20">
        <v>0.78098888300049707</v>
      </c>
      <c r="K20">
        <v>0.14009739423776058</v>
      </c>
      <c r="L20">
        <v>0.70178437053533094</v>
      </c>
      <c r="M20">
        <v>0.92719780219780223</v>
      </c>
      <c r="N20">
        <v>0.25440239623877675</v>
      </c>
      <c r="O20">
        <v>0.93762152668110343</v>
      </c>
      <c r="AU20" t="s">
        <v>648</v>
      </c>
      <c r="AV20">
        <v>0</v>
      </c>
      <c r="AW20">
        <v>0.27016767796241836</v>
      </c>
      <c r="AX20">
        <v>4.1074767169611647E-4</v>
      </c>
      <c r="AY20">
        <v>9.3875576740155876E-3</v>
      </c>
      <c r="AZ20">
        <v>0.44790579085495902</v>
      </c>
      <c r="BA20">
        <v>1.3492070417231612E-2</v>
      </c>
      <c r="BB20">
        <v>1.5537869480087372E-2</v>
      </c>
      <c r="BC20">
        <v>0.48259957826803063</v>
      </c>
      <c r="BD20">
        <v>2.3097320441344119E-2</v>
      </c>
      <c r="BE20">
        <v>2.9424482752329895E-3</v>
      </c>
      <c r="BF20">
        <v>0.34872199910928392</v>
      </c>
      <c r="BG20">
        <v>2.1676236834443884E-3</v>
      </c>
      <c r="BI20" t="s">
        <v>648</v>
      </c>
      <c r="BJ20" t="s">
        <v>99</v>
      </c>
      <c r="BK20" t="s">
        <v>100</v>
      </c>
      <c r="BL20">
        <v>0.43879846675457174</v>
      </c>
    </row>
    <row r="21" spans="2:64" x14ac:dyDescent="0.45">
      <c r="B21" t="s">
        <v>649</v>
      </c>
      <c r="C21" t="s">
        <v>95</v>
      </c>
      <c r="D21">
        <v>0</v>
      </c>
      <c r="E21">
        <v>0.30844111609853153</v>
      </c>
      <c r="F21">
        <v>0.95000000000000007</v>
      </c>
      <c r="G21">
        <v>0.88176154058999556</v>
      </c>
      <c r="H21">
        <v>0.20967735848605359</v>
      </c>
      <c r="I21">
        <v>0.70918811829760997</v>
      </c>
      <c r="J21">
        <v>0.80100479666518598</v>
      </c>
      <c r="K21">
        <v>0.15651419439190356</v>
      </c>
      <c r="L21">
        <v>0.63507114297697864</v>
      </c>
      <c r="M21">
        <v>0.96790943417879993</v>
      </c>
      <c r="N21">
        <v>0.27827835847826909</v>
      </c>
      <c r="O21">
        <v>0.89367546571303647</v>
      </c>
      <c r="AU21" t="s">
        <v>649</v>
      </c>
      <c r="AV21">
        <v>0</v>
      </c>
      <c r="AW21">
        <v>0.34640944847085092</v>
      </c>
      <c r="AX21">
        <v>3.6123556849699933E-3</v>
      </c>
      <c r="AY21">
        <v>4.3892856073728687E-3</v>
      </c>
      <c r="AZ21">
        <v>0.46570847505070345</v>
      </c>
      <c r="BA21">
        <v>3.266722609246353E-2</v>
      </c>
      <c r="BB21">
        <v>7.7054743469031507E-3</v>
      </c>
      <c r="BC21">
        <v>0.46548426920353819</v>
      </c>
      <c r="BD21">
        <v>4.3218253085441659E-2</v>
      </c>
      <c r="BE21">
        <v>2.7164629409089563E-4</v>
      </c>
      <c r="BF21">
        <v>0.32823795679064999</v>
      </c>
      <c r="BG21">
        <v>6.5208343451346592E-3</v>
      </c>
      <c r="BI21" t="s">
        <v>649</v>
      </c>
      <c r="BJ21" t="s">
        <v>99</v>
      </c>
      <c r="BK21" t="s">
        <v>100</v>
      </c>
      <c r="BL21">
        <v>0.45609522048104262</v>
      </c>
    </row>
    <row r="22" spans="2:64" x14ac:dyDescent="0.45">
      <c r="B22" t="s">
        <v>650</v>
      </c>
      <c r="C22" t="s">
        <v>95</v>
      </c>
      <c r="D22">
        <v>0</v>
      </c>
      <c r="E22">
        <v>0.34776611975175298</v>
      </c>
      <c r="F22">
        <v>0.95922649062768472</v>
      </c>
      <c r="G22">
        <v>0.87806503898650312</v>
      </c>
      <c r="H22">
        <v>0.25936751782156026</v>
      </c>
      <c r="I22">
        <v>0.74235462817167841</v>
      </c>
      <c r="J22">
        <v>0.79332741804911633</v>
      </c>
      <c r="K22">
        <v>0.15835486590697503</v>
      </c>
      <c r="L22">
        <v>0.64673378993892705</v>
      </c>
      <c r="M22">
        <v>0.96141753455084733</v>
      </c>
      <c r="N22">
        <v>0.34126501326048242</v>
      </c>
      <c r="O22">
        <v>0.90427668803369921</v>
      </c>
      <c r="AU22" t="s">
        <v>650</v>
      </c>
      <c r="AV22">
        <v>0</v>
      </c>
      <c r="AW22">
        <v>0.2648831766668196</v>
      </c>
      <c r="AX22">
        <v>1.9537459630788101E-3</v>
      </c>
      <c r="AY22">
        <v>4.0374871691071425E-3</v>
      </c>
      <c r="AZ22">
        <v>0.35320419564936151</v>
      </c>
      <c r="BA22">
        <v>2.0482436729784146E-2</v>
      </c>
      <c r="BB22">
        <v>8.7158730268568126E-3</v>
      </c>
      <c r="BC22">
        <v>0.44169451448224034</v>
      </c>
      <c r="BD22">
        <v>3.5921674922114157E-2</v>
      </c>
      <c r="BE22">
        <v>5.438609206085092E-4</v>
      </c>
      <c r="BF22">
        <v>0.26347509460880886</v>
      </c>
      <c r="BG22">
        <v>4.7425707153247159E-3</v>
      </c>
      <c r="BI22" t="s">
        <v>650</v>
      </c>
      <c r="BJ22" t="s">
        <v>99</v>
      </c>
      <c r="BK22" t="s">
        <v>100</v>
      </c>
      <c r="BL22">
        <v>0.40490734405522116</v>
      </c>
    </row>
    <row r="23" spans="2:64" x14ac:dyDescent="0.45">
      <c r="B23" t="s">
        <v>651</v>
      </c>
      <c r="C23" t="s">
        <v>95</v>
      </c>
      <c r="D23">
        <v>0</v>
      </c>
      <c r="E23">
        <v>0.36703879881541573</v>
      </c>
      <c r="F23">
        <v>0.9560961593510191</v>
      </c>
      <c r="G23">
        <v>0.87848955975331033</v>
      </c>
      <c r="H23">
        <v>0.26218099036249276</v>
      </c>
      <c r="I23">
        <v>0.74541329386861654</v>
      </c>
      <c r="J23">
        <v>0.79487715491784516</v>
      </c>
      <c r="K23">
        <v>0.14816299904959107</v>
      </c>
      <c r="L23">
        <v>0.65058381216090877</v>
      </c>
      <c r="M23">
        <v>0.96128571393561391</v>
      </c>
      <c r="N23">
        <v>0.33282645550445983</v>
      </c>
      <c r="O23">
        <v>0.90392628823144372</v>
      </c>
      <c r="AU23" t="s">
        <v>651</v>
      </c>
      <c r="AV23">
        <v>0</v>
      </c>
      <c r="AW23">
        <v>0.23771290695150799</v>
      </c>
      <c r="AX23">
        <v>1.7954333690281628E-3</v>
      </c>
      <c r="AY23">
        <v>3.9946331046518827E-3</v>
      </c>
      <c r="AZ23">
        <v>0.34533076591309148</v>
      </c>
      <c r="BA23">
        <v>1.9716938876627507E-2</v>
      </c>
      <c r="BB23">
        <v>8.5530523071526022E-3</v>
      </c>
      <c r="BC23">
        <v>0.45821259708375112</v>
      </c>
      <c r="BD23">
        <v>3.6611971866009813E-2</v>
      </c>
      <c r="BE23">
        <v>5.907911746268797E-4</v>
      </c>
      <c r="BF23">
        <v>0.26261050258799229</v>
      </c>
      <c r="BG23">
        <v>4.9275035810622094E-3</v>
      </c>
      <c r="BI23" t="s">
        <v>651</v>
      </c>
      <c r="BJ23" t="s">
        <v>99</v>
      </c>
      <c r="BK23" t="s">
        <v>100</v>
      </c>
      <c r="BL23">
        <v>0.39461159532313833</v>
      </c>
    </row>
    <row r="24" spans="2:64" x14ac:dyDescent="0.45">
      <c r="B24" t="s">
        <v>652</v>
      </c>
      <c r="C24" t="s">
        <v>95</v>
      </c>
      <c r="D24">
        <v>0</v>
      </c>
      <c r="E24">
        <v>0.34210959109468919</v>
      </c>
      <c r="F24">
        <v>0.95184929854842371</v>
      </c>
      <c r="G24">
        <v>0.88346159003486047</v>
      </c>
      <c r="H24">
        <v>0.2670943715265568</v>
      </c>
      <c r="I24">
        <v>0.73643109631332204</v>
      </c>
      <c r="J24">
        <v>0.79904188049025993</v>
      </c>
      <c r="K24">
        <v>0.15289311176062725</v>
      </c>
      <c r="L24">
        <v>0.64161405824714202</v>
      </c>
      <c r="M24">
        <v>0.963201932669704</v>
      </c>
      <c r="N24">
        <v>0.33608329542730769</v>
      </c>
      <c r="O24">
        <v>0.89463444109922097</v>
      </c>
      <c r="AU24" t="s">
        <v>652</v>
      </c>
      <c r="AV24">
        <v>0</v>
      </c>
      <c r="AW24">
        <v>0.27809737596478851</v>
      </c>
      <c r="AX24">
        <v>2.5175232857418722E-3</v>
      </c>
      <c r="AY24">
        <v>3.3116244095730413E-3</v>
      </c>
      <c r="AZ24">
        <v>0.35344987813264261</v>
      </c>
      <c r="BA24">
        <v>2.2560871530371052E-2</v>
      </c>
      <c r="BB24">
        <v>7.1958145339121185E-3</v>
      </c>
      <c r="BC24">
        <v>0.44647288831597814</v>
      </c>
      <c r="BD24">
        <v>3.9194218538932853E-2</v>
      </c>
      <c r="BE24">
        <v>3.9984778260937921E-4</v>
      </c>
      <c r="BF24">
        <v>0.26414928759552575</v>
      </c>
      <c r="BG24">
        <v>5.6232444782663947E-3</v>
      </c>
      <c r="BI24" t="s">
        <v>652</v>
      </c>
      <c r="BJ24" t="s">
        <v>99</v>
      </c>
      <c r="BK24" t="s">
        <v>100</v>
      </c>
      <c r="BL24">
        <v>0.40243922821623301</v>
      </c>
    </row>
    <row r="25" spans="2:64" x14ac:dyDescent="0.45">
      <c r="B25" t="s">
        <v>653</v>
      </c>
      <c r="C25" t="s">
        <v>95</v>
      </c>
      <c r="D25">
        <v>0</v>
      </c>
      <c r="E25">
        <v>0.3157162366771028</v>
      </c>
      <c r="F25">
        <v>0.9481481481481483</v>
      </c>
      <c r="G25">
        <v>0.88125558966263562</v>
      </c>
      <c r="H25">
        <v>0.21917423566544597</v>
      </c>
      <c r="I25">
        <v>0.72276505184821149</v>
      </c>
      <c r="J25">
        <v>0.80222297935819764</v>
      </c>
      <c r="K25">
        <v>0.14389459471189012</v>
      </c>
      <c r="L25">
        <v>0.6401989773915534</v>
      </c>
      <c r="M25">
        <v>0.96366062472752156</v>
      </c>
      <c r="N25">
        <v>0.25868676643131577</v>
      </c>
      <c r="O25">
        <v>0.88894107023182567</v>
      </c>
      <c r="AU25" t="s">
        <v>653</v>
      </c>
      <c r="AV25">
        <v>0</v>
      </c>
      <c r="AW25">
        <v>0.31076757640138641</v>
      </c>
      <c r="AX25">
        <v>3.2427894693873621E-3</v>
      </c>
      <c r="AY25">
        <v>3.755918893400921E-3</v>
      </c>
      <c r="AZ25">
        <v>0.41713829945713732</v>
      </c>
      <c r="BA25">
        <v>2.7217419293161061E-2</v>
      </c>
      <c r="BB25">
        <v>7.1572105665077476E-3</v>
      </c>
      <c r="BC25">
        <v>0.46954251584692919</v>
      </c>
      <c r="BD25">
        <v>4.1468048014482992E-2</v>
      </c>
      <c r="BE25">
        <v>3.6027481246836033E-4</v>
      </c>
      <c r="BF25">
        <v>0.32489100277890465</v>
      </c>
      <c r="BG25">
        <v>6.5320897623620446E-3</v>
      </c>
      <c r="BI25" t="s">
        <v>653</v>
      </c>
      <c r="BJ25" t="s">
        <v>99</v>
      </c>
      <c r="BK25" t="s">
        <v>100</v>
      </c>
      <c r="BL25">
        <v>0.43021146345327421</v>
      </c>
    </row>
    <row r="26" spans="2:64" x14ac:dyDescent="0.45">
      <c r="B26" t="s">
        <v>654</v>
      </c>
      <c r="C26" t="s">
        <v>95</v>
      </c>
      <c r="D26">
        <v>0</v>
      </c>
      <c r="E26">
        <v>0.35294755981820203</v>
      </c>
      <c r="F26">
        <v>0.96666666666666667</v>
      </c>
      <c r="G26">
        <v>0.86886460893563466</v>
      </c>
      <c r="H26">
        <v>0.24792486435009828</v>
      </c>
      <c r="I26">
        <v>0.7498974181452267</v>
      </c>
      <c r="J26">
        <v>0.78976332141550731</v>
      </c>
      <c r="K26">
        <v>0.14866185874339627</v>
      </c>
      <c r="L26">
        <v>0.65300758886887733</v>
      </c>
      <c r="M26">
        <v>0.95735020361136525</v>
      </c>
      <c r="N26">
        <v>0.32893884472975915</v>
      </c>
      <c r="O26">
        <v>0.91581509668599403</v>
      </c>
      <c r="AU26" t="s">
        <v>654</v>
      </c>
      <c r="AV26">
        <v>0</v>
      </c>
      <c r="AW26">
        <v>0.26879588712556352</v>
      </c>
      <c r="AX26">
        <v>1.3155065048168506E-3</v>
      </c>
      <c r="AY26">
        <v>4.882451423684259E-3</v>
      </c>
      <c r="AZ26">
        <v>0.35158045882626315</v>
      </c>
      <c r="BA26">
        <v>1.7485352613266881E-2</v>
      </c>
      <c r="BB26">
        <v>1.034853708356087E-2</v>
      </c>
      <c r="BC26">
        <v>0.43144587099320836</v>
      </c>
      <c r="BD26">
        <v>3.1440424761915074E-2</v>
      </c>
      <c r="BE26">
        <v>8.1043827376014457E-4</v>
      </c>
      <c r="BF26">
        <v>0.27689471736769261</v>
      </c>
      <c r="BG26">
        <v>3.8875514533703967E-3</v>
      </c>
      <c r="BI26" t="s">
        <v>654</v>
      </c>
      <c r="BJ26" t="s">
        <v>99</v>
      </c>
      <c r="BK26" t="s">
        <v>100</v>
      </c>
      <c r="BL26">
        <v>0.36087806088670893</v>
      </c>
    </row>
    <row r="27" spans="2:64" x14ac:dyDescent="0.45">
      <c r="B27" t="s">
        <v>655</v>
      </c>
      <c r="C27" t="s">
        <v>95</v>
      </c>
      <c r="D27">
        <v>0</v>
      </c>
      <c r="E27">
        <v>0.32987832720602062</v>
      </c>
      <c r="F27">
        <v>0.96641375055654855</v>
      </c>
      <c r="G27">
        <v>0.85150275513507956</v>
      </c>
      <c r="H27">
        <v>0.20963877686704951</v>
      </c>
      <c r="I27">
        <v>0.74047319662265532</v>
      </c>
      <c r="J27">
        <v>0.78427032068518765</v>
      </c>
      <c r="K27">
        <v>0.1539452850705153</v>
      </c>
      <c r="L27">
        <v>0.65651484677509575</v>
      </c>
      <c r="M27">
        <v>0.94975462778506548</v>
      </c>
      <c r="N27">
        <v>0.2981120391305328</v>
      </c>
      <c r="O27">
        <v>0.91580084644722659</v>
      </c>
      <c r="AU27" t="s">
        <v>655</v>
      </c>
      <c r="AV27">
        <v>0</v>
      </c>
      <c r="AW27">
        <v>0.29437580317211126</v>
      </c>
      <c r="AX27">
        <v>1.0631598402829881E-3</v>
      </c>
      <c r="AY27">
        <v>6.5888003738013871E-3</v>
      </c>
      <c r="AZ27">
        <v>0.41856523265351347</v>
      </c>
      <c r="BA27">
        <v>1.9215875287254099E-2</v>
      </c>
      <c r="BB27">
        <v>1.2360821705548149E-2</v>
      </c>
      <c r="BC27">
        <v>0.44697433704656603</v>
      </c>
      <c r="BD27">
        <v>3.0303887556795635E-2</v>
      </c>
      <c r="BE27">
        <v>9.27002539187603E-4</v>
      </c>
      <c r="BF27">
        <v>0.30224178794887974</v>
      </c>
      <c r="BG27">
        <v>3.4979242345776038E-3</v>
      </c>
      <c r="BI27" t="s">
        <v>655</v>
      </c>
      <c r="BJ27" t="s">
        <v>99</v>
      </c>
      <c r="BK27" t="s">
        <v>100</v>
      </c>
      <c r="BL27">
        <v>0.40028018043499303</v>
      </c>
    </row>
    <row r="28" spans="2:64" x14ac:dyDescent="0.45">
      <c r="B28" t="s">
        <v>656</v>
      </c>
      <c r="C28" t="s">
        <v>95</v>
      </c>
      <c r="D28">
        <v>0</v>
      </c>
      <c r="E28">
        <v>0.3716904248272086</v>
      </c>
      <c r="F28">
        <v>0.98333333333333339</v>
      </c>
      <c r="G28">
        <v>0.84803297164025604</v>
      </c>
      <c r="H28">
        <v>0.24484800112759469</v>
      </c>
      <c r="I28">
        <v>0.7638453510279507</v>
      </c>
      <c r="J28">
        <v>0.77810125538695796</v>
      </c>
      <c r="K28">
        <v>0.14767193570737785</v>
      </c>
      <c r="L28">
        <v>0.67663697402151612</v>
      </c>
      <c r="M28">
        <v>0.94432725710009868</v>
      </c>
      <c r="N28">
        <v>0.32239330958396761</v>
      </c>
      <c r="O28">
        <v>0.93556563720117469</v>
      </c>
      <c r="AU28" t="s">
        <v>656</v>
      </c>
      <c r="AV28">
        <v>0</v>
      </c>
      <c r="AW28">
        <v>0.22238041829938182</v>
      </c>
      <c r="AX28">
        <v>3.6552197217413823E-4</v>
      </c>
      <c r="AY28">
        <v>6.9389830798421929E-3</v>
      </c>
      <c r="AZ28">
        <v>0.34993449196342069</v>
      </c>
      <c r="BA28">
        <v>1.3139157676147909E-2</v>
      </c>
      <c r="BB28">
        <v>1.4143763512330584E-2</v>
      </c>
      <c r="BC28">
        <v>0.46080534096555131</v>
      </c>
      <c r="BD28">
        <v>2.7039896448048117E-2</v>
      </c>
      <c r="BE28">
        <v>1.4867577957306294E-3</v>
      </c>
      <c r="BF28">
        <v>0.26004103402337181</v>
      </c>
      <c r="BG28">
        <v>2.346193945054123E-3</v>
      </c>
      <c r="BI28" t="s">
        <v>656</v>
      </c>
      <c r="BJ28" t="s">
        <v>99</v>
      </c>
      <c r="BK28" t="s">
        <v>100</v>
      </c>
      <c r="BL28">
        <v>0.42089045567016509</v>
      </c>
    </row>
    <row r="29" spans="2:64" x14ac:dyDescent="0.45">
      <c r="B29" t="s">
        <v>657</v>
      </c>
      <c r="C29" t="s">
        <v>95</v>
      </c>
      <c r="D29">
        <v>0</v>
      </c>
      <c r="E29">
        <v>0.35985916348409275</v>
      </c>
      <c r="F29">
        <v>0.96941969968564579</v>
      </c>
      <c r="G29">
        <v>0.8561118579455127</v>
      </c>
      <c r="H29">
        <v>0.23776385542697745</v>
      </c>
      <c r="I29">
        <v>0.75743940582135638</v>
      </c>
      <c r="J29">
        <v>0.78397753746955812</v>
      </c>
      <c r="K29">
        <v>0.14156746171032281</v>
      </c>
      <c r="L29">
        <v>0.66818954636089478</v>
      </c>
      <c r="M29">
        <v>0.9480986801863881</v>
      </c>
      <c r="N29">
        <v>0.30233228610775792</v>
      </c>
      <c r="O29">
        <v>0.92625729909189247</v>
      </c>
      <c r="AU29" t="s">
        <v>657</v>
      </c>
      <c r="AV29">
        <v>0</v>
      </c>
      <c r="AW29">
        <v>0.23921284797684647</v>
      </c>
      <c r="AX29">
        <v>7.0241638604470074E-4</v>
      </c>
      <c r="AY29">
        <v>6.0229038831760623E-3</v>
      </c>
      <c r="AZ29">
        <v>0.3439744785186995</v>
      </c>
      <c r="BA29">
        <v>1.5029422108441636E-2</v>
      </c>
      <c r="BB29">
        <v>1.208902561535243E-2</v>
      </c>
      <c r="BC29">
        <v>0.45771409433039328</v>
      </c>
      <c r="BD29">
        <v>2.9537239443051783E-2</v>
      </c>
      <c r="BE29">
        <v>1.1745752684579509E-3</v>
      </c>
      <c r="BF29">
        <v>0.2682866955791775</v>
      </c>
      <c r="BG29">
        <v>2.961912275458777E-3</v>
      </c>
      <c r="BI29" t="s">
        <v>657</v>
      </c>
      <c r="BJ29" t="s">
        <v>99</v>
      </c>
      <c r="BK29" t="s">
        <v>100</v>
      </c>
      <c r="BL29">
        <v>0.39306064616041725</v>
      </c>
    </row>
    <row r="30" spans="2:64" x14ac:dyDescent="0.45">
      <c r="B30" t="s">
        <v>658</v>
      </c>
      <c r="C30" t="s">
        <v>95</v>
      </c>
      <c r="D30">
        <v>0</v>
      </c>
      <c r="E30">
        <v>0.35633071792273152</v>
      </c>
      <c r="F30">
        <v>0.97417001190041763</v>
      </c>
      <c r="G30">
        <v>0.85563283641224308</v>
      </c>
      <c r="H30">
        <v>0.22380907887515461</v>
      </c>
      <c r="I30">
        <v>0.76074667514342142</v>
      </c>
      <c r="J30">
        <v>0.78552952445035029</v>
      </c>
      <c r="K30">
        <v>0.14266019549600439</v>
      </c>
      <c r="L30">
        <v>0.67476191238531935</v>
      </c>
      <c r="M30">
        <v>0.95035786187704974</v>
      </c>
      <c r="N30">
        <v>0.29317987634234677</v>
      </c>
      <c r="O30">
        <v>0.92970663669858378</v>
      </c>
      <c r="AU30" t="s">
        <v>658</v>
      </c>
      <c r="AV30">
        <v>0</v>
      </c>
      <c r="AW30">
        <v>0.23190537590840057</v>
      </c>
      <c r="AX30">
        <v>7.8715994113535872E-4</v>
      </c>
      <c r="AY30">
        <v>6.5080980261549657E-3</v>
      </c>
      <c r="AZ30">
        <v>0.3764489272104688</v>
      </c>
      <c r="BA30">
        <v>1.613535554923818E-2</v>
      </c>
      <c r="BB30">
        <v>1.2387700020036497E-2</v>
      </c>
      <c r="BC30">
        <v>0.47638843286764077</v>
      </c>
      <c r="BD30">
        <v>3.0059961515793723E-2</v>
      </c>
      <c r="BE30">
        <v>1.3077992521746162E-3</v>
      </c>
      <c r="BF30">
        <v>0.28575366494731513</v>
      </c>
      <c r="BG30">
        <v>3.0396782593222218E-3</v>
      </c>
      <c r="BI30" t="s">
        <v>658</v>
      </c>
      <c r="BJ30" t="s">
        <v>99</v>
      </c>
      <c r="BK30" t="s">
        <v>100</v>
      </c>
      <c r="BL30">
        <v>0.42235445965603879</v>
      </c>
    </row>
    <row r="31" spans="2:64" x14ac:dyDescent="0.45">
      <c r="B31" t="s">
        <v>659</v>
      </c>
      <c r="C31" t="s">
        <v>95</v>
      </c>
      <c r="D31">
        <v>0</v>
      </c>
      <c r="E31">
        <v>0.36140886184372428</v>
      </c>
      <c r="F31">
        <v>0.96431848221159611</v>
      </c>
      <c r="G31">
        <v>0.86696271814306913</v>
      </c>
      <c r="H31">
        <v>0.24244677434394027</v>
      </c>
      <c r="I31">
        <v>0.75618567373035717</v>
      </c>
      <c r="J31">
        <v>0.78969508559606261</v>
      </c>
      <c r="K31">
        <v>0.14174653381885194</v>
      </c>
      <c r="L31">
        <v>0.66401655393603554</v>
      </c>
      <c r="M31">
        <v>0.95540447037388765</v>
      </c>
      <c r="N31">
        <v>0.30516175238080251</v>
      </c>
      <c r="O31">
        <v>0.9175798163520491</v>
      </c>
      <c r="AU31" t="s">
        <v>659</v>
      </c>
      <c r="AV31">
        <v>0</v>
      </c>
      <c r="AW31">
        <v>0.23575804100383954</v>
      </c>
      <c r="AX31">
        <v>1.2005580916802292E-3</v>
      </c>
      <c r="AY31">
        <v>5.2284942570330721E-3</v>
      </c>
      <c r="AZ31">
        <v>0.35475354421409849</v>
      </c>
      <c r="BA31">
        <v>1.7360346451495309E-2</v>
      </c>
      <c r="BB31">
        <v>1.0433887688964943E-2</v>
      </c>
      <c r="BC31">
        <v>0.4688030762811532</v>
      </c>
      <c r="BD31">
        <v>3.2298506655239791E-2</v>
      </c>
      <c r="BE31">
        <v>9.9375771226855756E-4</v>
      </c>
      <c r="BF31">
        <v>0.27189607324624193</v>
      </c>
      <c r="BG31">
        <v>3.808060387147749E-3</v>
      </c>
      <c r="BI31" t="s">
        <v>659</v>
      </c>
      <c r="BJ31" t="s">
        <v>99</v>
      </c>
      <c r="BK31" t="s">
        <v>100</v>
      </c>
      <c r="BL31">
        <v>0.42306047979272077</v>
      </c>
    </row>
    <row r="32" spans="2:64" x14ac:dyDescent="0.45">
      <c r="B32" t="s">
        <v>660</v>
      </c>
      <c r="C32" t="s">
        <v>95</v>
      </c>
      <c r="D32">
        <v>0</v>
      </c>
      <c r="E32">
        <v>0.33703500560652655</v>
      </c>
      <c r="F32">
        <v>0.96645914508316833</v>
      </c>
      <c r="G32">
        <v>0.85277095967773819</v>
      </c>
      <c r="H32">
        <v>0.19942978094549602</v>
      </c>
      <c r="I32">
        <v>0.76210686498377711</v>
      </c>
      <c r="J32">
        <v>0.78809157145352771</v>
      </c>
      <c r="K32">
        <v>0.13793614350972899</v>
      </c>
      <c r="L32">
        <v>0.68117950632927626</v>
      </c>
      <c r="M32">
        <v>0.94237008438838366</v>
      </c>
      <c r="N32">
        <v>0.26439396835802692</v>
      </c>
      <c r="O32">
        <v>0.9252073384691567</v>
      </c>
      <c r="AU32" t="s">
        <v>660</v>
      </c>
      <c r="AV32">
        <v>0</v>
      </c>
      <c r="AW32">
        <v>0.2480475695571937</v>
      </c>
      <c r="AX32">
        <v>9.9198951863053975E-4</v>
      </c>
      <c r="AY32">
        <v>6.3990289704153767E-3</v>
      </c>
      <c r="AZ32">
        <v>0.39549633535643858</v>
      </c>
      <c r="BA32">
        <v>1.6536113582965604E-2</v>
      </c>
      <c r="BB32">
        <v>1.2410893674017001E-2</v>
      </c>
      <c r="BC32">
        <v>0.48915910650881733</v>
      </c>
      <c r="BD32">
        <v>2.8973279548595455E-2</v>
      </c>
      <c r="BE32">
        <v>1.4447351287170398E-3</v>
      </c>
      <c r="BF32">
        <v>0.31023456597179544</v>
      </c>
      <c r="BG32">
        <v>3.2095116863601596E-3</v>
      </c>
      <c r="BI32" t="s">
        <v>660</v>
      </c>
      <c r="BJ32" t="s">
        <v>99</v>
      </c>
      <c r="BK32" t="s">
        <v>100</v>
      </c>
      <c r="BL32">
        <v>0.41028913347726442</v>
      </c>
    </row>
    <row r="33" spans="2:64" x14ac:dyDescent="0.45">
      <c r="B33" t="s">
        <v>661</v>
      </c>
      <c r="C33" t="s">
        <v>95</v>
      </c>
      <c r="D33">
        <v>0</v>
      </c>
      <c r="E33">
        <v>0.34300682944814487</v>
      </c>
      <c r="F33">
        <v>0.96111111111111114</v>
      </c>
      <c r="G33">
        <v>0.86475338139462365</v>
      </c>
      <c r="H33">
        <v>0.21782428102065404</v>
      </c>
      <c r="I33">
        <v>0.7551346292895933</v>
      </c>
      <c r="J33">
        <v>0.79217523393645461</v>
      </c>
      <c r="K33">
        <v>0.13819992283510735</v>
      </c>
      <c r="L33">
        <v>0.670933675574789</v>
      </c>
      <c r="M33">
        <v>0.95520627929174429</v>
      </c>
      <c r="N33">
        <v>0.27739562084345176</v>
      </c>
      <c r="O33">
        <v>0.9147927917135189</v>
      </c>
      <c r="AU33" t="s">
        <v>661</v>
      </c>
      <c r="AV33">
        <v>0</v>
      </c>
      <c r="AW33">
        <v>0.25606359507988957</v>
      </c>
      <c r="AX33">
        <v>1.4901669231505909E-3</v>
      </c>
      <c r="AY33">
        <v>5.1439010158754427E-3</v>
      </c>
      <c r="AZ33">
        <v>0.38374915832867595</v>
      </c>
      <c r="BA33">
        <v>1.9311976432608107E-2</v>
      </c>
      <c r="BB33">
        <v>1.0457617374403655E-2</v>
      </c>
      <c r="BC33">
        <v>0.49177309183740958</v>
      </c>
      <c r="BD33">
        <v>3.3438070655739928E-2</v>
      </c>
      <c r="BE33">
        <v>9.9825358969934204E-4</v>
      </c>
      <c r="BF33">
        <v>0.29733363439260313</v>
      </c>
      <c r="BG33">
        <v>4.0716151183873839E-3</v>
      </c>
      <c r="BI33" t="s">
        <v>661</v>
      </c>
      <c r="BJ33" t="s">
        <v>99</v>
      </c>
      <c r="BK33" t="s">
        <v>100</v>
      </c>
      <c r="BL33">
        <v>0.4248990786456443</v>
      </c>
    </row>
    <row r="34" spans="2:64" x14ac:dyDescent="0.45">
      <c r="B34" t="s">
        <v>662</v>
      </c>
      <c r="C34" t="s">
        <v>95</v>
      </c>
      <c r="D34">
        <v>0</v>
      </c>
      <c r="E34">
        <v>0.32198245989989055</v>
      </c>
      <c r="F34">
        <v>0.9609670771938541</v>
      </c>
      <c r="G34">
        <v>0.85802651244576911</v>
      </c>
      <c r="H34">
        <v>0.19732416686848631</v>
      </c>
      <c r="I34">
        <v>0.757781163996742</v>
      </c>
      <c r="J34">
        <v>0.79304426886953694</v>
      </c>
      <c r="K34">
        <v>0.1326082947031875</v>
      </c>
      <c r="L34">
        <v>0.67697237542844946</v>
      </c>
      <c r="M34">
        <v>0.95028785085400358</v>
      </c>
      <c r="N34">
        <v>0.25192893598100752</v>
      </c>
      <c r="O34">
        <v>0.91656722426067982</v>
      </c>
      <c r="AU34" t="s">
        <v>662</v>
      </c>
      <c r="AV34">
        <v>0</v>
      </c>
      <c r="AW34">
        <v>0.27586417434087146</v>
      </c>
      <c r="AX34">
        <v>1.69889720874399E-3</v>
      </c>
      <c r="AY34">
        <v>5.8252368177623822E-3</v>
      </c>
      <c r="AZ34">
        <v>0.42258221752287012</v>
      </c>
      <c r="BA34">
        <v>1.9929702845584485E-2</v>
      </c>
      <c r="BB34">
        <v>1.0916727954524974E-2</v>
      </c>
      <c r="BC34">
        <v>0.50205382089923445</v>
      </c>
      <c r="BD34">
        <v>3.2976683139098101E-2</v>
      </c>
      <c r="BE34">
        <v>1.1978348927084671E-3</v>
      </c>
      <c r="BF34">
        <v>0.33024475001967041</v>
      </c>
      <c r="BG34">
        <v>4.1558195803722926E-3</v>
      </c>
      <c r="BI34" t="s">
        <v>662</v>
      </c>
      <c r="BJ34" t="s">
        <v>99</v>
      </c>
      <c r="BK34" t="s">
        <v>100</v>
      </c>
      <c r="BL34">
        <v>0.41114854578476695</v>
      </c>
    </row>
    <row r="35" spans="2:64" x14ac:dyDescent="0.45">
      <c r="B35" t="s">
        <v>663</v>
      </c>
      <c r="C35" t="s">
        <v>95</v>
      </c>
      <c r="D35">
        <v>0.39012218029085222</v>
      </c>
      <c r="E35">
        <v>0.37722725606122792</v>
      </c>
      <c r="F35">
        <v>0.37760377909318021</v>
      </c>
      <c r="G35">
        <v>0.35078772292460508</v>
      </c>
      <c r="H35">
        <v>0.3389537509341925</v>
      </c>
      <c r="I35">
        <v>0.31674189358747667</v>
      </c>
      <c r="J35">
        <v>0.29755472896300428</v>
      </c>
      <c r="K35">
        <v>0.42209772878705992</v>
      </c>
      <c r="L35">
        <v>0.33566451175488654</v>
      </c>
      <c r="M35">
        <v>0.4224241482752964</v>
      </c>
      <c r="N35">
        <v>0.43394115630669355</v>
      </c>
      <c r="O35">
        <v>0.39103188896089341</v>
      </c>
      <c r="AU35" t="s">
        <v>663</v>
      </c>
      <c r="AV35">
        <v>0.30420901571495057</v>
      </c>
      <c r="AW35">
        <v>0.31742274277714894</v>
      </c>
      <c r="AX35">
        <v>0.31789744261730796</v>
      </c>
      <c r="AY35">
        <v>0.28353483632950544</v>
      </c>
      <c r="AZ35">
        <v>0.29820598387635761</v>
      </c>
      <c r="BA35">
        <v>0.30892152221126024</v>
      </c>
      <c r="BB35">
        <v>0.18630030699856934</v>
      </c>
      <c r="BC35">
        <v>0.13067545512696024</v>
      </c>
      <c r="BD35">
        <v>0.15788494177493989</v>
      </c>
      <c r="BE35">
        <v>0.17879959583084637</v>
      </c>
      <c r="BF35">
        <v>0.18996952663757438</v>
      </c>
      <c r="BG35">
        <v>0.19225804498292684</v>
      </c>
      <c r="BI35" t="s">
        <v>664</v>
      </c>
      <c r="BJ35" t="s">
        <v>99</v>
      </c>
      <c r="BK35" t="s">
        <v>100</v>
      </c>
      <c r="BL35">
        <v>0.1377488885498207</v>
      </c>
    </row>
    <row r="36" spans="2:64" x14ac:dyDescent="0.45">
      <c r="B36" t="s">
        <v>665</v>
      </c>
      <c r="C36" t="s">
        <v>95</v>
      </c>
      <c r="D36">
        <v>0.37451547992590201</v>
      </c>
      <c r="E36">
        <v>0.39137381846664965</v>
      </c>
      <c r="F36">
        <v>0.3769560787406277</v>
      </c>
      <c r="G36">
        <v>0.35367333530333117</v>
      </c>
      <c r="H36">
        <v>0.37069164227407431</v>
      </c>
      <c r="I36">
        <v>0.34142934382358364</v>
      </c>
      <c r="J36">
        <v>0.33020409776969589</v>
      </c>
      <c r="K36">
        <v>0.33728032588373202</v>
      </c>
      <c r="L36">
        <v>0.35202716648987215</v>
      </c>
      <c r="M36">
        <v>0.42747832795328528</v>
      </c>
      <c r="N36">
        <v>0.43074845628286945</v>
      </c>
      <c r="O36">
        <v>0.44155173912318474</v>
      </c>
      <c r="AU36" t="s">
        <v>665</v>
      </c>
      <c r="AV36">
        <v>0.37469851490513262</v>
      </c>
      <c r="AW36">
        <v>0.36404590423899086</v>
      </c>
      <c r="AX36">
        <v>0.39321656680541955</v>
      </c>
      <c r="AY36">
        <v>0.36601608424276655</v>
      </c>
      <c r="AZ36">
        <v>0.32458666405970843</v>
      </c>
      <c r="BA36">
        <v>0.37511740627191942</v>
      </c>
      <c r="BB36">
        <v>0.26667778234288519</v>
      </c>
      <c r="BC36">
        <v>0.21026460185101153</v>
      </c>
      <c r="BD36">
        <v>0.2254701028200812</v>
      </c>
      <c r="BE36">
        <v>0.26157704293922679</v>
      </c>
      <c r="BF36">
        <v>0.24877257302257813</v>
      </c>
      <c r="BG36">
        <v>0.28184636946892228</v>
      </c>
      <c r="BI36" t="s">
        <v>666</v>
      </c>
      <c r="BJ36" t="s">
        <v>99</v>
      </c>
      <c r="BK36" t="s">
        <v>100</v>
      </c>
      <c r="BL36">
        <v>0.15985961626196854</v>
      </c>
    </row>
    <row r="37" spans="2:64" x14ac:dyDescent="0.45">
      <c r="B37" t="s">
        <v>667</v>
      </c>
      <c r="C37" t="s">
        <v>95</v>
      </c>
      <c r="D37">
        <v>0.41250186599114902</v>
      </c>
      <c r="E37">
        <v>0.41089683764364593</v>
      </c>
      <c r="F37">
        <v>0.43262088683834737</v>
      </c>
      <c r="G37">
        <v>0.40448796742865922</v>
      </c>
      <c r="H37">
        <v>0.42060556870218968</v>
      </c>
      <c r="I37">
        <v>0.38617085996563466</v>
      </c>
      <c r="J37">
        <v>0.39773780353208882</v>
      </c>
      <c r="K37">
        <v>0.39297697467835002</v>
      </c>
      <c r="L37">
        <v>0.43081440702403567</v>
      </c>
      <c r="M37">
        <v>0.40527629096495332</v>
      </c>
      <c r="N37">
        <v>0.41738066808483748</v>
      </c>
      <c r="O37">
        <v>0.39851036827498343</v>
      </c>
      <c r="AU37" t="s">
        <v>667</v>
      </c>
      <c r="AV37">
        <v>0.29282441903856377</v>
      </c>
      <c r="AW37">
        <v>0.29188599792335063</v>
      </c>
      <c r="AX37">
        <v>0.29244772582416051</v>
      </c>
      <c r="AY37">
        <v>0.28912956515602556</v>
      </c>
      <c r="AZ37">
        <v>0.26945465338345986</v>
      </c>
      <c r="BA37">
        <v>0.33347553607179103</v>
      </c>
      <c r="BB37">
        <v>0.17510241062493478</v>
      </c>
      <c r="BC37">
        <v>0.17433501040313626</v>
      </c>
      <c r="BD37">
        <v>0.2205679273466517</v>
      </c>
      <c r="BE37">
        <v>0.22943499234252671</v>
      </c>
      <c r="BF37">
        <v>0.23561784804368258</v>
      </c>
      <c r="BG37">
        <v>0.27989374820411417</v>
      </c>
      <c r="BI37" t="s">
        <v>668</v>
      </c>
      <c r="BJ37" t="s">
        <v>99</v>
      </c>
      <c r="BK37" t="s">
        <v>100</v>
      </c>
      <c r="BL37">
        <v>0.1729333001075849</v>
      </c>
    </row>
    <row r="38" spans="2:64" x14ac:dyDescent="0.45">
      <c r="B38" t="s">
        <v>669</v>
      </c>
      <c r="C38" t="s">
        <v>95</v>
      </c>
      <c r="D38">
        <v>0.37736670423757357</v>
      </c>
      <c r="E38">
        <v>0.39437942638502566</v>
      </c>
      <c r="F38">
        <v>0.38111097458969651</v>
      </c>
      <c r="G38">
        <v>0.3380780208849487</v>
      </c>
      <c r="H38">
        <v>0.34885620544872686</v>
      </c>
      <c r="I38">
        <v>0.3291275156777046</v>
      </c>
      <c r="J38">
        <v>0.31912345673398185</v>
      </c>
      <c r="K38">
        <v>0.32993142669760978</v>
      </c>
      <c r="L38">
        <v>0.37105860098292293</v>
      </c>
      <c r="M38">
        <v>0.36781192502578364</v>
      </c>
      <c r="N38">
        <v>0.40489275823906007</v>
      </c>
      <c r="O38">
        <v>0.39709917170086007</v>
      </c>
      <c r="AU38" t="s">
        <v>669</v>
      </c>
      <c r="AV38">
        <v>0.3414967971046054</v>
      </c>
      <c r="AW38">
        <v>0.32287833398785931</v>
      </c>
      <c r="AX38">
        <v>0.34329096128774583</v>
      </c>
      <c r="AY38">
        <v>0.37103740202687774</v>
      </c>
      <c r="AZ38">
        <v>0.31807206172757446</v>
      </c>
      <c r="BA38">
        <v>0.38646319193558049</v>
      </c>
      <c r="BB38">
        <v>0.25729796609743688</v>
      </c>
      <c r="BC38">
        <v>0.22733226402873749</v>
      </c>
      <c r="BD38">
        <v>0.25961228895716326</v>
      </c>
      <c r="BE38">
        <v>0.27309413568395613</v>
      </c>
      <c r="BF38">
        <v>0.26525515597256932</v>
      </c>
      <c r="BG38">
        <v>0.29647006431947132</v>
      </c>
      <c r="BI38" t="s">
        <v>670</v>
      </c>
      <c r="BJ38" t="s">
        <v>99</v>
      </c>
      <c r="BK38" t="s">
        <v>100</v>
      </c>
      <c r="BL38">
        <v>0.23956064482829381</v>
      </c>
    </row>
    <row r="39" spans="2:64" x14ac:dyDescent="0.45">
      <c r="B39" t="s">
        <v>671</v>
      </c>
      <c r="C39" t="s">
        <v>95</v>
      </c>
      <c r="D39">
        <v>0.39296208124866461</v>
      </c>
      <c r="E39">
        <v>0.40311523446717529</v>
      </c>
      <c r="F39">
        <v>0.40549283153864329</v>
      </c>
      <c r="G39">
        <v>0.42258659819828742</v>
      </c>
      <c r="H39">
        <v>0.44135116476252051</v>
      </c>
      <c r="I39">
        <v>0.4060320908566819</v>
      </c>
      <c r="J39">
        <v>0.3804209584777602</v>
      </c>
      <c r="K39">
        <v>0.40691572912381924</v>
      </c>
      <c r="L39">
        <v>0.41952109231812751</v>
      </c>
      <c r="M39">
        <v>0.42641490244283198</v>
      </c>
      <c r="N39">
        <v>0.43989553092547429</v>
      </c>
      <c r="O39">
        <v>0.4150307940861595</v>
      </c>
      <c r="AU39" t="s">
        <v>671</v>
      </c>
      <c r="AV39">
        <v>0.25609121988441674</v>
      </c>
      <c r="AW39">
        <v>0.24548515904354551</v>
      </c>
      <c r="AX39">
        <v>0.25269913654466397</v>
      </c>
      <c r="AY39">
        <v>0.25353216572158904</v>
      </c>
      <c r="AZ39">
        <v>0.23710056657483894</v>
      </c>
      <c r="BA39">
        <v>0.2696008017990319</v>
      </c>
      <c r="BB39">
        <v>0.14620763052200725</v>
      </c>
      <c r="BC39">
        <v>0.13117804078136766</v>
      </c>
      <c r="BD39">
        <v>0.16293488556465427</v>
      </c>
      <c r="BE39">
        <v>0.22295357179010364</v>
      </c>
      <c r="BF39">
        <v>0.22100817270839826</v>
      </c>
      <c r="BG39">
        <v>0.23868518436727573</v>
      </c>
      <c r="BI39" t="s">
        <v>672</v>
      </c>
      <c r="BJ39" t="s">
        <v>99</v>
      </c>
      <c r="BK39" t="s">
        <v>100</v>
      </c>
      <c r="BL39">
        <v>0.15866561644188681</v>
      </c>
    </row>
    <row r="40" spans="2:64" x14ac:dyDescent="0.45">
      <c r="B40" t="s">
        <v>673</v>
      </c>
      <c r="C40" t="s">
        <v>95</v>
      </c>
      <c r="D40">
        <v>0.45331865518773584</v>
      </c>
      <c r="E40">
        <v>0.45346183206542756</v>
      </c>
      <c r="F40">
        <v>0.44486844944192155</v>
      </c>
      <c r="G40">
        <v>0.38746946104356494</v>
      </c>
      <c r="H40">
        <v>0.38655213663570526</v>
      </c>
      <c r="I40">
        <v>0.36078707796568027</v>
      </c>
      <c r="J40">
        <v>0.44859721219733761</v>
      </c>
      <c r="K40">
        <v>0.43139981517599557</v>
      </c>
      <c r="L40">
        <v>0.4280786650397716</v>
      </c>
      <c r="M40">
        <v>0.43717344409940756</v>
      </c>
      <c r="N40">
        <v>0.45735970976588131</v>
      </c>
      <c r="O40">
        <v>0.41700196509984871</v>
      </c>
      <c r="AU40" t="s">
        <v>673</v>
      </c>
      <c r="AV40">
        <v>0.28672835588666162</v>
      </c>
      <c r="AW40">
        <v>0.2740023298574541</v>
      </c>
      <c r="AX40">
        <v>0.27682072789748008</v>
      </c>
      <c r="AY40">
        <v>0.25521484123365029</v>
      </c>
      <c r="AZ40">
        <v>0.30153970533210872</v>
      </c>
      <c r="BA40">
        <v>0.28653569472868406</v>
      </c>
      <c r="BB40">
        <v>0.10371740632690876</v>
      </c>
      <c r="BC40">
        <v>9.9447518101605181E-2</v>
      </c>
      <c r="BD40">
        <v>0.13462737312227996</v>
      </c>
      <c r="BE40">
        <v>0.2580918197520185</v>
      </c>
      <c r="BF40">
        <v>0.26414031564537321</v>
      </c>
      <c r="BG40">
        <v>0.27956322784406079</v>
      </c>
      <c r="BI40" t="s">
        <v>674</v>
      </c>
      <c r="BJ40" t="s">
        <v>99</v>
      </c>
      <c r="BK40" t="s">
        <v>100</v>
      </c>
      <c r="BL40">
        <v>0.15419692505507765</v>
      </c>
    </row>
    <row r="41" spans="2:64" x14ac:dyDescent="0.45">
      <c r="B41" t="s">
        <v>675</v>
      </c>
      <c r="C41" t="s">
        <v>95</v>
      </c>
      <c r="D41">
        <v>0.40948734569279016</v>
      </c>
      <c r="E41">
        <v>0.43170903180367132</v>
      </c>
      <c r="F41">
        <v>0.39735773242398098</v>
      </c>
      <c r="G41">
        <v>0.33237727031880626</v>
      </c>
      <c r="H41">
        <v>0.34715470038585988</v>
      </c>
      <c r="I41">
        <v>0.31558476398943169</v>
      </c>
      <c r="J41">
        <v>0.46154275353646557</v>
      </c>
      <c r="K41">
        <v>0.41827183447155053</v>
      </c>
      <c r="L41">
        <v>0.42680878444289744</v>
      </c>
      <c r="M41">
        <v>0.41518590239194825</v>
      </c>
      <c r="N41">
        <v>0.43345181740051053</v>
      </c>
      <c r="O41">
        <v>0.40708242731031258</v>
      </c>
      <c r="AU41" t="s">
        <v>675</v>
      </c>
      <c r="AV41">
        <v>0.32009632413313815</v>
      </c>
      <c r="AW41">
        <v>0.31188322010571728</v>
      </c>
      <c r="AX41">
        <v>0.33722831855770913</v>
      </c>
      <c r="AY41">
        <v>0.35021699997459071</v>
      </c>
      <c r="AZ41">
        <v>0.37371795790450274</v>
      </c>
      <c r="BA41">
        <v>0.39028294220901022</v>
      </c>
      <c r="BB41">
        <v>0.12478962695134167</v>
      </c>
      <c r="BC41">
        <v>0.11476142669544812</v>
      </c>
      <c r="BD41">
        <v>0.15017632741334597</v>
      </c>
      <c r="BE41">
        <v>0.29506713141527224</v>
      </c>
      <c r="BF41">
        <v>0.29522081251222015</v>
      </c>
      <c r="BG41">
        <v>0.31913903509018415</v>
      </c>
      <c r="BI41" t="s">
        <v>676</v>
      </c>
      <c r="BJ41" t="s">
        <v>99</v>
      </c>
      <c r="BK41" t="s">
        <v>100</v>
      </c>
      <c r="BL41">
        <v>0.16052659969575281</v>
      </c>
    </row>
    <row r="42" spans="2:64" x14ac:dyDescent="0.45">
      <c r="B42" t="s">
        <v>677</v>
      </c>
      <c r="C42" t="s">
        <v>95</v>
      </c>
      <c r="D42">
        <v>0.43901675002989909</v>
      </c>
      <c r="E42">
        <v>0.46763398205889689</v>
      </c>
      <c r="F42">
        <v>0.46432650640934453</v>
      </c>
      <c r="G42">
        <v>0.47610781251689249</v>
      </c>
      <c r="H42">
        <v>0.43375934475482236</v>
      </c>
      <c r="I42">
        <v>0.49043438234938785</v>
      </c>
      <c r="J42">
        <v>0.53941431195907352</v>
      </c>
      <c r="K42">
        <v>0.49274232827794895</v>
      </c>
      <c r="L42">
        <v>0.43283955671243518</v>
      </c>
      <c r="M42">
        <v>0.43159673066106008</v>
      </c>
      <c r="N42">
        <v>0.43067790421912749</v>
      </c>
      <c r="O42">
        <v>0.4290210952367694</v>
      </c>
      <c r="AU42" t="s">
        <v>677</v>
      </c>
      <c r="AV42">
        <v>0.29312579319726523</v>
      </c>
      <c r="AW42">
        <v>0.29018734767937071</v>
      </c>
      <c r="AX42">
        <v>0.29573697833774432</v>
      </c>
      <c r="AY42">
        <v>0.26781319110402912</v>
      </c>
      <c r="AZ42">
        <v>0.28878336948011601</v>
      </c>
      <c r="BA42">
        <v>0.27360525169980043</v>
      </c>
      <c r="BB42">
        <v>9.5303595235759209E-2</v>
      </c>
      <c r="BC42">
        <v>9.6882621925386478E-2</v>
      </c>
      <c r="BD42">
        <v>6.6204555854253805E-2</v>
      </c>
      <c r="BE42">
        <v>0.29845292550257574</v>
      </c>
      <c r="BF42">
        <v>0.30321921679329716</v>
      </c>
      <c r="BG42">
        <v>0.31237059451626298</v>
      </c>
      <c r="BI42" t="s">
        <v>678</v>
      </c>
      <c r="BJ42" t="s">
        <v>99</v>
      </c>
      <c r="BK42" t="s">
        <v>100</v>
      </c>
      <c r="BL42">
        <v>0.11643415172882787</v>
      </c>
    </row>
    <row r="43" spans="2:64" x14ac:dyDescent="0.45">
      <c r="B43" t="s">
        <v>679</v>
      </c>
      <c r="C43" t="s">
        <v>95</v>
      </c>
      <c r="D43">
        <v>0.46484600666841125</v>
      </c>
      <c r="E43">
        <v>0.45634857865697998</v>
      </c>
      <c r="F43">
        <v>0.47079258573190824</v>
      </c>
      <c r="G43">
        <v>0.40150436541309698</v>
      </c>
      <c r="H43">
        <v>0.39539492919923569</v>
      </c>
      <c r="I43">
        <v>0.39645917220774135</v>
      </c>
      <c r="J43">
        <v>0.45563880493543824</v>
      </c>
      <c r="K43">
        <v>0.4655509275196037</v>
      </c>
      <c r="L43">
        <v>0.43399105229416651</v>
      </c>
      <c r="M43">
        <v>0.42892055909373633</v>
      </c>
      <c r="N43">
        <v>0.43055784984945383</v>
      </c>
      <c r="O43">
        <v>0.41734880291396814</v>
      </c>
      <c r="AU43" t="s">
        <v>679</v>
      </c>
      <c r="AV43">
        <v>0.23676332350697274</v>
      </c>
      <c r="AW43">
        <v>0.23816963048910364</v>
      </c>
      <c r="AX43">
        <v>0.23546025882649133</v>
      </c>
      <c r="AY43">
        <v>0.29270279901581364</v>
      </c>
      <c r="AZ43">
        <v>0.29934424766626638</v>
      </c>
      <c r="BA43">
        <v>0.2885609328795023</v>
      </c>
      <c r="BB43">
        <v>9.5452548233473156E-2</v>
      </c>
      <c r="BC43">
        <v>9.3620100794679278E-2</v>
      </c>
      <c r="BD43">
        <v>0.1168554213769582</v>
      </c>
      <c r="BE43">
        <v>0.29748309661724764</v>
      </c>
      <c r="BF43">
        <v>0.27541944045958033</v>
      </c>
      <c r="BG43">
        <v>0.30496010196765827</v>
      </c>
      <c r="BI43" t="s">
        <v>680</v>
      </c>
      <c r="BJ43" t="s">
        <v>99</v>
      </c>
      <c r="BK43" t="s">
        <v>100</v>
      </c>
      <c r="BL43">
        <v>0.1511950455359152</v>
      </c>
    </row>
    <row r="44" spans="2:64" x14ac:dyDescent="0.45">
      <c r="B44" t="s">
        <v>681</v>
      </c>
      <c r="C44" t="s">
        <v>95</v>
      </c>
      <c r="D44">
        <v>0.41185891783742129</v>
      </c>
      <c r="E44">
        <v>0.40810519628257247</v>
      </c>
      <c r="F44">
        <v>0.42639998447723321</v>
      </c>
      <c r="G44">
        <v>0.33357966567808128</v>
      </c>
      <c r="H44">
        <v>0.35218497805545135</v>
      </c>
      <c r="I44">
        <v>0.35889209240164816</v>
      </c>
      <c r="J44">
        <v>0.49415087143813874</v>
      </c>
      <c r="K44">
        <v>0.45569606144127373</v>
      </c>
      <c r="L44">
        <v>0.41961629599945527</v>
      </c>
      <c r="M44">
        <v>0.46100758304915318</v>
      </c>
      <c r="N44">
        <v>0.446258067233339</v>
      </c>
      <c r="O44">
        <v>0.49302693556471333</v>
      </c>
      <c r="AU44" t="s">
        <v>681</v>
      </c>
      <c r="AV44">
        <v>0.36041800119752293</v>
      </c>
      <c r="AW44">
        <v>0.39622718195736595</v>
      </c>
      <c r="AX44">
        <v>0.33786236538067071</v>
      </c>
      <c r="AY44">
        <v>0.42928775584071888</v>
      </c>
      <c r="AZ44">
        <v>0.41585265590878723</v>
      </c>
      <c r="BA44">
        <v>0.43293283525050541</v>
      </c>
      <c r="BB44">
        <v>0.10222527271422285</v>
      </c>
      <c r="BC44">
        <v>0.12119467893800497</v>
      </c>
      <c r="BD44">
        <v>0.11253505741278882</v>
      </c>
      <c r="BE44">
        <v>0.23794043868292328</v>
      </c>
      <c r="BF44">
        <v>0.24619335082433935</v>
      </c>
      <c r="BG44">
        <v>0.22979674158658872</v>
      </c>
      <c r="BI44" t="s">
        <v>682</v>
      </c>
      <c r="BJ44" t="s">
        <v>99</v>
      </c>
      <c r="BK44" t="s">
        <v>100</v>
      </c>
      <c r="BL44">
        <v>0.25412138173719234</v>
      </c>
    </row>
    <row r="45" spans="2:64" x14ac:dyDescent="0.45">
      <c r="B45" t="s">
        <v>683</v>
      </c>
      <c r="C45" t="s">
        <v>95</v>
      </c>
      <c r="D45">
        <v>0.41803621236831651</v>
      </c>
      <c r="E45">
        <v>0.43448444097547689</v>
      </c>
      <c r="F45">
        <v>0.42159960290649839</v>
      </c>
      <c r="G45">
        <v>0.37972980100591675</v>
      </c>
      <c r="H45">
        <v>0.3939695282601241</v>
      </c>
      <c r="I45">
        <v>0.38370137348184663</v>
      </c>
      <c r="J45">
        <v>0.51941915349232148</v>
      </c>
      <c r="K45">
        <v>0.47930210945627499</v>
      </c>
      <c r="L45">
        <v>0.47686483294369603</v>
      </c>
      <c r="M45">
        <v>0.5309628758472672</v>
      </c>
      <c r="N45">
        <v>0.52979388544866879</v>
      </c>
      <c r="O45">
        <v>0.49101766699075888</v>
      </c>
      <c r="AU45" t="s">
        <v>683</v>
      </c>
      <c r="AV45">
        <v>0.29001674509736258</v>
      </c>
      <c r="AW45">
        <v>0.29385177394250389</v>
      </c>
      <c r="AX45">
        <v>0.30191182377138609</v>
      </c>
      <c r="AY45">
        <v>0.37253850118626647</v>
      </c>
      <c r="AZ45">
        <v>0.35309569013861336</v>
      </c>
      <c r="BA45">
        <v>0.38163946666547927</v>
      </c>
      <c r="BB45">
        <v>6.5869497702454871E-2</v>
      </c>
      <c r="BC45">
        <v>8.1561015378717308E-2</v>
      </c>
      <c r="BD45">
        <v>8.919861904695886E-2</v>
      </c>
      <c r="BE45">
        <v>0.16999730846739838</v>
      </c>
      <c r="BF45">
        <v>0.18274394730935373</v>
      </c>
      <c r="BG45">
        <v>0.17754185342157491</v>
      </c>
      <c r="BI45" t="s">
        <v>684</v>
      </c>
      <c r="BJ45" t="s">
        <v>99</v>
      </c>
      <c r="BK45" t="s">
        <v>100</v>
      </c>
      <c r="BL45">
        <v>0.20442200214935213</v>
      </c>
    </row>
    <row r="46" spans="2:64" x14ac:dyDescent="0.45">
      <c r="B46" t="s">
        <v>685</v>
      </c>
      <c r="C46" t="s">
        <v>95</v>
      </c>
      <c r="D46">
        <v>0.46020875793736526</v>
      </c>
      <c r="E46">
        <v>0.49713144704310525</v>
      </c>
      <c r="F46">
        <v>0.44220578801148896</v>
      </c>
      <c r="G46">
        <v>0.39431316358083518</v>
      </c>
      <c r="H46">
        <v>0.39350997978838836</v>
      </c>
      <c r="I46">
        <v>0.39368554361340308</v>
      </c>
      <c r="J46">
        <v>0.43813834735687657</v>
      </c>
      <c r="K46">
        <v>0.44794685758948399</v>
      </c>
      <c r="L46">
        <v>0.43888967498227421</v>
      </c>
      <c r="M46">
        <v>0.45580160866456398</v>
      </c>
      <c r="N46">
        <v>0.44540039075447602</v>
      </c>
      <c r="O46">
        <v>0.4688380211245417</v>
      </c>
      <c r="AU46" t="s">
        <v>685</v>
      </c>
      <c r="AV46">
        <v>0.21496935783620669</v>
      </c>
      <c r="AW46">
        <v>0.24694566119619038</v>
      </c>
      <c r="AX46">
        <v>0.2486586470119326</v>
      </c>
      <c r="AY46">
        <v>0.30724682816306037</v>
      </c>
      <c r="AZ46">
        <v>0.33570205106610468</v>
      </c>
      <c r="BA46">
        <v>0.35098505209208991</v>
      </c>
      <c r="BB46">
        <v>6.7483262264559349E-2</v>
      </c>
      <c r="BC46">
        <v>9.8809587652399E-2</v>
      </c>
      <c r="BD46">
        <v>0.11700881247580437</v>
      </c>
      <c r="BE46">
        <v>0.18881018827128393</v>
      </c>
      <c r="BF46">
        <v>0.20696653944598234</v>
      </c>
      <c r="BG46">
        <v>0.21680983159609318</v>
      </c>
      <c r="BI46" t="s">
        <v>686</v>
      </c>
      <c r="BJ46" t="s">
        <v>99</v>
      </c>
      <c r="BK46" t="s">
        <v>100</v>
      </c>
      <c r="BL46">
        <v>0.19587552914630407</v>
      </c>
    </row>
    <row r="47" spans="2:64" x14ac:dyDescent="0.45">
      <c r="B47" t="s">
        <v>687</v>
      </c>
      <c r="C47" t="s">
        <v>95</v>
      </c>
      <c r="D47">
        <v>0.45812093824221056</v>
      </c>
      <c r="E47">
        <v>0.48575298110802684</v>
      </c>
      <c r="F47">
        <v>0.44825409761394747</v>
      </c>
      <c r="G47">
        <v>0.40821086713206284</v>
      </c>
      <c r="H47">
        <v>0.41248492264861264</v>
      </c>
      <c r="I47">
        <v>0.39463410025659812</v>
      </c>
      <c r="J47">
        <v>0.4279419322511438</v>
      </c>
      <c r="K47">
        <v>0.44973297386768635</v>
      </c>
      <c r="L47">
        <v>0.42113197662203111</v>
      </c>
      <c r="M47">
        <v>0.50265142203415325</v>
      </c>
      <c r="N47">
        <v>0.48717733367498223</v>
      </c>
      <c r="O47">
        <v>0.49869227947131983</v>
      </c>
      <c r="AU47" t="s">
        <v>687</v>
      </c>
      <c r="AV47">
        <v>0.25088955083607384</v>
      </c>
      <c r="AW47">
        <v>0.25928069263510567</v>
      </c>
      <c r="AX47">
        <v>0.26402732826310926</v>
      </c>
      <c r="AY47">
        <v>0.32027318426303486</v>
      </c>
      <c r="AZ47">
        <v>0.31794988862059398</v>
      </c>
      <c r="BA47">
        <v>0.36134981166235686</v>
      </c>
      <c r="BB47">
        <v>5.467246821721708E-2</v>
      </c>
      <c r="BC47">
        <v>8.0013745368450642E-2</v>
      </c>
      <c r="BD47">
        <v>0.11626030623830128</v>
      </c>
      <c r="BE47">
        <v>0.19002198329800771</v>
      </c>
      <c r="BF47">
        <v>0.17436304700538185</v>
      </c>
      <c r="BG47">
        <v>0.21277930698644126</v>
      </c>
      <c r="BI47" t="s">
        <v>688</v>
      </c>
      <c r="BJ47" t="s">
        <v>99</v>
      </c>
      <c r="BK47" t="s">
        <v>100</v>
      </c>
      <c r="BL47">
        <v>0.18155086982662652</v>
      </c>
    </row>
    <row r="48" spans="2:64" x14ac:dyDescent="0.45">
      <c r="B48" t="s">
        <v>689</v>
      </c>
      <c r="C48" t="s">
        <v>95</v>
      </c>
      <c r="D48">
        <v>0.33988124897529021</v>
      </c>
      <c r="E48">
        <v>0.31811662307930488</v>
      </c>
      <c r="F48">
        <v>0.30653991176285977</v>
      </c>
      <c r="G48">
        <v>0.31740761360957315</v>
      </c>
      <c r="H48">
        <v>0.28637993916390836</v>
      </c>
      <c r="I48">
        <v>0.29897896724021661</v>
      </c>
      <c r="J48">
        <v>0.51787848508172973</v>
      </c>
      <c r="K48">
        <v>0.47767800915036829</v>
      </c>
      <c r="L48">
        <v>0.49408081276189841</v>
      </c>
      <c r="M48">
        <v>0.46865719697145969</v>
      </c>
      <c r="N48">
        <v>0.46895589618781897</v>
      </c>
      <c r="O48">
        <v>0.45916186446743323</v>
      </c>
      <c r="AU48" t="s">
        <v>689</v>
      </c>
      <c r="AV48">
        <v>0.43529283918515266</v>
      </c>
      <c r="AW48">
        <v>0.45292524919037408</v>
      </c>
      <c r="AX48">
        <v>0.47812241590912136</v>
      </c>
      <c r="AY48">
        <v>0.45499496957080116</v>
      </c>
      <c r="AZ48">
        <v>0.49782032146067434</v>
      </c>
      <c r="BA48">
        <v>0.47877118445787914</v>
      </c>
      <c r="BB48">
        <v>0.14250822510525718</v>
      </c>
      <c r="BC48">
        <v>0.16249452474663559</v>
      </c>
      <c r="BD48">
        <v>0.18701787263564484</v>
      </c>
      <c r="BE48">
        <v>0.21820843258799888</v>
      </c>
      <c r="BF48">
        <v>0.2530891449488939</v>
      </c>
      <c r="BG48">
        <v>0.2549608753133184</v>
      </c>
      <c r="BI48" t="s">
        <v>690</v>
      </c>
      <c r="BJ48" t="s">
        <v>99</v>
      </c>
      <c r="BK48" t="s">
        <v>100</v>
      </c>
      <c r="BL48">
        <v>0.35932772268173729</v>
      </c>
    </row>
    <row r="49" spans="2:64" x14ac:dyDescent="0.45">
      <c r="B49" t="s">
        <v>691</v>
      </c>
      <c r="C49" t="s">
        <v>95</v>
      </c>
      <c r="D49">
        <v>0.30120548751302095</v>
      </c>
      <c r="E49">
        <v>0.28049192940992046</v>
      </c>
      <c r="F49">
        <v>0.30105867731774322</v>
      </c>
      <c r="G49">
        <v>0.29682984735906454</v>
      </c>
      <c r="H49">
        <v>0.32756134895178757</v>
      </c>
      <c r="I49">
        <v>0.32184214024374397</v>
      </c>
      <c r="J49">
        <v>0.47468370558586598</v>
      </c>
      <c r="K49">
        <v>0.47308416177335788</v>
      </c>
      <c r="L49">
        <v>0.4458354206156388</v>
      </c>
      <c r="M49">
        <v>0.40761236892531882</v>
      </c>
      <c r="N49">
        <v>0.43082565003596413</v>
      </c>
      <c r="O49">
        <v>0.40578656181912298</v>
      </c>
      <c r="AU49" t="s">
        <v>691</v>
      </c>
      <c r="AV49">
        <v>0.50255432432970015</v>
      </c>
      <c r="AW49">
        <v>0.53572170816761011</v>
      </c>
      <c r="AX49">
        <v>0.53279969032323005</v>
      </c>
      <c r="AY49">
        <v>0.50949142291187566</v>
      </c>
      <c r="AZ49">
        <v>0.47137455206689038</v>
      </c>
      <c r="BA49">
        <v>0.48775324773198286</v>
      </c>
      <c r="BB49">
        <v>0.24424729405377746</v>
      </c>
      <c r="BC49">
        <v>0.22842852161011809</v>
      </c>
      <c r="BD49">
        <v>0.2643943046872313</v>
      </c>
      <c r="BE49">
        <v>0.30581590817834925</v>
      </c>
      <c r="BF49">
        <v>0.2814621626093467</v>
      </c>
      <c r="BG49">
        <v>0.31429666025913916</v>
      </c>
      <c r="BI49" t="s">
        <v>692</v>
      </c>
      <c r="BJ49" t="s">
        <v>99</v>
      </c>
      <c r="BK49" t="s">
        <v>100</v>
      </c>
      <c r="BL49">
        <v>0.30296296616515833</v>
      </c>
    </row>
    <row r="50" spans="2:64" x14ac:dyDescent="0.45">
      <c r="B50" t="s">
        <v>693</v>
      </c>
      <c r="C50" t="s">
        <v>95</v>
      </c>
      <c r="D50">
        <v>0.3634871817575549</v>
      </c>
      <c r="E50">
        <v>0.32459777215383112</v>
      </c>
      <c r="F50">
        <v>0.33477190479981822</v>
      </c>
      <c r="G50">
        <v>0.34035197463108863</v>
      </c>
      <c r="H50">
        <v>0.33866581515888339</v>
      </c>
      <c r="I50">
        <v>0.34131017602306329</v>
      </c>
      <c r="J50">
        <v>0.42542488352899605</v>
      </c>
      <c r="K50">
        <v>0.45138986227342803</v>
      </c>
      <c r="L50">
        <v>0.40879387573562026</v>
      </c>
      <c r="M50">
        <v>0.43877883207732882</v>
      </c>
      <c r="N50">
        <v>0.42699110250382705</v>
      </c>
      <c r="O50">
        <v>0.42933861554715425</v>
      </c>
      <c r="AU50" t="s">
        <v>693</v>
      </c>
      <c r="AV50">
        <v>0.38776245303224055</v>
      </c>
      <c r="AW50">
        <v>0.43907242145772696</v>
      </c>
      <c r="AX50">
        <v>0.42314328393851219</v>
      </c>
      <c r="AY50">
        <v>0.44634425467529615</v>
      </c>
      <c r="AZ50">
        <v>0.450958943487273</v>
      </c>
      <c r="BA50">
        <v>0.43907302127109171</v>
      </c>
      <c r="BB50">
        <v>0.16745457098204652</v>
      </c>
      <c r="BC50">
        <v>0.22170319703432248</v>
      </c>
      <c r="BD50">
        <v>0.25296455006427682</v>
      </c>
      <c r="BE50">
        <v>0.25432327896668877</v>
      </c>
      <c r="BF50">
        <v>0.27075257328583008</v>
      </c>
      <c r="BG50">
        <v>0.26197643653235708</v>
      </c>
      <c r="BI50" t="s">
        <v>694</v>
      </c>
      <c r="BJ50" t="s">
        <v>99</v>
      </c>
      <c r="BK50" t="s">
        <v>100</v>
      </c>
      <c r="BL50">
        <v>0.36422400485770029</v>
      </c>
    </row>
    <row r="51" spans="2:64" x14ac:dyDescent="0.45">
      <c r="B51" t="s">
        <v>695</v>
      </c>
      <c r="C51" t="s">
        <v>95</v>
      </c>
      <c r="D51">
        <v>0.32136466524108448</v>
      </c>
      <c r="E51">
        <v>0.32156761211217222</v>
      </c>
      <c r="F51">
        <v>0.34068046425912901</v>
      </c>
      <c r="G51">
        <v>0.26736286015184346</v>
      </c>
      <c r="H51">
        <v>0.31569057101901599</v>
      </c>
      <c r="I51">
        <v>0.29398102677089677</v>
      </c>
      <c r="J51">
        <v>0.41491866844315578</v>
      </c>
      <c r="K51">
        <v>0.41622608889043761</v>
      </c>
      <c r="L51">
        <v>0.38766429450999418</v>
      </c>
      <c r="M51">
        <v>0.36923334468611524</v>
      </c>
      <c r="N51">
        <v>0.37602596791125509</v>
      </c>
      <c r="O51">
        <v>0.37912748227411563</v>
      </c>
      <c r="AU51" t="s">
        <v>695</v>
      </c>
      <c r="AV51">
        <v>0.48335194843955948</v>
      </c>
      <c r="AW51">
        <v>0.49491153627339901</v>
      </c>
      <c r="AX51">
        <v>0.45624822170370649</v>
      </c>
      <c r="AY51">
        <v>0.5293761893050668</v>
      </c>
      <c r="AZ51">
        <v>0.48526532862898575</v>
      </c>
      <c r="BA51">
        <v>0.51727926202052088</v>
      </c>
      <c r="BB51">
        <v>0.20272840818107388</v>
      </c>
      <c r="BC51">
        <v>0.20640113248118772</v>
      </c>
      <c r="BD51">
        <v>0.23798065036487387</v>
      </c>
      <c r="BE51">
        <v>0.36406223665787713</v>
      </c>
      <c r="BF51">
        <v>0.33826959386623617</v>
      </c>
      <c r="BG51">
        <v>0.36207483004171825</v>
      </c>
      <c r="BI51" t="s">
        <v>696</v>
      </c>
      <c r="BJ51" t="s">
        <v>99</v>
      </c>
      <c r="BK51" t="s">
        <v>100</v>
      </c>
      <c r="BL51">
        <v>0.25982225111425222</v>
      </c>
    </row>
    <row r="52" spans="2:64" x14ac:dyDescent="0.45">
      <c r="B52" t="s">
        <v>697</v>
      </c>
      <c r="C52" t="s">
        <v>95</v>
      </c>
      <c r="D52">
        <v>0.32422591184380911</v>
      </c>
      <c r="E52">
        <v>0.33661817538057653</v>
      </c>
      <c r="F52">
        <v>0.33415851807972985</v>
      </c>
      <c r="G52">
        <v>0.29704741913449045</v>
      </c>
      <c r="H52">
        <v>0.29660705919284841</v>
      </c>
      <c r="I52">
        <v>0.27129022550461479</v>
      </c>
      <c r="J52">
        <v>0.44309365640610548</v>
      </c>
      <c r="K52">
        <v>0.42783993000398202</v>
      </c>
      <c r="L52">
        <v>0.39270929354122158</v>
      </c>
      <c r="M52">
        <v>0.36669047777263569</v>
      </c>
      <c r="N52">
        <v>0.38457215396394062</v>
      </c>
      <c r="O52">
        <v>0.37263602108130189</v>
      </c>
      <c r="AU52" t="s">
        <v>697</v>
      </c>
      <c r="AV52">
        <v>0.46646850832991588</v>
      </c>
      <c r="AW52">
        <v>0.45500690192471605</v>
      </c>
      <c r="AX52">
        <v>0.44815069336369884</v>
      </c>
      <c r="AY52">
        <v>0.46384938936467007</v>
      </c>
      <c r="AZ52">
        <v>0.46681028767076455</v>
      </c>
      <c r="BA52">
        <v>0.48777698110224998</v>
      </c>
      <c r="BB52">
        <v>0.219592887171665</v>
      </c>
      <c r="BC52">
        <v>0.23266020800385614</v>
      </c>
      <c r="BD52">
        <v>0.26351698052941436</v>
      </c>
      <c r="BE52">
        <v>0.33796699620368459</v>
      </c>
      <c r="BF52">
        <v>0.32190822238788847</v>
      </c>
      <c r="BG52">
        <v>0.34571592301961035</v>
      </c>
      <c r="BI52" t="s">
        <v>698</v>
      </c>
      <c r="BJ52" t="s">
        <v>99</v>
      </c>
      <c r="BK52" t="s">
        <v>100</v>
      </c>
      <c r="BL52">
        <v>0.21653042432364414</v>
      </c>
    </row>
    <row r="53" spans="2:64" x14ac:dyDescent="0.45">
      <c r="B53" t="s">
        <v>699</v>
      </c>
      <c r="C53" t="s">
        <v>95</v>
      </c>
      <c r="D53">
        <v>0.39913652629086199</v>
      </c>
      <c r="E53">
        <v>0.42371068661409145</v>
      </c>
      <c r="F53">
        <v>0.42094095164993606</v>
      </c>
      <c r="G53">
        <v>0.31424882014900413</v>
      </c>
      <c r="H53">
        <v>0.3318373032553002</v>
      </c>
      <c r="I53">
        <v>0.33927972237684206</v>
      </c>
      <c r="J53">
        <v>0.46388053373724081</v>
      </c>
      <c r="K53">
        <v>0.46483419314490693</v>
      </c>
      <c r="L53">
        <v>0.46630985560538196</v>
      </c>
      <c r="M53">
        <v>0.39827922237610824</v>
      </c>
      <c r="N53">
        <v>0.40492054088852714</v>
      </c>
      <c r="O53">
        <v>0.38920107321924807</v>
      </c>
      <c r="AU53" t="s">
        <v>699</v>
      </c>
      <c r="AV53">
        <v>0.34921140107692944</v>
      </c>
      <c r="AW53">
        <v>0.34411313935993565</v>
      </c>
      <c r="AX53">
        <v>0.35197630934538204</v>
      </c>
      <c r="AY53">
        <v>0.40493304327176594</v>
      </c>
      <c r="AZ53">
        <v>0.39202508407983438</v>
      </c>
      <c r="BA53">
        <v>0.41536419841118483</v>
      </c>
      <c r="BB53">
        <v>0.16471678755041874</v>
      </c>
      <c r="BC53">
        <v>0.1432600004631174</v>
      </c>
      <c r="BD53">
        <v>0.16660129179371166</v>
      </c>
      <c r="BE53">
        <v>0.34294811762042937</v>
      </c>
      <c r="BF53">
        <v>0.35128536612270622</v>
      </c>
      <c r="BG53">
        <v>0.35791586163123928</v>
      </c>
      <c r="BI53" t="s">
        <v>700</v>
      </c>
      <c r="BJ53" t="s">
        <v>99</v>
      </c>
      <c r="BK53" t="s">
        <v>100</v>
      </c>
      <c r="BL53">
        <v>0.20789387002778062</v>
      </c>
    </row>
    <row r="54" spans="2:64" x14ac:dyDescent="0.45">
      <c r="B54" t="s">
        <v>701</v>
      </c>
      <c r="C54" t="s">
        <v>95</v>
      </c>
      <c r="D54">
        <v>0.37571156930651489</v>
      </c>
      <c r="E54">
        <v>0.38672860283049093</v>
      </c>
      <c r="F54">
        <v>0.39336955037916871</v>
      </c>
      <c r="G54">
        <v>0.36573654242291459</v>
      </c>
      <c r="H54">
        <v>0.34020524609856945</v>
      </c>
      <c r="I54">
        <v>0.33169463133865124</v>
      </c>
      <c r="J54">
        <v>0.48402877645503878</v>
      </c>
      <c r="K54">
        <v>0.40911071935113824</v>
      </c>
      <c r="L54">
        <v>0.37498876904592415</v>
      </c>
      <c r="M54">
        <v>0.42907501598664244</v>
      </c>
      <c r="N54">
        <v>0.41228386315208049</v>
      </c>
      <c r="O54">
        <v>0.38197178087760536</v>
      </c>
      <c r="AU54" t="s">
        <v>701</v>
      </c>
      <c r="AV54">
        <v>0.36370514713836571</v>
      </c>
      <c r="AW54">
        <v>0.37507536520679252</v>
      </c>
      <c r="AX54">
        <v>0.37774387723616931</v>
      </c>
      <c r="AY54">
        <v>0.37117621012493024</v>
      </c>
      <c r="AZ54">
        <v>0.39301685293987992</v>
      </c>
      <c r="BA54">
        <v>0.38188571806692756</v>
      </c>
      <c r="BB54">
        <v>0.1300408354445452</v>
      </c>
      <c r="BC54">
        <v>0.14727582783477156</v>
      </c>
      <c r="BD54">
        <v>0.15630257812139206</v>
      </c>
      <c r="BE54">
        <v>0.29744747938188637</v>
      </c>
      <c r="BF54">
        <v>0.29180322502130818</v>
      </c>
      <c r="BG54">
        <v>0.28683327014816135</v>
      </c>
      <c r="BI54" t="s">
        <v>663</v>
      </c>
      <c r="BJ54" t="s">
        <v>99</v>
      </c>
      <c r="BK54" t="s">
        <v>100</v>
      </c>
      <c r="BL54">
        <v>0.31522330650558267</v>
      </c>
    </row>
    <row r="55" spans="2:64" x14ac:dyDescent="0.45">
      <c r="B55" t="s">
        <v>664</v>
      </c>
      <c r="C55" t="s">
        <v>95</v>
      </c>
      <c r="D55">
        <v>0.49058795954096179</v>
      </c>
      <c r="E55">
        <v>0.5185213706903542</v>
      </c>
      <c r="F55">
        <v>0.53089625054430511</v>
      </c>
      <c r="G55">
        <v>0.42613734484736104</v>
      </c>
      <c r="H55">
        <v>0.47189732439544307</v>
      </c>
      <c r="I55">
        <v>0.43715951710233186</v>
      </c>
      <c r="J55">
        <v>0.43771421470531136</v>
      </c>
      <c r="K55">
        <v>0.42528799549673196</v>
      </c>
      <c r="L55">
        <v>0.41918254173012703</v>
      </c>
      <c r="M55">
        <v>0.44490018517096031</v>
      </c>
      <c r="N55">
        <v>0.47434457768808785</v>
      </c>
      <c r="O55">
        <v>0.47804597145967698</v>
      </c>
      <c r="AU55" t="s">
        <v>664</v>
      </c>
      <c r="AV55">
        <v>0.13398242611318309</v>
      </c>
      <c r="AW55">
        <v>0.11212758774024188</v>
      </c>
      <c r="AX55">
        <v>0.12604589519239051</v>
      </c>
      <c r="AY55">
        <v>0.11535705622872046</v>
      </c>
      <c r="AZ55">
        <v>0.10335254302764529</v>
      </c>
      <c r="BA55">
        <v>0.10717989964366166</v>
      </c>
      <c r="BB55">
        <v>7.9724088403674995E-2</v>
      </c>
      <c r="BC55">
        <v>5.6840963296577438E-2</v>
      </c>
      <c r="BD55">
        <v>4.8736907929616199E-2</v>
      </c>
      <c r="BE55">
        <v>0.14172064810692633</v>
      </c>
      <c r="BF55">
        <v>0.12237318074468652</v>
      </c>
      <c r="BG55">
        <v>0.12967886097074063</v>
      </c>
      <c r="BI55" t="s">
        <v>665</v>
      </c>
      <c r="BJ55" t="s">
        <v>99</v>
      </c>
      <c r="BK55" t="s">
        <v>100</v>
      </c>
      <c r="BL55">
        <v>0.39141978984742243</v>
      </c>
    </row>
    <row r="56" spans="2:64" x14ac:dyDescent="0.45">
      <c r="B56" t="s">
        <v>666</v>
      </c>
      <c r="C56" t="s">
        <v>95</v>
      </c>
      <c r="D56">
        <v>0.4008798445429525</v>
      </c>
      <c r="E56">
        <v>0.5163177028216912</v>
      </c>
      <c r="F56">
        <v>0.44524431453901842</v>
      </c>
      <c r="G56">
        <v>0.41918534098117327</v>
      </c>
      <c r="H56">
        <v>0.46610028460502295</v>
      </c>
      <c r="I56">
        <v>0.35927203035698646</v>
      </c>
      <c r="J56">
        <v>0.39398553578624768</v>
      </c>
      <c r="K56">
        <v>0.45713694517918613</v>
      </c>
      <c r="L56">
        <v>0.33063325618283423</v>
      </c>
      <c r="M56">
        <v>0.38217847645272285</v>
      </c>
      <c r="N56">
        <v>0.45355731606198002</v>
      </c>
      <c r="O56">
        <v>0.3553709456786866</v>
      </c>
      <c r="AU56" t="s">
        <v>666</v>
      </c>
      <c r="AV56">
        <v>0.12633524987377062</v>
      </c>
      <c r="AW56">
        <v>0.10607748767914658</v>
      </c>
      <c r="AX56">
        <v>0.12775273958688491</v>
      </c>
      <c r="AY56">
        <v>0.15212483896974768</v>
      </c>
      <c r="AZ56">
        <v>0.11500302252375685</v>
      </c>
      <c r="BA56">
        <v>0.16198982273001447</v>
      </c>
      <c r="BB56">
        <v>8.6448232286840662E-2</v>
      </c>
      <c r="BC56">
        <v>5.2960313711287253E-2</v>
      </c>
      <c r="BD56">
        <v>8.4915827576457339E-2</v>
      </c>
      <c r="BE56">
        <v>0.13976341395010891</v>
      </c>
      <c r="BF56">
        <v>0.10475424135122999</v>
      </c>
      <c r="BG56">
        <v>0.15423766124287902</v>
      </c>
      <c r="BI56" t="s">
        <v>667</v>
      </c>
      <c r="BJ56" t="s">
        <v>99</v>
      </c>
      <c r="BK56" t="s">
        <v>100</v>
      </c>
      <c r="BL56">
        <v>0.33067440331517445</v>
      </c>
    </row>
    <row r="57" spans="2:64" x14ac:dyDescent="0.45">
      <c r="B57" t="s">
        <v>668</v>
      </c>
      <c r="C57" t="s">
        <v>95</v>
      </c>
      <c r="D57">
        <v>0.45771788905329119</v>
      </c>
      <c r="E57">
        <v>0.50873687851119476</v>
      </c>
      <c r="F57">
        <v>0.46713503391232097</v>
      </c>
      <c r="G57">
        <v>0.39455384412202094</v>
      </c>
      <c r="H57">
        <v>0.40205800028164729</v>
      </c>
      <c r="I57">
        <v>0.40239430221869271</v>
      </c>
      <c r="J57">
        <v>0.4666875293857688</v>
      </c>
      <c r="K57">
        <v>0.3932667550018013</v>
      </c>
      <c r="L57">
        <v>0.42898610058469161</v>
      </c>
      <c r="M57">
        <v>0.42996359099719794</v>
      </c>
      <c r="N57">
        <v>0.44885147369301792</v>
      </c>
      <c r="O57">
        <v>0.44156926099377825</v>
      </c>
      <c r="AU57" t="s">
        <v>668</v>
      </c>
      <c r="AV57">
        <v>0.13285827451955534</v>
      </c>
      <c r="AW57">
        <v>0.14530460125247729</v>
      </c>
      <c r="AX57">
        <v>0.14285876981420512</v>
      </c>
      <c r="AY57">
        <v>0.12522868812809743</v>
      </c>
      <c r="AZ57">
        <v>0.17447299640763622</v>
      </c>
      <c r="BA57">
        <v>0.1560159817437837</v>
      </c>
      <c r="BB57">
        <v>3.6192414797180772E-2</v>
      </c>
      <c r="BC57">
        <v>6.182177598868039E-2</v>
      </c>
      <c r="BD57">
        <v>5.2765765489696775E-2</v>
      </c>
      <c r="BE57">
        <v>9.4681570353319269E-2</v>
      </c>
      <c r="BF57">
        <v>0.11751630604309553</v>
      </c>
      <c r="BG57">
        <v>0.12066096127938036</v>
      </c>
      <c r="BI57" t="s">
        <v>669</v>
      </c>
      <c r="BJ57" t="s">
        <v>99</v>
      </c>
      <c r="BK57" t="s">
        <v>100</v>
      </c>
      <c r="BL57">
        <v>0.37958439897898705</v>
      </c>
    </row>
    <row r="58" spans="2:64" x14ac:dyDescent="0.45">
      <c r="B58" t="s">
        <v>670</v>
      </c>
      <c r="C58" t="s">
        <v>95</v>
      </c>
      <c r="D58">
        <v>0.43810926451671661</v>
      </c>
      <c r="E58">
        <v>0.4558005136276726</v>
      </c>
      <c r="F58">
        <v>0.44857634020896653</v>
      </c>
      <c r="G58">
        <v>0.40949656926312122</v>
      </c>
      <c r="H58">
        <v>0.39791321438037508</v>
      </c>
      <c r="I58">
        <v>0.39487721682350713</v>
      </c>
      <c r="J58">
        <v>0.50263721322079935</v>
      </c>
      <c r="K58">
        <v>0.3578367629766897</v>
      </c>
      <c r="L58">
        <v>0.38148231250148745</v>
      </c>
      <c r="M58">
        <v>0.43087264181823209</v>
      </c>
      <c r="N58">
        <v>0.43660811680432826</v>
      </c>
      <c r="O58">
        <v>0.42624040364588112</v>
      </c>
      <c r="AU58" t="s">
        <v>670</v>
      </c>
      <c r="AV58">
        <v>0.24222702239228799</v>
      </c>
      <c r="AW58">
        <v>0.23309863947538798</v>
      </c>
      <c r="AX58">
        <v>0.22204613301290471</v>
      </c>
      <c r="AY58">
        <v>0.18925838614254503</v>
      </c>
      <c r="AZ58">
        <v>0.22958477959115534</v>
      </c>
      <c r="BA58">
        <v>0.20216000577177079</v>
      </c>
      <c r="BB58">
        <v>8.3311282567348127E-2</v>
      </c>
      <c r="BC58">
        <v>8.6277042671295545E-2</v>
      </c>
      <c r="BD58">
        <v>9.5636603994420949E-2</v>
      </c>
      <c r="BE58">
        <v>0.20280152164359161</v>
      </c>
      <c r="BF58">
        <v>0.21400276532554716</v>
      </c>
      <c r="BG58">
        <v>0.21746715073873774</v>
      </c>
      <c r="BI58" t="s">
        <v>671</v>
      </c>
      <c r="BJ58" t="s">
        <v>99</v>
      </c>
      <c r="BK58" t="s">
        <v>100</v>
      </c>
      <c r="BL58">
        <v>0.2665212062309163</v>
      </c>
    </row>
    <row r="59" spans="2:64" x14ac:dyDescent="0.45">
      <c r="B59" t="s">
        <v>672</v>
      </c>
      <c r="C59" t="s">
        <v>95</v>
      </c>
      <c r="D59">
        <v>0.44685448428101276</v>
      </c>
      <c r="E59">
        <v>0.47439406937791156</v>
      </c>
      <c r="F59">
        <v>0.46658446535817133</v>
      </c>
      <c r="G59">
        <v>0.46400231053728902</v>
      </c>
      <c r="H59">
        <v>0.42546252873661478</v>
      </c>
      <c r="I59">
        <v>0.47027548511102318</v>
      </c>
      <c r="J59">
        <v>0.44573121659229742</v>
      </c>
      <c r="K59">
        <v>0.45383432960670556</v>
      </c>
      <c r="L59">
        <v>0.37865347887610484</v>
      </c>
      <c r="M59">
        <v>0.43934098255936277</v>
      </c>
      <c r="N59">
        <v>0.41913566917226019</v>
      </c>
      <c r="O59">
        <v>0.45126678350984972</v>
      </c>
      <c r="AU59" t="s">
        <v>672</v>
      </c>
      <c r="AV59">
        <v>0.15943561568441703</v>
      </c>
      <c r="AW59">
        <v>0.14983943493451199</v>
      </c>
      <c r="AX59">
        <v>0.16057286654607617</v>
      </c>
      <c r="AY59">
        <v>0.13232025303276354</v>
      </c>
      <c r="AZ59">
        <v>0.14145820955938274</v>
      </c>
      <c r="BA59">
        <v>0.13085095115319251</v>
      </c>
      <c r="BB59">
        <v>5.0769528962684378E-2</v>
      </c>
      <c r="BC59">
        <v>5.6754452038678911E-2</v>
      </c>
      <c r="BD59">
        <v>3.9946240676965873E-2</v>
      </c>
      <c r="BE59">
        <v>0.1424696881875136</v>
      </c>
      <c r="BF59">
        <v>0.1438836732345796</v>
      </c>
      <c r="BG59">
        <v>0.14935550399112874</v>
      </c>
      <c r="BI59" t="s">
        <v>673</v>
      </c>
      <c r="BJ59" t="s">
        <v>99</v>
      </c>
      <c r="BK59" t="s">
        <v>100</v>
      </c>
      <c r="BL59">
        <v>0.2983241035559755</v>
      </c>
    </row>
    <row r="60" spans="2:64" x14ac:dyDescent="0.45">
      <c r="B60" t="s">
        <v>674</v>
      </c>
      <c r="C60" t="s">
        <v>95</v>
      </c>
      <c r="D60">
        <v>0.52133260929683745</v>
      </c>
      <c r="E60">
        <v>0.5062051098158461</v>
      </c>
      <c r="F60">
        <v>0.52356605491932784</v>
      </c>
      <c r="G60">
        <v>0.47210938021028281</v>
      </c>
      <c r="H60">
        <v>0.4467598356500051</v>
      </c>
      <c r="I60">
        <v>0.46102073524117965</v>
      </c>
      <c r="J60">
        <v>0.49012565397953234</v>
      </c>
      <c r="K60">
        <v>0.39296740697932153</v>
      </c>
      <c r="L60">
        <v>0.35216963426129322</v>
      </c>
      <c r="M60">
        <v>0.4730923132528706</v>
      </c>
      <c r="N60">
        <v>0.47159072075226205</v>
      </c>
      <c r="O60">
        <v>0.44263392821982356</v>
      </c>
      <c r="AU60" t="s">
        <v>674</v>
      </c>
      <c r="AV60">
        <v>0.13894777786026838</v>
      </c>
      <c r="AW60">
        <v>0.13088637857022897</v>
      </c>
      <c r="AX60">
        <v>0.11695473945051227</v>
      </c>
      <c r="AY60">
        <v>0.12297166544074374</v>
      </c>
      <c r="AZ60">
        <v>0.15565952752001205</v>
      </c>
      <c r="BA60">
        <v>0.11560930323077523</v>
      </c>
      <c r="BB60">
        <v>3.6789998251919961E-2</v>
      </c>
      <c r="BC60">
        <v>6.1261021833553121E-2</v>
      </c>
      <c r="BD60">
        <v>6.4484019728208969E-2</v>
      </c>
      <c r="BE60">
        <v>0.13425694506173416</v>
      </c>
      <c r="BF60">
        <v>0.14223776752223716</v>
      </c>
      <c r="BG60">
        <v>0.14507923998374683</v>
      </c>
      <c r="BI60" t="s">
        <v>675</v>
      </c>
      <c r="BJ60" t="s">
        <v>99</v>
      </c>
      <c r="BK60" t="s">
        <v>100</v>
      </c>
      <c r="BL60">
        <v>0.3838839438261667</v>
      </c>
    </row>
    <row r="61" spans="2:64" x14ac:dyDescent="0.45">
      <c r="B61" t="s">
        <v>676</v>
      </c>
      <c r="C61" t="s">
        <v>95</v>
      </c>
      <c r="D61">
        <v>0.39065413324783987</v>
      </c>
      <c r="E61">
        <v>0.44943898605208538</v>
      </c>
      <c r="F61">
        <v>0.40832166424767496</v>
      </c>
      <c r="G61">
        <v>0.40153431660184574</v>
      </c>
      <c r="H61">
        <v>0.40247218297688397</v>
      </c>
      <c r="I61">
        <v>0.39947338615654093</v>
      </c>
      <c r="J61">
        <v>0.37630021245551326</v>
      </c>
      <c r="K61">
        <v>0.33911986886493778</v>
      </c>
      <c r="L61">
        <v>0.37796233583914129</v>
      </c>
      <c r="M61">
        <v>0.43968481174884699</v>
      </c>
      <c r="N61">
        <v>0.43554663966398616</v>
      </c>
      <c r="O61">
        <v>0.42226444357728932</v>
      </c>
      <c r="AU61" t="s">
        <v>676</v>
      </c>
      <c r="AV61">
        <v>0.16420101636493015</v>
      </c>
      <c r="AW61">
        <v>0.15291524062682788</v>
      </c>
      <c r="AX61">
        <v>0.13435780976784248</v>
      </c>
      <c r="AY61">
        <v>0.15505707569295593</v>
      </c>
      <c r="AZ61">
        <v>0.16015760901354287</v>
      </c>
      <c r="BA61">
        <v>0.15113343085942493</v>
      </c>
      <c r="BB61">
        <v>8.1206077616781086E-2</v>
      </c>
      <c r="BC61">
        <v>6.6175731811140739E-2</v>
      </c>
      <c r="BD61">
        <v>6.2966544330748872E-2</v>
      </c>
      <c r="BE61">
        <v>0.12972559225413183</v>
      </c>
      <c r="BF61">
        <v>0.12941032272832159</v>
      </c>
      <c r="BG61">
        <v>0.12906477079070044</v>
      </c>
      <c r="BI61" t="s">
        <v>677</v>
      </c>
      <c r="BJ61" t="s">
        <v>99</v>
      </c>
      <c r="BK61" t="s">
        <v>100</v>
      </c>
      <c r="BL61">
        <v>0.31109559159404071</v>
      </c>
    </row>
    <row r="62" spans="2:64" x14ac:dyDescent="0.45">
      <c r="B62" t="s">
        <v>678</v>
      </c>
      <c r="C62" t="s">
        <v>95</v>
      </c>
      <c r="D62">
        <v>0.52991444752611361</v>
      </c>
      <c r="E62">
        <v>0.52976991201217782</v>
      </c>
      <c r="F62">
        <v>0.52383227407468635</v>
      </c>
      <c r="G62">
        <v>0.47101455587444957</v>
      </c>
      <c r="H62">
        <v>0.49255705417823553</v>
      </c>
      <c r="I62">
        <v>0.50135127841075988</v>
      </c>
      <c r="J62">
        <v>0.41733521656094191</v>
      </c>
      <c r="K62">
        <v>0.40810004176471126</v>
      </c>
      <c r="L62">
        <v>0.42845966751570241</v>
      </c>
      <c r="M62">
        <v>0.53295891185297339</v>
      </c>
      <c r="N62">
        <v>0.52602085784561892</v>
      </c>
      <c r="O62">
        <v>0.51491880459063288</v>
      </c>
      <c r="AU62" t="s">
        <v>678</v>
      </c>
      <c r="AV62">
        <v>9.6070939416825776E-2</v>
      </c>
      <c r="AW62">
        <v>8.9117282311210536E-2</v>
      </c>
      <c r="AX62">
        <v>8.4985427266654631E-2</v>
      </c>
      <c r="AY62">
        <v>8.2053730365658731E-2</v>
      </c>
      <c r="AZ62">
        <v>0.11779267924448887</v>
      </c>
      <c r="BA62">
        <v>8.8609715783649443E-2</v>
      </c>
      <c r="BB62">
        <v>3.8328681327903971E-2</v>
      </c>
      <c r="BC62">
        <v>5.1250010626771009E-2</v>
      </c>
      <c r="BD62">
        <v>4.4993402599908416E-2</v>
      </c>
      <c r="BE62">
        <v>0.10054138586060349</v>
      </c>
      <c r="BF62">
        <v>0.11209260264361279</v>
      </c>
      <c r="BG62">
        <v>0.10387436525332007</v>
      </c>
      <c r="BI62" t="s">
        <v>679</v>
      </c>
      <c r="BJ62" t="s">
        <v>99</v>
      </c>
      <c r="BK62" t="s">
        <v>100</v>
      </c>
      <c r="BL62">
        <v>0.3027684351357256</v>
      </c>
    </row>
    <row r="63" spans="2:64" x14ac:dyDescent="0.45">
      <c r="B63" t="s">
        <v>680</v>
      </c>
      <c r="C63" t="s">
        <v>95</v>
      </c>
      <c r="D63">
        <v>0.48047831910291355</v>
      </c>
      <c r="E63">
        <v>0.51851170093034848</v>
      </c>
      <c r="F63">
        <v>0.45741099891839176</v>
      </c>
      <c r="G63">
        <v>0.43333214244179219</v>
      </c>
      <c r="H63">
        <v>0.45507823829893485</v>
      </c>
      <c r="I63">
        <v>0.43097635356164199</v>
      </c>
      <c r="J63">
        <v>0.45533435673893191</v>
      </c>
      <c r="K63">
        <v>0.41105617708729419</v>
      </c>
      <c r="L63">
        <v>0.35775378618381448</v>
      </c>
      <c r="M63">
        <v>0.47539025383158645</v>
      </c>
      <c r="N63">
        <v>0.48838990004453475</v>
      </c>
      <c r="O63">
        <v>0.45377513596113855</v>
      </c>
      <c r="AU63" t="s">
        <v>680</v>
      </c>
      <c r="AV63">
        <v>0.14444007990226074</v>
      </c>
      <c r="AW63">
        <v>0.14504286979598593</v>
      </c>
      <c r="AX63">
        <v>0.13036512477388307</v>
      </c>
      <c r="AY63">
        <v>0.10483526477925414</v>
      </c>
      <c r="AZ63">
        <v>0.15269722699083427</v>
      </c>
      <c r="BA63">
        <v>0.11545000104180728</v>
      </c>
      <c r="BB63">
        <v>4.2895392537273806E-2</v>
      </c>
      <c r="BC63">
        <v>5.969089706324749E-2</v>
      </c>
      <c r="BD63">
        <v>5.5382964813864656E-2</v>
      </c>
      <c r="BE63">
        <v>0.10925944462900926</v>
      </c>
      <c r="BF63">
        <v>0.13686714002736319</v>
      </c>
      <c r="BG63">
        <v>0.1264414449867487</v>
      </c>
      <c r="BI63" t="s">
        <v>681</v>
      </c>
      <c r="BJ63" t="s">
        <v>99</v>
      </c>
      <c r="BK63" t="s">
        <v>100</v>
      </c>
      <c r="BL63">
        <v>0.4306930078327435</v>
      </c>
    </row>
    <row r="64" spans="2:64" x14ac:dyDescent="0.45">
      <c r="B64" t="s">
        <v>682</v>
      </c>
      <c r="C64" t="s">
        <v>95</v>
      </c>
      <c r="D64">
        <v>0.36207115504051962</v>
      </c>
      <c r="E64">
        <v>0.3762123298293818</v>
      </c>
      <c r="F64">
        <v>0.36864324972877338</v>
      </c>
      <c r="G64">
        <v>0.34573391938807574</v>
      </c>
      <c r="H64">
        <v>0.33988188741205877</v>
      </c>
      <c r="I64">
        <v>0.33611525313970825</v>
      </c>
      <c r="J64">
        <v>0.36592695964792171</v>
      </c>
      <c r="K64">
        <v>0.35348259841320867</v>
      </c>
      <c r="L64">
        <v>0.39457691855996557</v>
      </c>
      <c r="M64">
        <v>0.38902092968625807</v>
      </c>
      <c r="N64">
        <v>0.39768338813483839</v>
      </c>
      <c r="O64">
        <v>0.3858735447087388</v>
      </c>
      <c r="AU64" t="s">
        <v>682</v>
      </c>
      <c r="AV64">
        <v>0.25603164602957862</v>
      </c>
      <c r="AW64">
        <v>0.25000628994573021</v>
      </c>
      <c r="AX64">
        <v>0.2587551163822055</v>
      </c>
      <c r="AY64">
        <v>0.24631463089789501</v>
      </c>
      <c r="AZ64">
        <v>0.25357726676142067</v>
      </c>
      <c r="BA64">
        <v>0.26211456468410188</v>
      </c>
      <c r="BB64">
        <v>0.17843093928032613</v>
      </c>
      <c r="BC64">
        <v>0.15182060004051895</v>
      </c>
      <c r="BD64">
        <v>0.14090670876745798</v>
      </c>
      <c r="BE64">
        <v>0.17100211269911261</v>
      </c>
      <c r="BF64">
        <v>0.17527571335735678</v>
      </c>
      <c r="BG64">
        <v>0.18258053671843233</v>
      </c>
      <c r="BI64" t="s">
        <v>683</v>
      </c>
      <c r="BJ64" t="s">
        <v>99</v>
      </c>
      <c r="BK64" t="s">
        <v>100</v>
      </c>
      <c r="BL64">
        <v>0.37817410431587672</v>
      </c>
    </row>
    <row r="65" spans="2:64" x14ac:dyDescent="0.45">
      <c r="B65" t="s">
        <v>684</v>
      </c>
      <c r="C65" t="s">
        <v>95</v>
      </c>
      <c r="D65">
        <v>0.45019874468498478</v>
      </c>
      <c r="E65">
        <v>0.478480146079035</v>
      </c>
      <c r="F65">
        <v>0.44766431543412144</v>
      </c>
      <c r="G65">
        <v>0.40293553392184439</v>
      </c>
      <c r="H65">
        <v>0.38196286630171716</v>
      </c>
      <c r="I65">
        <v>0.37318434960486879</v>
      </c>
      <c r="J65">
        <v>0.3864147005250535</v>
      </c>
      <c r="K65">
        <v>0.36527550314220036</v>
      </c>
      <c r="L65">
        <v>0.37072035358333588</v>
      </c>
      <c r="M65">
        <v>0.47012436147552461</v>
      </c>
      <c r="N65">
        <v>0.42054515379795065</v>
      </c>
      <c r="O65">
        <v>0.4517859518761288</v>
      </c>
      <c r="AU65" t="s">
        <v>684</v>
      </c>
      <c r="AV65">
        <v>0.14468420860734377</v>
      </c>
      <c r="AW65">
        <v>0.16052931769072296</v>
      </c>
      <c r="AX65">
        <v>0.15567429478240905</v>
      </c>
      <c r="AY65">
        <v>0.18119282755277302</v>
      </c>
      <c r="AZ65">
        <v>0.20713068030179174</v>
      </c>
      <c r="BA65">
        <v>0.1980911153093366</v>
      </c>
      <c r="BB65">
        <v>3.0508645193058872E-2</v>
      </c>
      <c r="BC65">
        <v>6.5110573800715471E-2</v>
      </c>
      <c r="BD65">
        <v>6.079533746771671E-2</v>
      </c>
      <c r="BE65">
        <v>0.10949040119052965</v>
      </c>
      <c r="BF65">
        <v>0.11077490871366918</v>
      </c>
      <c r="BG65">
        <v>0.11916335377518027</v>
      </c>
      <c r="BI65" t="s">
        <v>685</v>
      </c>
      <c r="BJ65" t="s">
        <v>99</v>
      </c>
      <c r="BK65" t="s">
        <v>100</v>
      </c>
      <c r="BL65">
        <v>0.34917644559685251</v>
      </c>
    </row>
    <row r="66" spans="2:64" x14ac:dyDescent="0.45">
      <c r="B66" t="s">
        <v>686</v>
      </c>
      <c r="C66" t="s">
        <v>95</v>
      </c>
      <c r="D66">
        <v>0.39920249661614537</v>
      </c>
      <c r="E66">
        <v>0.42881344393449577</v>
      </c>
      <c r="F66">
        <v>0.4385050939112049</v>
      </c>
      <c r="G66">
        <v>0.41990475972811203</v>
      </c>
      <c r="H66">
        <v>0.39460274138933377</v>
      </c>
      <c r="I66">
        <v>0.42426372988632211</v>
      </c>
      <c r="J66">
        <v>0.48473010043041553</v>
      </c>
      <c r="K66">
        <v>0.39690471467805999</v>
      </c>
      <c r="L66">
        <v>0.507604453366437</v>
      </c>
      <c r="M66">
        <v>0.47257462047334647</v>
      </c>
      <c r="N66">
        <v>0.42010822124635544</v>
      </c>
      <c r="O66">
        <v>0.44792097648938739</v>
      </c>
      <c r="AU66" t="s">
        <v>686</v>
      </c>
      <c r="AV66">
        <v>0.18765682866496214</v>
      </c>
      <c r="AW66">
        <v>0.19296122704213214</v>
      </c>
      <c r="AX66">
        <v>0.18446240244317821</v>
      </c>
      <c r="AY66">
        <v>0.15888264519077591</v>
      </c>
      <c r="AZ66">
        <v>0.19802399996207035</v>
      </c>
      <c r="BA66">
        <v>0.18129471116273321</v>
      </c>
      <c r="BB66">
        <v>9.4058598987048242E-2</v>
      </c>
      <c r="BC66">
        <v>0.1172877223599986</v>
      </c>
      <c r="BD66">
        <v>8.8710406546089526E-2</v>
      </c>
      <c r="BE66">
        <v>0.12547836819909486</v>
      </c>
      <c r="BF66">
        <v>0.1466232202479302</v>
      </c>
      <c r="BG66">
        <v>0.13786604620390935</v>
      </c>
      <c r="BI66" t="s">
        <v>687</v>
      </c>
      <c r="BJ66" t="s">
        <v>99</v>
      </c>
      <c r="BK66" t="s">
        <v>100</v>
      </c>
      <c r="BL66">
        <v>0.35876201771449517</v>
      </c>
    </row>
    <row r="67" spans="2:64" x14ac:dyDescent="0.45">
      <c r="B67" t="s">
        <v>688</v>
      </c>
      <c r="C67" t="s">
        <v>95</v>
      </c>
      <c r="D67">
        <v>0.41184727365559831</v>
      </c>
      <c r="E67">
        <v>0.44887772582047458</v>
      </c>
      <c r="F67">
        <v>0.45202674540942017</v>
      </c>
      <c r="G67">
        <v>0.39449250795881835</v>
      </c>
      <c r="H67">
        <v>0.43008415467953071</v>
      </c>
      <c r="I67">
        <v>0.39671827612413896</v>
      </c>
      <c r="J67">
        <v>0.39692176975086402</v>
      </c>
      <c r="K67">
        <v>0.43628726124560951</v>
      </c>
      <c r="L67">
        <v>0.40412719975485362</v>
      </c>
      <c r="M67">
        <v>0.45322021837578103</v>
      </c>
      <c r="N67">
        <v>0.43618674061872714</v>
      </c>
      <c r="O67">
        <v>0.41732792986829786</v>
      </c>
      <c r="AU67" t="s">
        <v>688</v>
      </c>
      <c r="AV67">
        <v>0.12618989109238624</v>
      </c>
      <c r="AW67">
        <v>0.13498916007482117</v>
      </c>
      <c r="AX67">
        <v>0.12362249128735872</v>
      </c>
      <c r="AY67">
        <v>0.11420197261396133</v>
      </c>
      <c r="AZ67">
        <v>0.1849881690718839</v>
      </c>
      <c r="BA67">
        <v>0.13517013130904321</v>
      </c>
      <c r="BB67">
        <v>4.8235810533692781E-2</v>
      </c>
      <c r="BC67">
        <v>7.1944189193306349E-2</v>
      </c>
      <c r="BD67">
        <v>5.5799784579863267E-2</v>
      </c>
      <c r="BE67">
        <v>8.7440942235191874E-2</v>
      </c>
      <c r="BF67">
        <v>0.10973590719806023</v>
      </c>
      <c r="BG67">
        <v>9.3699024663733491E-2</v>
      </c>
      <c r="BI67" t="s">
        <v>689</v>
      </c>
      <c r="BJ67" t="s">
        <v>99</v>
      </c>
      <c r="BK67" t="s">
        <v>100</v>
      </c>
      <c r="BL67">
        <v>0.49422441155082347</v>
      </c>
    </row>
    <row r="68" spans="2:64" x14ac:dyDescent="0.45">
      <c r="B68" t="s">
        <v>690</v>
      </c>
      <c r="C68" t="s">
        <v>95</v>
      </c>
      <c r="D68">
        <v>0.41005088498415987</v>
      </c>
      <c r="E68">
        <v>0.42694217875172474</v>
      </c>
      <c r="F68">
        <v>0.4268771046926737</v>
      </c>
      <c r="G68">
        <v>0.35878960722597458</v>
      </c>
      <c r="H68">
        <v>0.35052313778337441</v>
      </c>
      <c r="I68">
        <v>0.35208492945382763</v>
      </c>
      <c r="J68">
        <v>0.48464470841484442</v>
      </c>
      <c r="K68">
        <v>0.40327567120762059</v>
      </c>
      <c r="L68">
        <v>0.41463471159763365</v>
      </c>
      <c r="M68">
        <v>0.43653366285921968</v>
      </c>
      <c r="N68">
        <v>0.41558438151499327</v>
      </c>
      <c r="O68">
        <v>0.39970515760471942</v>
      </c>
      <c r="AU68" t="s">
        <v>690</v>
      </c>
      <c r="AV68">
        <v>0.28907872349506497</v>
      </c>
      <c r="AW68">
        <v>0.31524843886970583</v>
      </c>
      <c r="AX68">
        <v>0.30570545895979134</v>
      </c>
      <c r="AY68">
        <v>0.32772508960968755</v>
      </c>
      <c r="AZ68">
        <v>0.3629724497568344</v>
      </c>
      <c r="BA68">
        <v>0.34864053107648685</v>
      </c>
      <c r="BB68">
        <v>0.10001174620215879</v>
      </c>
      <c r="BC68">
        <v>0.13574201866569255</v>
      </c>
      <c r="BD68">
        <v>0.11784499567166148</v>
      </c>
      <c r="BE68">
        <v>0.25238228751596781</v>
      </c>
      <c r="BF68">
        <v>0.27671478773173108</v>
      </c>
      <c r="BG68">
        <v>0.25006271559299514</v>
      </c>
      <c r="BI68" t="s">
        <v>691</v>
      </c>
      <c r="BJ68" t="s">
        <v>99</v>
      </c>
      <c r="BK68" t="s">
        <v>100</v>
      </c>
      <c r="BL68">
        <v>0.52561310742627454</v>
      </c>
    </row>
    <row r="69" spans="2:64" x14ac:dyDescent="0.45">
      <c r="B69" t="s">
        <v>692</v>
      </c>
      <c r="C69" t="s">
        <v>95</v>
      </c>
      <c r="D69">
        <v>0.41164410007066765</v>
      </c>
      <c r="E69">
        <v>0.42144785827156506</v>
      </c>
      <c r="F69">
        <v>0.42597766416044175</v>
      </c>
      <c r="G69">
        <v>0.40137298707537483</v>
      </c>
      <c r="H69">
        <v>0.36371591890686394</v>
      </c>
      <c r="I69">
        <v>0.36327311282346048</v>
      </c>
      <c r="J69">
        <v>0.4836079078373996</v>
      </c>
      <c r="K69">
        <v>0.40402322372565552</v>
      </c>
      <c r="L69">
        <v>0.40934554777478405</v>
      </c>
      <c r="M69">
        <v>0.45226427171202832</v>
      </c>
      <c r="N69">
        <v>0.44273351384499254</v>
      </c>
      <c r="O69">
        <v>0.4360912384370626</v>
      </c>
      <c r="AU69" t="s">
        <v>692</v>
      </c>
      <c r="AV69">
        <v>0.24017508157190934</v>
      </c>
      <c r="AW69">
        <v>0.26231086336074089</v>
      </c>
      <c r="AX69">
        <v>0.23747594491536206</v>
      </c>
      <c r="AY69">
        <v>0.2394580398796918</v>
      </c>
      <c r="AZ69">
        <v>0.30564283703762607</v>
      </c>
      <c r="BA69">
        <v>0.27094281940174236</v>
      </c>
      <c r="BB69">
        <v>8.4322845254349882E-2</v>
      </c>
      <c r="BC69">
        <v>0.12460372296407807</v>
      </c>
      <c r="BD69">
        <v>0.102238400746145</v>
      </c>
      <c r="BE69">
        <v>0.17004339417099426</v>
      </c>
      <c r="BF69">
        <v>0.21238303170208894</v>
      </c>
      <c r="BG69">
        <v>0.1836499732864329</v>
      </c>
      <c r="BI69" t="s">
        <v>693</v>
      </c>
      <c r="BJ69" t="s">
        <v>99</v>
      </c>
      <c r="BK69" t="s">
        <v>100</v>
      </c>
      <c r="BL69">
        <v>0.44278831503113913</v>
      </c>
    </row>
    <row r="70" spans="2:64" x14ac:dyDescent="0.45">
      <c r="B70" t="s">
        <v>694</v>
      </c>
      <c r="C70" t="s">
        <v>95</v>
      </c>
      <c r="D70">
        <v>0.3380715761154432</v>
      </c>
      <c r="E70">
        <v>0.31392981169463652</v>
      </c>
      <c r="F70">
        <v>0.33364570883043376</v>
      </c>
      <c r="G70">
        <v>0.33528678717643201</v>
      </c>
      <c r="H70">
        <v>0.33223150549484476</v>
      </c>
      <c r="I70">
        <v>0.338516333940172</v>
      </c>
      <c r="J70">
        <v>0.38486674764595868</v>
      </c>
      <c r="K70">
        <v>0.36171463975036272</v>
      </c>
      <c r="L70">
        <v>0.32832049099208654</v>
      </c>
      <c r="M70">
        <v>0.37995427189074327</v>
      </c>
      <c r="N70">
        <v>0.38578697674716744</v>
      </c>
      <c r="O70">
        <v>0.36612499722489922</v>
      </c>
      <c r="AU70" t="s">
        <v>694</v>
      </c>
      <c r="AV70">
        <v>0.32991255770433314</v>
      </c>
      <c r="AW70">
        <v>0.3672386056649346</v>
      </c>
      <c r="AX70">
        <v>0.34382985814902434</v>
      </c>
      <c r="AY70">
        <v>0.34196087813399201</v>
      </c>
      <c r="AZ70">
        <v>0.37249035474175324</v>
      </c>
      <c r="BA70">
        <v>0.3632844066825302</v>
      </c>
      <c r="BB70">
        <v>0.13977058439942486</v>
      </c>
      <c r="BC70">
        <v>0.19089850292050334</v>
      </c>
      <c r="BD70">
        <v>0.1971097968688576</v>
      </c>
      <c r="BE70">
        <v>0.22641193228115608</v>
      </c>
      <c r="BF70">
        <v>0.24516274298674035</v>
      </c>
      <c r="BG70">
        <v>0.23283802621272073</v>
      </c>
      <c r="BI70" t="s">
        <v>695</v>
      </c>
      <c r="BJ70" t="s">
        <v>99</v>
      </c>
      <c r="BK70" t="s">
        <v>100</v>
      </c>
      <c r="BL70">
        <v>0.5197250193045615</v>
      </c>
    </row>
    <row r="71" spans="2:64" x14ac:dyDescent="0.45">
      <c r="B71" t="s">
        <v>696</v>
      </c>
      <c r="C71" t="s">
        <v>95</v>
      </c>
      <c r="D71">
        <v>0.40832213551728486</v>
      </c>
      <c r="E71">
        <v>0.38437345422470265</v>
      </c>
      <c r="F71">
        <v>0.38132518673173155</v>
      </c>
      <c r="G71">
        <v>0.38787576713065008</v>
      </c>
      <c r="H71">
        <v>0.36553223424964021</v>
      </c>
      <c r="I71">
        <v>0.39175398374070686</v>
      </c>
      <c r="J71">
        <v>0.44167575593037578</v>
      </c>
      <c r="K71">
        <v>0.3849735462285972</v>
      </c>
      <c r="L71">
        <v>0.41376997158919454</v>
      </c>
      <c r="M71">
        <v>0.4707465747995056</v>
      </c>
      <c r="N71">
        <v>0.46197288272863751</v>
      </c>
      <c r="O71">
        <v>0.4772909808952413</v>
      </c>
      <c r="AU71" t="s">
        <v>696</v>
      </c>
      <c r="AV71">
        <v>0.18615762529194463</v>
      </c>
      <c r="AW71">
        <v>0.21676790069836679</v>
      </c>
      <c r="AX71">
        <v>0.20221240200200527</v>
      </c>
      <c r="AY71">
        <v>0.20628026508730002</v>
      </c>
      <c r="AZ71">
        <v>0.26414883524644611</v>
      </c>
      <c r="BA71">
        <v>0.23645108104859</v>
      </c>
      <c r="BB71">
        <v>4.71713696963049E-2</v>
      </c>
      <c r="BC71">
        <v>8.1971917467426061E-2</v>
      </c>
      <c r="BD71">
        <v>7.2104697600746392E-2</v>
      </c>
      <c r="BE71">
        <v>9.1544738366798148E-2</v>
      </c>
      <c r="BF71">
        <v>0.1363097476784802</v>
      </c>
      <c r="BG71">
        <v>0.10192197782162105</v>
      </c>
      <c r="BI71" t="s">
        <v>697</v>
      </c>
      <c r="BJ71" t="s">
        <v>99</v>
      </c>
      <c r="BK71" t="s">
        <v>100</v>
      </c>
      <c r="BL71">
        <v>0.47590655963350548</v>
      </c>
    </row>
    <row r="72" spans="2:64" x14ac:dyDescent="0.45">
      <c r="B72" t="s">
        <v>698</v>
      </c>
      <c r="C72" t="s">
        <v>95</v>
      </c>
      <c r="D72">
        <v>0.42660250644444236</v>
      </c>
      <c r="E72">
        <v>0.41215651066847159</v>
      </c>
      <c r="F72">
        <v>0.41502422864369443</v>
      </c>
      <c r="G72">
        <v>0.40711941531613882</v>
      </c>
      <c r="H72">
        <v>0.39483954616753714</v>
      </c>
      <c r="I72">
        <v>0.40155455091706749</v>
      </c>
      <c r="J72">
        <v>0.33279068960425273</v>
      </c>
      <c r="K72">
        <v>0.39556178334946379</v>
      </c>
      <c r="L72">
        <v>0.38811344661743236</v>
      </c>
      <c r="M72">
        <v>0.47530624769773111</v>
      </c>
      <c r="N72">
        <v>0.47578027992662364</v>
      </c>
      <c r="O72">
        <v>0.4438375191680326</v>
      </c>
      <c r="AU72" t="s">
        <v>698</v>
      </c>
      <c r="AV72">
        <v>0.21648398130670768</v>
      </c>
      <c r="AW72">
        <v>0.21968365033116191</v>
      </c>
      <c r="AX72">
        <v>0.21877655120485809</v>
      </c>
      <c r="AY72">
        <v>0.18414630488478345</v>
      </c>
      <c r="AZ72">
        <v>0.20467492370657298</v>
      </c>
      <c r="BA72">
        <v>0.20281501822290915</v>
      </c>
      <c r="BB72">
        <v>0.10929720072132283</v>
      </c>
      <c r="BC72">
        <v>6.9700754595012973E-2</v>
      </c>
      <c r="BD72">
        <v>8.6746562906079017E-2</v>
      </c>
      <c r="BE72">
        <v>0.10371134112429502</v>
      </c>
      <c r="BF72">
        <v>0.12866706914971218</v>
      </c>
      <c r="BG72">
        <v>0.1152063268079996</v>
      </c>
      <c r="BI72" t="s">
        <v>699</v>
      </c>
      <c r="BJ72" t="s">
        <v>99</v>
      </c>
      <c r="BK72" t="s">
        <v>100</v>
      </c>
      <c r="BL72">
        <v>0.40960288295531738</v>
      </c>
    </row>
    <row r="73" spans="2:64" x14ac:dyDescent="0.45">
      <c r="B73" t="s">
        <v>700</v>
      </c>
      <c r="C73" t="s">
        <v>95</v>
      </c>
      <c r="D73">
        <v>0.42307953367370166</v>
      </c>
      <c r="E73">
        <v>0.43742493889630196</v>
      </c>
      <c r="F73">
        <v>0.42279180984224402</v>
      </c>
      <c r="G73">
        <v>0.3807868240205039</v>
      </c>
      <c r="H73">
        <v>0.40158131496338506</v>
      </c>
      <c r="I73">
        <v>0.38295396618155625</v>
      </c>
      <c r="J73">
        <v>0.33816572190265665</v>
      </c>
      <c r="K73">
        <v>0.43255804614956417</v>
      </c>
      <c r="L73">
        <v>0.37437848684654623</v>
      </c>
      <c r="M73">
        <v>0.41784089520429485</v>
      </c>
      <c r="N73">
        <v>0.48002125667669865</v>
      </c>
      <c r="O73">
        <v>0.4151970778067855</v>
      </c>
      <c r="AU73" t="s">
        <v>700</v>
      </c>
      <c r="AV73">
        <v>0.15300587822099176</v>
      </c>
      <c r="AW73">
        <v>0.1657003499266082</v>
      </c>
      <c r="AX73">
        <v>0.15769300049306026</v>
      </c>
      <c r="AY73">
        <v>0.19074176077086688</v>
      </c>
      <c r="AZ73">
        <v>0.21121153372674431</v>
      </c>
      <c r="BA73">
        <v>0.19157028257393696</v>
      </c>
      <c r="BB73">
        <v>7.3509555087702072E-2</v>
      </c>
      <c r="BC73">
        <v>5.9169390486046386E-2</v>
      </c>
      <c r="BD73">
        <v>7.2028705906330717E-2</v>
      </c>
      <c r="BE73">
        <v>7.7709298796865542E-2</v>
      </c>
      <c r="BF73">
        <v>9.6722975619845941E-2</v>
      </c>
      <c r="BG73">
        <v>8.6311389315822204E-2</v>
      </c>
      <c r="BI73" t="s">
        <v>701</v>
      </c>
      <c r="BJ73" t="s">
        <v>99</v>
      </c>
      <c r="BK73" t="s">
        <v>100</v>
      </c>
      <c r="BL73">
        <v>0.39008261497559032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D6F25-DD29-437B-AA23-F8019CB72D62}">
  <dimension ref="A9:S126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region=ITA")</f>
        <v>~TFM_DINS-AT: region=ITA</v>
      </c>
      <c r="H9" t="str">
        <f>IF(A11="x","DeActivated","~TFM_DINS-AT: region=ITA")</f>
        <v>~TFM_DINS-AT: region=ITA</v>
      </c>
      <c r="L9" t="str">
        <f>IF(A11="x","DeActivated","~TFM_DINS-AT: region=ITA")</f>
        <v>~TFM_DINS-AT: region=ITA</v>
      </c>
      <c r="P9" t="str">
        <f>IF(A11="x","DeActivated","~TFM_INS-AT: region=ITA")</f>
        <v>~TFM_INS-AT: region=ITA</v>
      </c>
    </row>
    <row r="10" spans="1:19" x14ac:dyDescent="0.45">
      <c r="A10" t="s">
        <v>177</v>
      </c>
      <c r="C10" t="s">
        <v>178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179</v>
      </c>
      <c r="P10" t="s">
        <v>180</v>
      </c>
      <c r="Q10" t="s">
        <v>1</v>
      </c>
      <c r="R10" t="s">
        <v>181</v>
      </c>
      <c r="S10" t="s">
        <v>182</v>
      </c>
    </row>
    <row r="11" spans="1:19" x14ac:dyDescent="0.45">
      <c r="C11">
        <v>8.2191780821917804E-2</v>
      </c>
      <c r="D11">
        <v>4.555602515973449E-2</v>
      </c>
      <c r="E11" t="s">
        <v>5</v>
      </c>
      <c r="F11" t="s">
        <v>183</v>
      </c>
      <c r="H11" t="s">
        <v>184</v>
      </c>
      <c r="I11" t="s">
        <v>5</v>
      </c>
      <c r="L11" t="s">
        <v>185</v>
      </c>
      <c r="M11" t="s">
        <v>5</v>
      </c>
      <c r="N11">
        <v>0.30218904397061763</v>
      </c>
      <c r="P11">
        <v>2020</v>
      </c>
      <c r="Q11" t="s">
        <v>186</v>
      </c>
      <c r="R11">
        <v>0.21346666666666669</v>
      </c>
      <c r="S11" t="s">
        <v>187</v>
      </c>
    </row>
    <row r="12" spans="1:19" x14ac:dyDescent="0.45">
      <c r="C12">
        <v>0.10273972602739725</v>
      </c>
      <c r="D12">
        <v>0.14672202471222937</v>
      </c>
      <c r="E12" t="s">
        <v>9</v>
      </c>
      <c r="F12" t="s">
        <v>183</v>
      </c>
      <c r="H12" t="s">
        <v>184</v>
      </c>
      <c r="I12" t="s">
        <v>9</v>
      </c>
      <c r="L12" t="s">
        <v>185</v>
      </c>
      <c r="M12" t="s">
        <v>9</v>
      </c>
      <c r="N12">
        <v>0.10021512576582281</v>
      </c>
      <c r="P12">
        <v>2020</v>
      </c>
      <c r="Q12" t="s">
        <v>188</v>
      </c>
      <c r="R12">
        <v>0.26166666666666666</v>
      </c>
      <c r="S12" t="s">
        <v>187</v>
      </c>
    </row>
    <row r="13" spans="1:19" x14ac:dyDescent="0.45">
      <c r="C13">
        <v>6.1643835616438353E-2</v>
      </c>
      <c r="D13">
        <v>5.4297292593789633E-2</v>
      </c>
      <c r="E13" t="s">
        <v>10</v>
      </c>
      <c r="F13" t="s">
        <v>183</v>
      </c>
      <c r="H13" t="s">
        <v>184</v>
      </c>
      <c r="I13" t="s">
        <v>10</v>
      </c>
      <c r="L13" t="s">
        <v>185</v>
      </c>
      <c r="M13" t="s">
        <v>10</v>
      </c>
      <c r="N13">
        <v>0.12680031420349525</v>
      </c>
      <c r="P13">
        <v>2020</v>
      </c>
      <c r="Q13" t="s">
        <v>189</v>
      </c>
      <c r="R13">
        <v>0.32593333333333335</v>
      </c>
      <c r="S13" t="s">
        <v>187</v>
      </c>
    </row>
    <row r="14" spans="1:19" x14ac:dyDescent="0.45">
      <c r="C14">
        <v>8.4018264840182655E-2</v>
      </c>
      <c r="D14">
        <v>4.6568381274395249E-2</v>
      </c>
      <c r="E14" t="s">
        <v>11</v>
      </c>
      <c r="F14" t="s">
        <v>183</v>
      </c>
      <c r="H14" t="s">
        <v>184</v>
      </c>
      <c r="I14" t="s">
        <v>11</v>
      </c>
      <c r="L14" t="s">
        <v>185</v>
      </c>
      <c r="M14" t="s">
        <v>11</v>
      </c>
      <c r="N14">
        <v>0.32772350932552885</v>
      </c>
      <c r="P14">
        <v>2020</v>
      </c>
      <c r="Q14" t="s">
        <v>190</v>
      </c>
      <c r="R14">
        <v>0.25956666666666667</v>
      </c>
      <c r="S14" t="s">
        <v>187</v>
      </c>
    </row>
    <row r="15" spans="1:19" x14ac:dyDescent="0.45">
      <c r="C15">
        <v>0.1050228310502283</v>
      </c>
      <c r="D15">
        <v>0.14998251415027888</v>
      </c>
      <c r="E15" t="s">
        <v>12</v>
      </c>
      <c r="F15" t="s">
        <v>183</v>
      </c>
      <c r="H15" t="s">
        <v>184</v>
      </c>
      <c r="I15" t="s">
        <v>12</v>
      </c>
      <c r="L15" t="s">
        <v>185</v>
      </c>
      <c r="M15" t="s">
        <v>12</v>
      </c>
      <c r="N15">
        <v>0.1812431787346902</v>
      </c>
      <c r="P15">
        <v>2021</v>
      </c>
      <c r="Q15" t="s">
        <v>186</v>
      </c>
      <c r="R15">
        <v>0.22666666666666668</v>
      </c>
      <c r="S15" t="s">
        <v>187</v>
      </c>
    </row>
    <row r="16" spans="1:19" x14ac:dyDescent="0.45">
      <c r="C16">
        <v>6.3013698630136991E-2</v>
      </c>
      <c r="D16">
        <v>5.5503899095873853E-2</v>
      </c>
      <c r="E16" t="s">
        <v>13</v>
      </c>
      <c r="F16" t="s">
        <v>183</v>
      </c>
      <c r="H16" t="s">
        <v>184</v>
      </c>
      <c r="I16" t="s">
        <v>13</v>
      </c>
      <c r="L16" t="s">
        <v>185</v>
      </c>
      <c r="M16" t="s">
        <v>13</v>
      </c>
      <c r="N16">
        <v>0.22158447004629456</v>
      </c>
      <c r="P16">
        <v>2021</v>
      </c>
      <c r="Q16" t="s">
        <v>188</v>
      </c>
      <c r="R16">
        <v>0.23616666666666664</v>
      </c>
      <c r="S16" t="s">
        <v>187</v>
      </c>
    </row>
    <row r="17" spans="3:19" x14ac:dyDescent="0.45">
      <c r="C17">
        <v>8.4018264840182655E-2</v>
      </c>
      <c r="D17">
        <v>4.6568381274395249E-2</v>
      </c>
      <c r="E17" t="s">
        <v>14</v>
      </c>
      <c r="F17" t="s">
        <v>183</v>
      </c>
      <c r="H17" t="s">
        <v>184</v>
      </c>
      <c r="I17" t="s">
        <v>14</v>
      </c>
      <c r="L17" t="s">
        <v>185</v>
      </c>
      <c r="M17" t="s">
        <v>14</v>
      </c>
      <c r="N17">
        <v>0.23388858011323554</v>
      </c>
      <c r="P17">
        <v>2021</v>
      </c>
      <c r="Q17" t="s">
        <v>189</v>
      </c>
      <c r="R17">
        <v>0.3372</v>
      </c>
      <c r="S17" t="s">
        <v>187</v>
      </c>
    </row>
    <row r="18" spans="3:19" x14ac:dyDescent="0.45">
      <c r="C18">
        <v>0.1050228310502283</v>
      </c>
      <c r="D18">
        <v>0.14998251415027888</v>
      </c>
      <c r="E18" t="s">
        <v>15</v>
      </c>
      <c r="F18" t="s">
        <v>183</v>
      </c>
      <c r="H18" t="s">
        <v>184</v>
      </c>
      <c r="I18" t="s">
        <v>15</v>
      </c>
      <c r="L18" t="s">
        <v>185</v>
      </c>
      <c r="M18" t="s">
        <v>15</v>
      </c>
      <c r="N18">
        <v>0.13413683997732617</v>
      </c>
      <c r="P18">
        <v>2021</v>
      </c>
      <c r="Q18" t="s">
        <v>190</v>
      </c>
      <c r="R18">
        <v>0.19473333333333331</v>
      </c>
      <c r="S18" t="s">
        <v>187</v>
      </c>
    </row>
    <row r="19" spans="3:19" x14ac:dyDescent="0.45">
      <c r="C19">
        <v>6.3013698630136991E-2</v>
      </c>
      <c r="D19">
        <v>5.5503899095873853E-2</v>
      </c>
      <c r="E19" t="s">
        <v>16</v>
      </c>
      <c r="F19" t="s">
        <v>183</v>
      </c>
      <c r="H19" t="s">
        <v>184</v>
      </c>
      <c r="I19" t="s">
        <v>16</v>
      </c>
      <c r="L19" t="s">
        <v>185</v>
      </c>
      <c r="M19" t="s">
        <v>16</v>
      </c>
      <c r="N19">
        <v>0.14456133623055556</v>
      </c>
      <c r="P19">
        <v>2022</v>
      </c>
      <c r="Q19" t="s">
        <v>186</v>
      </c>
      <c r="R19">
        <v>0.1434</v>
      </c>
      <c r="S19" t="s">
        <v>187</v>
      </c>
    </row>
    <row r="20" spans="3:19" x14ac:dyDescent="0.45">
      <c r="C20">
        <v>8.3105022831050229E-2</v>
      </c>
      <c r="D20">
        <v>4.6062203217064869E-2</v>
      </c>
      <c r="E20" t="s">
        <v>17</v>
      </c>
      <c r="F20" t="s">
        <v>183</v>
      </c>
      <c r="H20" t="s">
        <v>184</v>
      </c>
      <c r="I20" t="s">
        <v>17</v>
      </c>
      <c r="L20" t="s">
        <v>185</v>
      </c>
      <c r="M20" t="s">
        <v>17</v>
      </c>
      <c r="N20">
        <v>0.29424628366262295</v>
      </c>
      <c r="P20">
        <v>2022</v>
      </c>
      <c r="Q20" t="s">
        <v>188</v>
      </c>
      <c r="R20">
        <v>0.1452</v>
      </c>
      <c r="S20" t="s">
        <v>187</v>
      </c>
    </row>
    <row r="21" spans="3:19" x14ac:dyDescent="0.45">
      <c r="C21">
        <v>0.10388127853881278</v>
      </c>
      <c r="D21">
        <v>0.14835226943125412</v>
      </c>
      <c r="E21" t="s">
        <v>18</v>
      </c>
      <c r="F21" t="s">
        <v>183</v>
      </c>
      <c r="H21" t="s">
        <v>184</v>
      </c>
      <c r="I21" t="s">
        <v>18</v>
      </c>
      <c r="L21" t="s">
        <v>185</v>
      </c>
      <c r="M21" t="s">
        <v>18</v>
      </c>
      <c r="N21">
        <v>0.17213880645223378</v>
      </c>
      <c r="P21">
        <v>2022</v>
      </c>
      <c r="Q21" t="s">
        <v>189</v>
      </c>
      <c r="R21">
        <v>0.20863333333333334</v>
      </c>
      <c r="S21" t="s">
        <v>187</v>
      </c>
    </row>
    <row r="22" spans="3:19" x14ac:dyDescent="0.45">
      <c r="C22">
        <v>6.2328767123287672E-2</v>
      </c>
      <c r="D22">
        <v>5.4900595844831736E-2</v>
      </c>
      <c r="E22" t="s">
        <v>19</v>
      </c>
      <c r="F22" t="s">
        <v>183</v>
      </c>
      <c r="H22" t="s">
        <v>184</v>
      </c>
      <c r="I22" t="s">
        <v>19</v>
      </c>
      <c r="L22" t="s">
        <v>185</v>
      </c>
      <c r="M22" t="s">
        <v>19</v>
      </c>
      <c r="N22">
        <v>0.20917393009447616</v>
      </c>
      <c r="P22">
        <v>2022</v>
      </c>
      <c r="Q22" t="s">
        <v>190</v>
      </c>
      <c r="R22">
        <v>0.1376</v>
      </c>
      <c r="S22" t="s">
        <v>187</v>
      </c>
    </row>
    <row r="23" spans="3:19" x14ac:dyDescent="0.45">
      <c r="H23" t="s">
        <v>191</v>
      </c>
      <c r="I23" t="s">
        <v>5</v>
      </c>
      <c r="P23">
        <v>2025</v>
      </c>
      <c r="Q23" t="s">
        <v>186</v>
      </c>
      <c r="R23">
        <v>0.20986666666666667</v>
      </c>
      <c r="S23" t="s">
        <v>187</v>
      </c>
    </row>
    <row r="24" spans="3:19" x14ac:dyDescent="0.45">
      <c r="H24" t="s">
        <v>191</v>
      </c>
      <c r="I24" t="s">
        <v>9</v>
      </c>
      <c r="P24">
        <v>2025</v>
      </c>
      <c r="Q24" t="s">
        <v>188</v>
      </c>
      <c r="R24">
        <v>0.20746666666666669</v>
      </c>
      <c r="S24" t="s">
        <v>187</v>
      </c>
    </row>
    <row r="25" spans="3:19" x14ac:dyDescent="0.45">
      <c r="H25" t="s">
        <v>191</v>
      </c>
      <c r="I25" t="s">
        <v>10</v>
      </c>
      <c r="P25">
        <v>2025</v>
      </c>
      <c r="Q25" t="s">
        <v>189</v>
      </c>
      <c r="R25">
        <v>0.34026666666666666</v>
      </c>
      <c r="S25" t="s">
        <v>187</v>
      </c>
    </row>
    <row r="26" spans="3:19" x14ac:dyDescent="0.45">
      <c r="H26" t="s">
        <v>191</v>
      </c>
      <c r="I26" t="s">
        <v>11</v>
      </c>
      <c r="P26">
        <v>2025</v>
      </c>
      <c r="Q26" t="s">
        <v>190</v>
      </c>
      <c r="R26">
        <v>0.22560000000000002</v>
      </c>
      <c r="S26" t="s">
        <v>187</v>
      </c>
    </row>
    <row r="27" spans="3:19" x14ac:dyDescent="0.45">
      <c r="H27" t="s">
        <v>191</v>
      </c>
      <c r="I27" t="s">
        <v>12</v>
      </c>
      <c r="P27">
        <v>2026</v>
      </c>
      <c r="Q27" t="s">
        <v>186</v>
      </c>
      <c r="R27">
        <v>0.23529999999999998</v>
      </c>
      <c r="S27" t="s">
        <v>187</v>
      </c>
    </row>
    <row r="28" spans="3:19" x14ac:dyDescent="0.45">
      <c r="H28" t="s">
        <v>191</v>
      </c>
      <c r="I28" t="s">
        <v>13</v>
      </c>
      <c r="P28">
        <v>2026</v>
      </c>
      <c r="Q28" t="s">
        <v>188</v>
      </c>
      <c r="R28">
        <v>0.33503333333333335</v>
      </c>
      <c r="S28" t="s">
        <v>187</v>
      </c>
    </row>
    <row r="29" spans="3:19" x14ac:dyDescent="0.45">
      <c r="H29" t="s">
        <v>191</v>
      </c>
      <c r="I29" t="s">
        <v>14</v>
      </c>
      <c r="P29">
        <v>2026</v>
      </c>
      <c r="Q29" t="s">
        <v>189</v>
      </c>
      <c r="R29">
        <v>0.41966666666666663</v>
      </c>
      <c r="S29" t="s">
        <v>187</v>
      </c>
    </row>
    <row r="30" spans="3:19" x14ac:dyDescent="0.45">
      <c r="H30" t="s">
        <v>191</v>
      </c>
      <c r="I30" t="s">
        <v>15</v>
      </c>
      <c r="P30">
        <v>2026</v>
      </c>
      <c r="Q30" t="s">
        <v>190</v>
      </c>
      <c r="R30">
        <v>0.31973333333333337</v>
      </c>
      <c r="S30" t="s">
        <v>187</v>
      </c>
    </row>
    <row r="31" spans="3:19" x14ac:dyDescent="0.45">
      <c r="H31" t="s">
        <v>191</v>
      </c>
      <c r="I31" t="s">
        <v>16</v>
      </c>
      <c r="P31">
        <v>2027</v>
      </c>
      <c r="Q31" t="s">
        <v>186</v>
      </c>
      <c r="R31">
        <v>0.27089999999999997</v>
      </c>
      <c r="S31" t="s">
        <v>187</v>
      </c>
    </row>
    <row r="32" spans="3:19" x14ac:dyDescent="0.45">
      <c r="H32" t="s">
        <v>191</v>
      </c>
      <c r="I32" t="s">
        <v>17</v>
      </c>
      <c r="P32">
        <v>2027</v>
      </c>
      <c r="Q32" t="s">
        <v>188</v>
      </c>
      <c r="R32">
        <v>0.31180000000000002</v>
      </c>
      <c r="S32" t="s">
        <v>187</v>
      </c>
    </row>
    <row r="33" spans="8:19" x14ac:dyDescent="0.45">
      <c r="H33" t="s">
        <v>191</v>
      </c>
      <c r="I33" t="s">
        <v>18</v>
      </c>
      <c r="P33">
        <v>2027</v>
      </c>
      <c r="Q33" t="s">
        <v>189</v>
      </c>
      <c r="R33">
        <v>0.40366666666666667</v>
      </c>
      <c r="S33" t="s">
        <v>187</v>
      </c>
    </row>
    <row r="34" spans="8:19" x14ac:dyDescent="0.45">
      <c r="H34" t="s">
        <v>191</v>
      </c>
      <c r="I34" t="s">
        <v>19</v>
      </c>
      <c r="P34">
        <v>2027</v>
      </c>
      <c r="Q34" t="s">
        <v>190</v>
      </c>
      <c r="R34">
        <v>0.2984</v>
      </c>
      <c r="S34" t="s">
        <v>187</v>
      </c>
    </row>
    <row r="35" spans="8:19" x14ac:dyDescent="0.45">
      <c r="P35">
        <v>2028</v>
      </c>
      <c r="Q35" t="s">
        <v>186</v>
      </c>
      <c r="R35">
        <v>0.27</v>
      </c>
      <c r="S35" t="s">
        <v>187</v>
      </c>
    </row>
    <row r="36" spans="8:19" x14ac:dyDescent="0.45">
      <c r="P36">
        <v>2028</v>
      </c>
      <c r="Q36" t="s">
        <v>188</v>
      </c>
      <c r="R36">
        <v>0.30036666666666667</v>
      </c>
      <c r="S36" t="s">
        <v>187</v>
      </c>
    </row>
    <row r="37" spans="8:19" x14ac:dyDescent="0.45">
      <c r="P37">
        <v>2028</v>
      </c>
      <c r="Q37" t="s">
        <v>189</v>
      </c>
      <c r="R37">
        <v>0.38313333333333333</v>
      </c>
      <c r="S37" t="s">
        <v>187</v>
      </c>
    </row>
    <row r="38" spans="8:19" x14ac:dyDescent="0.45">
      <c r="P38">
        <v>2028</v>
      </c>
      <c r="Q38" t="s">
        <v>190</v>
      </c>
      <c r="R38">
        <v>0.30619999999999997</v>
      </c>
      <c r="S38" t="s">
        <v>187</v>
      </c>
    </row>
    <row r="39" spans="8:19" x14ac:dyDescent="0.45">
      <c r="P39">
        <v>2029</v>
      </c>
      <c r="Q39" t="s">
        <v>186</v>
      </c>
      <c r="R39">
        <v>0.25733333333333336</v>
      </c>
      <c r="S39" t="s">
        <v>187</v>
      </c>
    </row>
    <row r="40" spans="8:19" x14ac:dyDescent="0.45">
      <c r="P40">
        <v>2029</v>
      </c>
      <c r="Q40" t="s">
        <v>188</v>
      </c>
      <c r="R40">
        <v>0.30409999999999998</v>
      </c>
      <c r="S40" t="s">
        <v>187</v>
      </c>
    </row>
    <row r="41" spans="8:19" x14ac:dyDescent="0.45">
      <c r="P41">
        <v>2029</v>
      </c>
      <c r="Q41" t="s">
        <v>189</v>
      </c>
      <c r="R41">
        <v>0.41310000000000002</v>
      </c>
      <c r="S41" t="s">
        <v>187</v>
      </c>
    </row>
    <row r="42" spans="8:19" x14ac:dyDescent="0.45">
      <c r="P42">
        <v>2029</v>
      </c>
      <c r="Q42" t="s">
        <v>190</v>
      </c>
      <c r="R42">
        <v>0.24496666666666664</v>
      </c>
      <c r="S42" t="s">
        <v>187</v>
      </c>
    </row>
    <row r="43" spans="8:19" x14ac:dyDescent="0.45">
      <c r="P43">
        <v>2030</v>
      </c>
      <c r="Q43" t="s">
        <v>186</v>
      </c>
      <c r="R43">
        <v>0.25089999999999996</v>
      </c>
      <c r="S43" t="s">
        <v>187</v>
      </c>
    </row>
    <row r="44" spans="8:19" x14ac:dyDescent="0.45">
      <c r="P44">
        <v>2030</v>
      </c>
      <c r="Q44" t="s">
        <v>188</v>
      </c>
      <c r="R44">
        <v>0.22850000000000001</v>
      </c>
      <c r="S44" t="s">
        <v>187</v>
      </c>
    </row>
    <row r="45" spans="8:19" x14ac:dyDescent="0.45">
      <c r="P45">
        <v>2030</v>
      </c>
      <c r="Q45" t="s">
        <v>189</v>
      </c>
      <c r="R45">
        <v>0.39736666666666665</v>
      </c>
      <c r="S45" t="s">
        <v>187</v>
      </c>
    </row>
    <row r="46" spans="8:19" x14ac:dyDescent="0.45">
      <c r="P46">
        <v>2030</v>
      </c>
      <c r="Q46" t="s">
        <v>190</v>
      </c>
      <c r="R46">
        <v>0.27126666666666671</v>
      </c>
      <c r="S46" t="s">
        <v>187</v>
      </c>
    </row>
    <row r="47" spans="8:19" x14ac:dyDescent="0.45">
      <c r="P47">
        <v>2031</v>
      </c>
      <c r="Q47" t="s">
        <v>186</v>
      </c>
      <c r="R47">
        <v>0.17899999999999996</v>
      </c>
      <c r="S47" t="s">
        <v>187</v>
      </c>
    </row>
    <row r="48" spans="8:19" x14ac:dyDescent="0.45">
      <c r="P48">
        <v>2031</v>
      </c>
      <c r="Q48" t="s">
        <v>188</v>
      </c>
      <c r="R48">
        <v>0.2611</v>
      </c>
      <c r="S48" t="s">
        <v>187</v>
      </c>
    </row>
    <row r="49" spans="16:19" x14ac:dyDescent="0.45">
      <c r="P49">
        <v>2031</v>
      </c>
      <c r="Q49" t="s">
        <v>189</v>
      </c>
      <c r="R49">
        <v>0.35036666666666666</v>
      </c>
      <c r="S49" t="s">
        <v>187</v>
      </c>
    </row>
    <row r="50" spans="16:19" x14ac:dyDescent="0.45">
      <c r="P50">
        <v>2031</v>
      </c>
      <c r="Q50" t="s">
        <v>190</v>
      </c>
      <c r="R50">
        <v>0.23056666666666667</v>
      </c>
      <c r="S50" t="s">
        <v>187</v>
      </c>
    </row>
    <row r="51" spans="16:19" x14ac:dyDescent="0.45">
      <c r="P51">
        <v>2032</v>
      </c>
      <c r="Q51" t="s">
        <v>186</v>
      </c>
      <c r="R51">
        <v>0.21143333333333336</v>
      </c>
      <c r="S51" t="s">
        <v>187</v>
      </c>
    </row>
    <row r="52" spans="16:19" x14ac:dyDescent="0.45">
      <c r="P52">
        <v>2032</v>
      </c>
      <c r="Q52" t="s">
        <v>188</v>
      </c>
      <c r="R52">
        <v>0.30596666666666666</v>
      </c>
      <c r="S52" t="s">
        <v>187</v>
      </c>
    </row>
    <row r="53" spans="16:19" x14ac:dyDescent="0.45">
      <c r="P53">
        <v>2032</v>
      </c>
      <c r="Q53" t="s">
        <v>189</v>
      </c>
      <c r="R53">
        <v>0.34100000000000003</v>
      </c>
      <c r="S53" t="s">
        <v>187</v>
      </c>
    </row>
    <row r="54" spans="16:19" x14ac:dyDescent="0.45">
      <c r="P54">
        <v>2032</v>
      </c>
      <c r="Q54" t="s">
        <v>190</v>
      </c>
      <c r="R54">
        <v>0.23409999999999997</v>
      </c>
      <c r="S54" t="s">
        <v>187</v>
      </c>
    </row>
    <row r="55" spans="16:19" x14ac:dyDescent="0.45">
      <c r="P55">
        <v>2033</v>
      </c>
      <c r="Q55" t="s">
        <v>186</v>
      </c>
      <c r="R55">
        <v>0.23863333333333334</v>
      </c>
      <c r="S55" t="s">
        <v>187</v>
      </c>
    </row>
    <row r="56" spans="16:19" x14ac:dyDescent="0.45">
      <c r="P56">
        <v>2033</v>
      </c>
      <c r="Q56" t="s">
        <v>188</v>
      </c>
      <c r="R56">
        <v>0.21529999999999996</v>
      </c>
      <c r="S56" t="s">
        <v>187</v>
      </c>
    </row>
    <row r="57" spans="16:19" x14ac:dyDescent="0.45">
      <c r="P57">
        <v>2033</v>
      </c>
      <c r="Q57" t="s">
        <v>189</v>
      </c>
      <c r="R57">
        <v>0.36476666666666668</v>
      </c>
      <c r="S57" t="s">
        <v>187</v>
      </c>
    </row>
    <row r="58" spans="16:19" x14ac:dyDescent="0.45">
      <c r="P58">
        <v>2033</v>
      </c>
      <c r="Q58" t="s">
        <v>190</v>
      </c>
      <c r="R58">
        <v>0.22756666666666667</v>
      </c>
      <c r="S58" t="s">
        <v>187</v>
      </c>
    </row>
    <row r="59" spans="16:19" x14ac:dyDescent="0.45">
      <c r="P59">
        <v>2034</v>
      </c>
      <c r="Q59" t="s">
        <v>186</v>
      </c>
      <c r="R59">
        <v>0.23653333333333335</v>
      </c>
      <c r="S59" t="s">
        <v>187</v>
      </c>
    </row>
    <row r="60" spans="16:19" x14ac:dyDescent="0.45">
      <c r="P60">
        <v>2034</v>
      </c>
      <c r="Q60" t="s">
        <v>188</v>
      </c>
      <c r="R60">
        <v>0.26730000000000004</v>
      </c>
      <c r="S60" t="s">
        <v>187</v>
      </c>
    </row>
    <row r="61" spans="16:19" x14ac:dyDescent="0.45">
      <c r="P61">
        <v>2034</v>
      </c>
      <c r="Q61" t="s">
        <v>189</v>
      </c>
      <c r="R61">
        <v>0.38339999999999996</v>
      </c>
      <c r="S61" t="s">
        <v>187</v>
      </c>
    </row>
    <row r="62" spans="16:19" x14ac:dyDescent="0.45">
      <c r="P62">
        <v>2034</v>
      </c>
      <c r="Q62" t="s">
        <v>190</v>
      </c>
      <c r="R62">
        <v>0.27423333333333333</v>
      </c>
      <c r="S62" t="s">
        <v>187</v>
      </c>
    </row>
    <row r="63" spans="16:19" x14ac:dyDescent="0.45">
      <c r="P63">
        <v>2035</v>
      </c>
      <c r="Q63" t="s">
        <v>186</v>
      </c>
      <c r="R63">
        <v>0.18416666666666667</v>
      </c>
      <c r="S63" t="s">
        <v>187</v>
      </c>
    </row>
    <row r="64" spans="16:19" x14ac:dyDescent="0.45">
      <c r="P64">
        <v>2035</v>
      </c>
      <c r="Q64" t="s">
        <v>188</v>
      </c>
      <c r="R64">
        <v>0.2262666666666667</v>
      </c>
      <c r="S64" t="s">
        <v>187</v>
      </c>
    </row>
    <row r="65" spans="16:19" x14ac:dyDescent="0.45">
      <c r="P65">
        <v>2035</v>
      </c>
      <c r="Q65" t="s">
        <v>189</v>
      </c>
      <c r="R65">
        <v>0.36940000000000001</v>
      </c>
      <c r="S65" t="s">
        <v>187</v>
      </c>
    </row>
    <row r="66" spans="16:19" x14ac:dyDescent="0.45">
      <c r="P66">
        <v>2035</v>
      </c>
      <c r="Q66" t="s">
        <v>190</v>
      </c>
      <c r="R66">
        <v>0.19633333333333333</v>
      </c>
      <c r="S66" t="s">
        <v>187</v>
      </c>
    </row>
    <row r="67" spans="16:19" x14ac:dyDescent="0.45">
      <c r="P67">
        <v>2036</v>
      </c>
      <c r="Q67" t="s">
        <v>186</v>
      </c>
      <c r="R67">
        <v>0.25413333333333332</v>
      </c>
      <c r="S67" t="s">
        <v>187</v>
      </c>
    </row>
    <row r="68" spans="16:19" x14ac:dyDescent="0.45">
      <c r="P68">
        <v>2036</v>
      </c>
      <c r="Q68" t="s">
        <v>188</v>
      </c>
      <c r="R68">
        <v>0.30023333333333335</v>
      </c>
      <c r="S68" t="s">
        <v>187</v>
      </c>
    </row>
    <row r="69" spans="16:19" x14ac:dyDescent="0.45">
      <c r="P69">
        <v>2036</v>
      </c>
      <c r="Q69" t="s">
        <v>189</v>
      </c>
      <c r="R69">
        <v>0.38166666666666665</v>
      </c>
      <c r="S69" t="s">
        <v>187</v>
      </c>
    </row>
    <row r="70" spans="16:19" x14ac:dyDescent="0.45">
      <c r="P70">
        <v>2036</v>
      </c>
      <c r="Q70" t="s">
        <v>190</v>
      </c>
      <c r="R70">
        <v>0.23196666666666665</v>
      </c>
      <c r="S70" t="s">
        <v>187</v>
      </c>
    </row>
    <row r="71" spans="16:19" x14ac:dyDescent="0.45">
      <c r="P71">
        <v>2037</v>
      </c>
      <c r="Q71" t="s">
        <v>186</v>
      </c>
      <c r="R71">
        <v>0.20140000000000002</v>
      </c>
      <c r="S71" t="s">
        <v>187</v>
      </c>
    </row>
    <row r="72" spans="16:19" x14ac:dyDescent="0.45">
      <c r="P72">
        <v>2037</v>
      </c>
      <c r="Q72" t="s">
        <v>188</v>
      </c>
      <c r="R72">
        <v>0.25110000000000005</v>
      </c>
      <c r="S72" t="s">
        <v>187</v>
      </c>
    </row>
    <row r="73" spans="16:19" x14ac:dyDescent="0.45">
      <c r="P73">
        <v>2037</v>
      </c>
      <c r="Q73" t="s">
        <v>189</v>
      </c>
      <c r="R73">
        <v>0.34720000000000001</v>
      </c>
      <c r="S73" t="s">
        <v>187</v>
      </c>
    </row>
    <row r="74" spans="16:19" x14ac:dyDescent="0.45">
      <c r="P74">
        <v>2037</v>
      </c>
      <c r="Q74" t="s">
        <v>190</v>
      </c>
      <c r="R74">
        <v>0.22273333333333334</v>
      </c>
      <c r="S74" t="s">
        <v>187</v>
      </c>
    </row>
    <row r="75" spans="16:19" x14ac:dyDescent="0.45">
      <c r="P75">
        <v>2038</v>
      </c>
      <c r="Q75" t="s">
        <v>186</v>
      </c>
      <c r="R75">
        <v>0.2644333333333333</v>
      </c>
      <c r="S75" t="s">
        <v>187</v>
      </c>
    </row>
    <row r="76" spans="16:19" x14ac:dyDescent="0.45">
      <c r="P76">
        <v>2038</v>
      </c>
      <c r="Q76" t="s">
        <v>188</v>
      </c>
      <c r="R76">
        <v>0.23233333333333336</v>
      </c>
      <c r="S76" t="s">
        <v>187</v>
      </c>
    </row>
    <row r="77" spans="16:19" x14ac:dyDescent="0.45">
      <c r="P77">
        <v>2038</v>
      </c>
      <c r="Q77" t="s">
        <v>189</v>
      </c>
      <c r="R77">
        <v>0.34836666666666666</v>
      </c>
      <c r="S77" t="s">
        <v>187</v>
      </c>
    </row>
    <row r="78" spans="16:19" x14ac:dyDescent="0.45">
      <c r="P78">
        <v>2038</v>
      </c>
      <c r="Q78" t="s">
        <v>190</v>
      </c>
      <c r="R78">
        <v>0.29136666666666661</v>
      </c>
      <c r="S78" t="s">
        <v>187</v>
      </c>
    </row>
    <row r="79" spans="16:19" x14ac:dyDescent="0.45">
      <c r="P79">
        <v>2039</v>
      </c>
      <c r="Q79" t="s">
        <v>186</v>
      </c>
      <c r="R79">
        <v>0.28350000000000003</v>
      </c>
      <c r="S79" t="s">
        <v>187</v>
      </c>
    </row>
    <row r="80" spans="16:19" x14ac:dyDescent="0.45">
      <c r="P80">
        <v>2039</v>
      </c>
      <c r="Q80" t="s">
        <v>188</v>
      </c>
      <c r="R80">
        <v>0.25823333333333331</v>
      </c>
      <c r="S80" t="s">
        <v>187</v>
      </c>
    </row>
    <row r="81" spans="16:19" x14ac:dyDescent="0.45">
      <c r="P81">
        <v>2039</v>
      </c>
      <c r="Q81" t="s">
        <v>189</v>
      </c>
      <c r="R81">
        <v>0.37529999999999997</v>
      </c>
      <c r="S81" t="s">
        <v>187</v>
      </c>
    </row>
    <row r="82" spans="16:19" x14ac:dyDescent="0.45">
      <c r="P82">
        <v>2039</v>
      </c>
      <c r="Q82" t="s">
        <v>190</v>
      </c>
      <c r="R82">
        <v>0.24099999999999999</v>
      </c>
      <c r="S82" t="s">
        <v>187</v>
      </c>
    </row>
    <row r="83" spans="16:19" x14ac:dyDescent="0.45">
      <c r="P83">
        <v>2040</v>
      </c>
      <c r="Q83" t="s">
        <v>186</v>
      </c>
      <c r="R83">
        <v>0.21603333333333333</v>
      </c>
      <c r="S83" t="s">
        <v>187</v>
      </c>
    </row>
    <row r="84" spans="16:19" x14ac:dyDescent="0.45">
      <c r="P84">
        <v>2040</v>
      </c>
      <c r="Q84" t="s">
        <v>188</v>
      </c>
      <c r="R84">
        <v>0.23450000000000001</v>
      </c>
      <c r="S84" t="s">
        <v>187</v>
      </c>
    </row>
    <row r="85" spans="16:19" x14ac:dyDescent="0.45">
      <c r="P85">
        <v>2040</v>
      </c>
      <c r="Q85" t="s">
        <v>189</v>
      </c>
      <c r="R85">
        <v>0.33576666666666671</v>
      </c>
      <c r="S85" t="s">
        <v>187</v>
      </c>
    </row>
    <row r="86" spans="16:19" x14ac:dyDescent="0.45">
      <c r="P86">
        <v>2040</v>
      </c>
      <c r="Q86" t="s">
        <v>190</v>
      </c>
      <c r="R86">
        <v>0.29096666666666665</v>
      </c>
      <c r="S86" t="s">
        <v>187</v>
      </c>
    </row>
    <row r="87" spans="16:19" x14ac:dyDescent="0.45">
      <c r="P87">
        <v>2041</v>
      </c>
      <c r="Q87" t="s">
        <v>186</v>
      </c>
      <c r="R87">
        <v>0.20763333333333334</v>
      </c>
      <c r="S87" t="s">
        <v>187</v>
      </c>
    </row>
    <row r="88" spans="16:19" x14ac:dyDescent="0.45">
      <c r="P88">
        <v>2041</v>
      </c>
      <c r="Q88" t="s">
        <v>188</v>
      </c>
      <c r="R88">
        <v>0.26960000000000001</v>
      </c>
      <c r="S88" t="s">
        <v>187</v>
      </c>
    </row>
    <row r="89" spans="16:19" x14ac:dyDescent="0.45">
      <c r="P89">
        <v>2041</v>
      </c>
      <c r="Q89" t="s">
        <v>189</v>
      </c>
      <c r="R89">
        <v>0.42136666666666667</v>
      </c>
      <c r="S89" t="s">
        <v>187</v>
      </c>
    </row>
    <row r="90" spans="16:19" x14ac:dyDescent="0.45">
      <c r="P90">
        <v>2041</v>
      </c>
      <c r="Q90" t="s">
        <v>190</v>
      </c>
      <c r="R90">
        <v>0.22166666666666668</v>
      </c>
      <c r="S90" t="s">
        <v>187</v>
      </c>
    </row>
    <row r="91" spans="16:19" x14ac:dyDescent="0.45">
      <c r="P91">
        <v>2042</v>
      </c>
      <c r="Q91" t="s">
        <v>186</v>
      </c>
      <c r="R91">
        <v>0.24949999999999997</v>
      </c>
      <c r="S91" t="s">
        <v>187</v>
      </c>
    </row>
    <row r="92" spans="16:19" x14ac:dyDescent="0.45">
      <c r="P92">
        <v>2042</v>
      </c>
      <c r="Q92" t="s">
        <v>188</v>
      </c>
      <c r="R92">
        <v>0.28583333333333333</v>
      </c>
      <c r="S92" t="s">
        <v>187</v>
      </c>
    </row>
    <row r="93" spans="16:19" x14ac:dyDescent="0.45">
      <c r="P93">
        <v>2042</v>
      </c>
      <c r="Q93" t="s">
        <v>189</v>
      </c>
      <c r="R93">
        <v>0.40056666666666657</v>
      </c>
      <c r="S93" t="s">
        <v>187</v>
      </c>
    </row>
    <row r="94" spans="16:19" x14ac:dyDescent="0.45">
      <c r="P94">
        <v>2042</v>
      </c>
      <c r="Q94" t="s">
        <v>190</v>
      </c>
      <c r="R94">
        <v>0.23650000000000002</v>
      </c>
      <c r="S94" t="s">
        <v>187</v>
      </c>
    </row>
    <row r="95" spans="16:19" x14ac:dyDescent="0.45">
      <c r="P95">
        <v>2043</v>
      </c>
      <c r="Q95" t="s">
        <v>186</v>
      </c>
      <c r="R95">
        <v>0.18133333333333335</v>
      </c>
      <c r="S95" t="s">
        <v>187</v>
      </c>
    </row>
    <row r="96" spans="16:19" x14ac:dyDescent="0.45">
      <c r="P96">
        <v>2043</v>
      </c>
      <c r="Q96" t="s">
        <v>188</v>
      </c>
      <c r="R96">
        <v>0.23879999999999998</v>
      </c>
      <c r="S96" t="s">
        <v>187</v>
      </c>
    </row>
    <row r="97" spans="16:19" x14ac:dyDescent="0.45">
      <c r="P97">
        <v>2043</v>
      </c>
      <c r="Q97" t="s">
        <v>189</v>
      </c>
      <c r="R97">
        <v>0.3620666666666667</v>
      </c>
      <c r="S97" t="s">
        <v>187</v>
      </c>
    </row>
    <row r="98" spans="16:19" x14ac:dyDescent="0.45">
      <c r="P98">
        <v>2043</v>
      </c>
      <c r="Q98" t="s">
        <v>190</v>
      </c>
      <c r="R98">
        <v>0.22309999999999999</v>
      </c>
      <c r="S98" t="s">
        <v>187</v>
      </c>
    </row>
    <row r="99" spans="16:19" x14ac:dyDescent="0.45">
      <c r="P99">
        <v>2044</v>
      </c>
      <c r="Q99" t="s">
        <v>186</v>
      </c>
      <c r="R99">
        <v>0.15886666666666668</v>
      </c>
      <c r="S99" t="s">
        <v>187</v>
      </c>
    </row>
    <row r="100" spans="16:19" x14ac:dyDescent="0.45">
      <c r="P100">
        <v>2044</v>
      </c>
      <c r="Q100" t="s">
        <v>188</v>
      </c>
      <c r="R100">
        <v>0.2039</v>
      </c>
      <c r="S100" t="s">
        <v>187</v>
      </c>
    </row>
    <row r="101" spans="16:19" x14ac:dyDescent="0.45">
      <c r="P101">
        <v>2044</v>
      </c>
      <c r="Q101" t="s">
        <v>189</v>
      </c>
      <c r="R101">
        <v>0.3805</v>
      </c>
      <c r="S101" t="s">
        <v>187</v>
      </c>
    </row>
    <row r="102" spans="16:19" x14ac:dyDescent="0.45">
      <c r="P102">
        <v>2044</v>
      </c>
      <c r="Q102" t="s">
        <v>190</v>
      </c>
      <c r="R102">
        <v>0.24250000000000002</v>
      </c>
      <c r="S102" t="s">
        <v>187</v>
      </c>
    </row>
    <row r="103" spans="16:19" x14ac:dyDescent="0.45">
      <c r="P103">
        <v>2045</v>
      </c>
      <c r="Q103" t="s">
        <v>186</v>
      </c>
      <c r="R103">
        <v>0.19963333333333333</v>
      </c>
      <c r="S103" t="s">
        <v>187</v>
      </c>
    </row>
    <row r="104" spans="16:19" x14ac:dyDescent="0.45">
      <c r="P104">
        <v>2045</v>
      </c>
      <c r="Q104" t="s">
        <v>188</v>
      </c>
      <c r="R104">
        <v>0.24749999999999997</v>
      </c>
      <c r="S104" t="s">
        <v>187</v>
      </c>
    </row>
    <row r="105" spans="16:19" x14ac:dyDescent="0.45">
      <c r="P105">
        <v>2045</v>
      </c>
      <c r="Q105" t="s">
        <v>189</v>
      </c>
      <c r="R105">
        <v>0.33879999999999999</v>
      </c>
      <c r="S105" t="s">
        <v>187</v>
      </c>
    </row>
    <row r="106" spans="16:19" x14ac:dyDescent="0.45">
      <c r="P106">
        <v>2045</v>
      </c>
      <c r="Q106" t="s">
        <v>190</v>
      </c>
      <c r="R106">
        <v>0.25716666666666671</v>
      </c>
      <c r="S106" t="s">
        <v>187</v>
      </c>
    </row>
    <row r="107" spans="16:19" x14ac:dyDescent="0.45">
      <c r="P107">
        <v>2046</v>
      </c>
      <c r="Q107" t="s">
        <v>186</v>
      </c>
      <c r="R107">
        <v>0.19510000000000002</v>
      </c>
      <c r="S107" t="s">
        <v>187</v>
      </c>
    </row>
    <row r="108" spans="16:19" x14ac:dyDescent="0.45">
      <c r="P108">
        <v>2046</v>
      </c>
      <c r="Q108" t="s">
        <v>188</v>
      </c>
      <c r="R108">
        <v>0.26636666666666664</v>
      </c>
      <c r="S108" t="s">
        <v>187</v>
      </c>
    </row>
    <row r="109" spans="16:19" x14ac:dyDescent="0.45">
      <c r="P109">
        <v>2046</v>
      </c>
      <c r="Q109" t="s">
        <v>189</v>
      </c>
      <c r="R109">
        <v>0.35349999999999998</v>
      </c>
      <c r="S109" t="s">
        <v>187</v>
      </c>
    </row>
    <row r="110" spans="16:19" x14ac:dyDescent="0.45">
      <c r="P110">
        <v>2046</v>
      </c>
      <c r="Q110" t="s">
        <v>190</v>
      </c>
      <c r="R110">
        <v>0.17496666666666669</v>
      </c>
      <c r="S110" t="s">
        <v>187</v>
      </c>
    </row>
    <row r="111" spans="16:19" x14ac:dyDescent="0.45">
      <c r="P111">
        <v>2047</v>
      </c>
      <c r="Q111" t="s">
        <v>186</v>
      </c>
      <c r="R111">
        <v>0.25286666666666668</v>
      </c>
      <c r="S111" t="s">
        <v>187</v>
      </c>
    </row>
    <row r="112" spans="16:19" x14ac:dyDescent="0.45">
      <c r="P112">
        <v>2047</v>
      </c>
      <c r="Q112" t="s">
        <v>188</v>
      </c>
      <c r="R112">
        <v>0.27296666666666664</v>
      </c>
      <c r="S112" t="s">
        <v>187</v>
      </c>
    </row>
    <row r="113" spans="16:19" x14ac:dyDescent="0.45">
      <c r="P113">
        <v>2047</v>
      </c>
      <c r="Q113" t="s">
        <v>189</v>
      </c>
      <c r="R113">
        <v>0.32883333333333331</v>
      </c>
      <c r="S113" t="s">
        <v>187</v>
      </c>
    </row>
    <row r="114" spans="16:19" x14ac:dyDescent="0.45">
      <c r="P114">
        <v>2047</v>
      </c>
      <c r="Q114" t="s">
        <v>190</v>
      </c>
      <c r="R114">
        <v>0.21883333333333335</v>
      </c>
      <c r="S114" t="s">
        <v>187</v>
      </c>
    </row>
    <row r="115" spans="16:19" x14ac:dyDescent="0.45">
      <c r="P115">
        <v>2048</v>
      </c>
      <c r="Q115" t="s">
        <v>186</v>
      </c>
      <c r="R115">
        <v>0.21840000000000001</v>
      </c>
      <c r="S115" t="s">
        <v>187</v>
      </c>
    </row>
    <row r="116" spans="16:19" x14ac:dyDescent="0.45">
      <c r="P116">
        <v>2048</v>
      </c>
      <c r="Q116" t="s">
        <v>188</v>
      </c>
      <c r="R116">
        <v>0.2984</v>
      </c>
      <c r="S116" t="s">
        <v>187</v>
      </c>
    </row>
    <row r="117" spans="16:19" x14ac:dyDescent="0.45">
      <c r="P117">
        <v>2048</v>
      </c>
      <c r="Q117" t="s">
        <v>189</v>
      </c>
      <c r="R117">
        <v>0.44559999999999994</v>
      </c>
      <c r="S117" t="s">
        <v>187</v>
      </c>
    </row>
    <row r="118" spans="16:19" x14ac:dyDescent="0.45">
      <c r="P118">
        <v>2048</v>
      </c>
      <c r="Q118" t="s">
        <v>190</v>
      </c>
      <c r="R118">
        <v>0.3301</v>
      </c>
      <c r="S118" t="s">
        <v>187</v>
      </c>
    </row>
    <row r="119" spans="16:19" x14ac:dyDescent="0.45">
      <c r="P119">
        <v>2049</v>
      </c>
      <c r="Q119" t="s">
        <v>186</v>
      </c>
      <c r="R119">
        <v>0.24716666666666667</v>
      </c>
      <c r="S119" t="s">
        <v>187</v>
      </c>
    </row>
    <row r="120" spans="16:19" x14ac:dyDescent="0.45">
      <c r="P120">
        <v>2049</v>
      </c>
      <c r="Q120" t="s">
        <v>188</v>
      </c>
      <c r="R120">
        <v>0.25666666666666665</v>
      </c>
      <c r="S120" t="s">
        <v>187</v>
      </c>
    </row>
    <row r="121" spans="16:19" x14ac:dyDescent="0.45">
      <c r="P121">
        <v>2049</v>
      </c>
      <c r="Q121" t="s">
        <v>189</v>
      </c>
      <c r="R121">
        <v>0.41509999999999997</v>
      </c>
      <c r="S121" t="s">
        <v>187</v>
      </c>
    </row>
    <row r="122" spans="16:19" x14ac:dyDescent="0.45">
      <c r="P122">
        <v>2049</v>
      </c>
      <c r="Q122" t="s">
        <v>190</v>
      </c>
      <c r="R122">
        <v>0.29016666666666668</v>
      </c>
      <c r="S122" t="s">
        <v>187</v>
      </c>
    </row>
    <row r="123" spans="16:19" x14ac:dyDescent="0.45">
      <c r="P123">
        <v>2050</v>
      </c>
      <c r="Q123" t="s">
        <v>186</v>
      </c>
      <c r="R123">
        <v>0.18706666666666669</v>
      </c>
      <c r="S123" t="s">
        <v>187</v>
      </c>
    </row>
    <row r="124" spans="16:19" x14ac:dyDescent="0.45">
      <c r="P124">
        <v>2050</v>
      </c>
      <c r="Q124" t="s">
        <v>188</v>
      </c>
      <c r="R124">
        <v>0.26266666666666666</v>
      </c>
      <c r="S124" t="s">
        <v>187</v>
      </c>
    </row>
    <row r="125" spans="16:19" x14ac:dyDescent="0.45">
      <c r="P125">
        <v>2050</v>
      </c>
      <c r="Q125" t="s">
        <v>189</v>
      </c>
      <c r="R125">
        <v>0.3569</v>
      </c>
      <c r="S125" t="s">
        <v>187</v>
      </c>
    </row>
    <row r="126" spans="16:19" x14ac:dyDescent="0.45">
      <c r="P126">
        <v>2050</v>
      </c>
      <c r="Q126" t="s">
        <v>190</v>
      </c>
      <c r="R126">
        <v>0.32136666666666663</v>
      </c>
      <c r="S126" t="s">
        <v>187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84333-F749-4A0A-96A2-6FA3E7092AE2}">
  <dimension ref="B9:O322"/>
  <sheetViews>
    <sheetView workbookViewId="0"/>
  </sheetViews>
  <sheetFormatPr defaultRowHeight="14.25" x14ac:dyDescent="0.45"/>
  <sheetData>
    <row r="9" spans="2:15" x14ac:dyDescent="0.45">
      <c r="B9" t="str">
        <f>IF(A11="x","DeActivated","~TFM_DINS-AT: region=ESP")</f>
        <v>~TFM_DINS-AT: region=ESP</v>
      </c>
      <c r="G9" t="str">
        <f>IF(A11="x","DeActivated","~TFM_DINS-AT: region=ESP")</f>
        <v>~TFM_DINS-AT: region=ESP</v>
      </c>
      <c r="L9" t="str">
        <f>IF(A11="x","DeActivated","~TFM_DINS-AT: region=ESP")</f>
        <v>~TFM_DINS-AT: region=ESP</v>
      </c>
    </row>
    <row r="10" spans="2:15" x14ac:dyDescent="0.45">
      <c r="B10" t="s">
        <v>0</v>
      </c>
      <c r="C10" t="s">
        <v>1</v>
      </c>
      <c r="D10" t="s">
        <v>2</v>
      </c>
      <c r="E10" t="s">
        <v>3</v>
      </c>
      <c r="G10" t="s">
        <v>0</v>
      </c>
      <c r="H10" t="s">
        <v>1</v>
      </c>
      <c r="I10" t="s">
        <v>2</v>
      </c>
      <c r="J10" t="s">
        <v>3</v>
      </c>
      <c r="L10" t="s">
        <v>0</v>
      </c>
      <c r="M10" t="s">
        <v>1</v>
      </c>
      <c r="N10" t="s">
        <v>2</v>
      </c>
      <c r="O10" t="s">
        <v>3</v>
      </c>
    </row>
    <row r="11" spans="2:15" x14ac:dyDescent="0.45">
      <c r="B11" t="s">
        <v>702</v>
      </c>
      <c r="C11" t="s">
        <v>5</v>
      </c>
      <c r="D11">
        <v>0</v>
      </c>
      <c r="E11" t="s">
        <v>6</v>
      </c>
      <c r="G11" t="s">
        <v>703</v>
      </c>
      <c r="H11" t="s">
        <v>5</v>
      </c>
      <c r="I11">
        <v>0.1132556829616935</v>
      </c>
      <c r="J11" t="s">
        <v>6</v>
      </c>
      <c r="L11" t="s">
        <v>704</v>
      </c>
      <c r="M11" t="s">
        <v>5</v>
      </c>
      <c r="N11">
        <v>0.12521885700551955</v>
      </c>
      <c r="O11" t="s">
        <v>6</v>
      </c>
    </row>
    <row r="12" spans="2:15" x14ac:dyDescent="0.45">
      <c r="B12" t="s">
        <v>702</v>
      </c>
      <c r="C12" t="s">
        <v>9</v>
      </c>
      <c r="D12">
        <v>0.17189464753395972</v>
      </c>
      <c r="E12" t="s">
        <v>6</v>
      </c>
      <c r="G12" t="s">
        <v>703</v>
      </c>
      <c r="H12" t="s">
        <v>9</v>
      </c>
      <c r="I12">
        <v>0.14553100710862685</v>
      </c>
      <c r="J12" t="s">
        <v>6</v>
      </c>
      <c r="L12" t="s">
        <v>704</v>
      </c>
      <c r="M12" t="s">
        <v>9</v>
      </c>
      <c r="N12">
        <v>0.14914240719378749</v>
      </c>
      <c r="O12" t="s">
        <v>6</v>
      </c>
    </row>
    <row r="13" spans="2:15" x14ac:dyDescent="0.45">
      <c r="B13" t="s">
        <v>702</v>
      </c>
      <c r="C13" t="s">
        <v>10</v>
      </c>
      <c r="D13">
        <v>4.3027489824749186E-3</v>
      </c>
      <c r="E13" t="s">
        <v>6</v>
      </c>
      <c r="G13" t="s">
        <v>703</v>
      </c>
      <c r="H13" t="s">
        <v>10</v>
      </c>
      <c r="I13">
        <v>8.5339454769588319E-2</v>
      </c>
      <c r="J13" t="s">
        <v>6</v>
      </c>
      <c r="L13" t="s">
        <v>704</v>
      </c>
      <c r="M13" t="s">
        <v>10</v>
      </c>
      <c r="N13">
        <v>9.131898152906337E-2</v>
      </c>
      <c r="O13" t="s">
        <v>6</v>
      </c>
    </row>
    <row r="14" spans="2:15" x14ac:dyDescent="0.45">
      <c r="B14" t="s">
        <v>702</v>
      </c>
      <c r="C14" t="s">
        <v>11</v>
      </c>
      <c r="D14">
        <v>3.1829060010935689E-4</v>
      </c>
      <c r="E14" t="s">
        <v>6</v>
      </c>
      <c r="G14" t="s">
        <v>703</v>
      </c>
      <c r="H14" t="s">
        <v>11</v>
      </c>
      <c r="I14">
        <v>8.8007840757560463E-2</v>
      </c>
      <c r="J14" t="s">
        <v>6</v>
      </c>
      <c r="L14" t="s">
        <v>704</v>
      </c>
      <c r="M14" t="s">
        <v>11</v>
      </c>
      <c r="N14">
        <v>0.10137916273182902</v>
      </c>
      <c r="O14" t="s">
        <v>6</v>
      </c>
    </row>
    <row r="15" spans="2:15" x14ac:dyDescent="0.45">
      <c r="B15" t="s">
        <v>702</v>
      </c>
      <c r="C15" t="s">
        <v>12</v>
      </c>
      <c r="D15">
        <v>0.25227057646537177</v>
      </c>
      <c r="E15" t="s">
        <v>6</v>
      </c>
      <c r="G15" t="s">
        <v>703</v>
      </c>
      <c r="H15" t="s">
        <v>12</v>
      </c>
      <c r="I15">
        <v>0.13646248703133954</v>
      </c>
      <c r="J15" t="s">
        <v>6</v>
      </c>
      <c r="L15" t="s">
        <v>704</v>
      </c>
      <c r="M15" t="s">
        <v>12</v>
      </c>
      <c r="N15">
        <v>0.13127002531218834</v>
      </c>
      <c r="O15" t="s">
        <v>6</v>
      </c>
    </row>
    <row r="16" spans="2:15" x14ac:dyDescent="0.45">
      <c r="B16" t="s">
        <v>702</v>
      </c>
      <c r="C16" t="s">
        <v>13</v>
      </c>
      <c r="D16">
        <v>1.9692271161370282E-2</v>
      </c>
      <c r="E16" t="s">
        <v>6</v>
      </c>
      <c r="G16" t="s">
        <v>703</v>
      </c>
      <c r="H16" t="s">
        <v>13</v>
      </c>
      <c r="I16">
        <v>8.4224520633654279E-2</v>
      </c>
      <c r="J16" t="s">
        <v>6</v>
      </c>
      <c r="L16" t="s">
        <v>704</v>
      </c>
      <c r="M16" t="s">
        <v>13</v>
      </c>
      <c r="N16">
        <v>8.875030141818066E-2</v>
      </c>
      <c r="O16" t="s">
        <v>6</v>
      </c>
    </row>
    <row r="17" spans="2:15" x14ac:dyDescent="0.45">
      <c r="B17" t="s">
        <v>702</v>
      </c>
      <c r="C17" t="s">
        <v>14</v>
      </c>
      <c r="D17">
        <v>8.4324537606476435E-4</v>
      </c>
      <c r="E17" t="s">
        <v>6</v>
      </c>
      <c r="G17" t="s">
        <v>703</v>
      </c>
      <c r="H17" t="s">
        <v>14</v>
      </c>
      <c r="I17">
        <v>4.9107178351318767E-2</v>
      </c>
      <c r="J17" t="s">
        <v>6</v>
      </c>
      <c r="L17" t="s">
        <v>704</v>
      </c>
      <c r="M17" t="s">
        <v>14</v>
      </c>
      <c r="N17">
        <v>3.6516441761435335E-2</v>
      </c>
      <c r="O17" t="s">
        <v>6</v>
      </c>
    </row>
    <row r="18" spans="2:15" x14ac:dyDescent="0.45">
      <c r="B18" t="s">
        <v>702</v>
      </c>
      <c r="C18" t="s">
        <v>15</v>
      </c>
      <c r="D18">
        <v>0.30348812023540517</v>
      </c>
      <c r="E18" t="s">
        <v>6</v>
      </c>
      <c r="G18" t="s">
        <v>703</v>
      </c>
      <c r="H18" t="s">
        <v>15</v>
      </c>
      <c r="I18">
        <v>7.933181808542572E-2</v>
      </c>
      <c r="J18" t="s">
        <v>6</v>
      </c>
      <c r="L18" t="s">
        <v>704</v>
      </c>
      <c r="M18" t="s">
        <v>15</v>
      </c>
      <c r="N18">
        <v>5.2135375201874119E-2</v>
      </c>
      <c r="O18" t="s">
        <v>6</v>
      </c>
    </row>
    <row r="19" spans="2:15" x14ac:dyDescent="0.45">
      <c r="B19" t="s">
        <v>702</v>
      </c>
      <c r="C19" t="s">
        <v>16</v>
      </c>
      <c r="D19">
        <v>2.9024183699449542E-2</v>
      </c>
      <c r="E19" t="s">
        <v>6</v>
      </c>
      <c r="G19" t="s">
        <v>703</v>
      </c>
      <c r="H19" t="s">
        <v>16</v>
      </c>
      <c r="I19">
        <v>4.4245636726588579E-2</v>
      </c>
      <c r="J19" t="s">
        <v>6</v>
      </c>
      <c r="L19" t="s">
        <v>704</v>
      </c>
      <c r="M19" t="s">
        <v>16</v>
      </c>
      <c r="N19">
        <v>3.5424222451344252E-2</v>
      </c>
      <c r="O19" t="s">
        <v>6</v>
      </c>
    </row>
    <row r="20" spans="2:15" x14ac:dyDescent="0.45">
      <c r="B20" t="s">
        <v>702</v>
      </c>
      <c r="C20" t="s">
        <v>17</v>
      </c>
      <c r="D20">
        <v>0</v>
      </c>
      <c r="E20" t="s">
        <v>6</v>
      </c>
      <c r="G20" t="s">
        <v>703</v>
      </c>
      <c r="H20" t="s">
        <v>17</v>
      </c>
      <c r="I20">
        <v>5.1814997514964115E-2</v>
      </c>
      <c r="J20" t="s">
        <v>6</v>
      </c>
      <c r="L20" t="s">
        <v>704</v>
      </c>
      <c r="M20" t="s">
        <v>17</v>
      </c>
      <c r="N20">
        <v>6.2226802340181964E-2</v>
      </c>
      <c r="O20" t="s">
        <v>6</v>
      </c>
    </row>
    <row r="21" spans="2:15" x14ac:dyDescent="0.45">
      <c r="B21" t="s">
        <v>702</v>
      </c>
      <c r="C21" t="s">
        <v>18</v>
      </c>
      <c r="D21">
        <v>0.21033278027990276</v>
      </c>
      <c r="E21" t="s">
        <v>6</v>
      </c>
      <c r="G21" t="s">
        <v>703</v>
      </c>
      <c r="H21" t="s">
        <v>18</v>
      </c>
      <c r="I21">
        <v>7.5066729726980627E-2</v>
      </c>
      <c r="J21" t="s">
        <v>6</v>
      </c>
      <c r="L21" t="s">
        <v>704</v>
      </c>
      <c r="M21" t="s">
        <v>18</v>
      </c>
      <c r="N21">
        <v>7.7106703849194103E-2</v>
      </c>
      <c r="O21" t="s">
        <v>6</v>
      </c>
    </row>
    <row r="22" spans="2:15" x14ac:dyDescent="0.45">
      <c r="B22" t="s">
        <v>702</v>
      </c>
      <c r="C22" t="s">
        <v>19</v>
      </c>
      <c r="D22">
        <v>7.8331356658916263E-3</v>
      </c>
      <c r="E22" t="s">
        <v>6</v>
      </c>
      <c r="G22" t="s">
        <v>703</v>
      </c>
      <c r="H22" t="s">
        <v>19</v>
      </c>
      <c r="I22">
        <v>4.7612646332256203E-2</v>
      </c>
      <c r="J22" t="s">
        <v>6</v>
      </c>
      <c r="L22" t="s">
        <v>704</v>
      </c>
      <c r="M22" t="s">
        <v>19</v>
      </c>
      <c r="N22">
        <v>4.9510719205404348E-2</v>
      </c>
      <c r="O22" t="s">
        <v>6</v>
      </c>
    </row>
    <row r="23" spans="2:15" x14ac:dyDescent="0.45">
      <c r="B23" t="s">
        <v>705</v>
      </c>
      <c r="C23" t="s">
        <v>5</v>
      </c>
      <c r="D23">
        <v>0</v>
      </c>
      <c r="E23" t="s">
        <v>6</v>
      </c>
      <c r="G23" t="s">
        <v>706</v>
      </c>
      <c r="H23" t="s">
        <v>5</v>
      </c>
      <c r="I23">
        <v>0.1154963323991665</v>
      </c>
      <c r="J23" t="s">
        <v>6</v>
      </c>
      <c r="L23" t="s">
        <v>707</v>
      </c>
      <c r="M23" t="s">
        <v>5</v>
      </c>
      <c r="N23">
        <v>0.11573984670521335</v>
      </c>
      <c r="O23" t="s">
        <v>6</v>
      </c>
    </row>
    <row r="24" spans="2:15" x14ac:dyDescent="0.45">
      <c r="B24" t="s">
        <v>705</v>
      </c>
      <c r="C24" t="s">
        <v>9</v>
      </c>
      <c r="D24">
        <v>0.15941727094677488</v>
      </c>
      <c r="E24" t="s">
        <v>6</v>
      </c>
      <c r="G24" t="s">
        <v>706</v>
      </c>
      <c r="H24" t="s">
        <v>9</v>
      </c>
      <c r="I24">
        <v>0.11691033148823256</v>
      </c>
      <c r="J24" t="s">
        <v>6</v>
      </c>
      <c r="L24" t="s">
        <v>707</v>
      </c>
      <c r="M24" t="s">
        <v>9</v>
      </c>
      <c r="N24">
        <v>0.13763962745858679</v>
      </c>
      <c r="O24" t="s">
        <v>6</v>
      </c>
    </row>
    <row r="25" spans="2:15" x14ac:dyDescent="0.45">
      <c r="B25" t="s">
        <v>705</v>
      </c>
      <c r="C25" t="s">
        <v>10</v>
      </c>
      <c r="D25">
        <v>6.1118071988646369E-3</v>
      </c>
      <c r="E25" t="s">
        <v>6</v>
      </c>
      <c r="G25" t="s">
        <v>706</v>
      </c>
      <c r="H25" t="s">
        <v>10</v>
      </c>
      <c r="I25">
        <v>7.6653153300414584E-2</v>
      </c>
      <c r="J25" t="s">
        <v>6</v>
      </c>
      <c r="L25" t="s">
        <v>707</v>
      </c>
      <c r="M25" t="s">
        <v>10</v>
      </c>
      <c r="N25">
        <v>8.9035167294968534E-2</v>
      </c>
      <c r="O25" t="s">
        <v>6</v>
      </c>
    </row>
    <row r="26" spans="2:15" x14ac:dyDescent="0.45">
      <c r="B26" t="s">
        <v>705</v>
      </c>
      <c r="C26" t="s">
        <v>11</v>
      </c>
      <c r="D26">
        <v>2.3344875915126359E-4</v>
      </c>
      <c r="E26" t="s">
        <v>6</v>
      </c>
      <c r="G26" t="s">
        <v>706</v>
      </c>
      <c r="H26" t="s">
        <v>11</v>
      </c>
      <c r="I26">
        <v>9.478261919968671E-2</v>
      </c>
      <c r="J26" t="s">
        <v>6</v>
      </c>
      <c r="L26" t="s">
        <v>707</v>
      </c>
      <c r="M26" t="s">
        <v>11</v>
      </c>
      <c r="N26">
        <v>9.1775695370725399E-2</v>
      </c>
      <c r="O26" t="s">
        <v>6</v>
      </c>
    </row>
    <row r="27" spans="2:15" x14ac:dyDescent="0.45">
      <c r="B27" t="s">
        <v>705</v>
      </c>
      <c r="C27" t="s">
        <v>12</v>
      </c>
      <c r="D27">
        <v>0.24859021269035042</v>
      </c>
      <c r="E27" t="s">
        <v>6</v>
      </c>
      <c r="G27" t="s">
        <v>706</v>
      </c>
      <c r="H27" t="s">
        <v>12</v>
      </c>
      <c r="I27">
        <v>0.12211188878498715</v>
      </c>
      <c r="J27" t="s">
        <v>6</v>
      </c>
      <c r="L27" t="s">
        <v>707</v>
      </c>
      <c r="M27" t="s">
        <v>12</v>
      </c>
      <c r="N27">
        <v>0.13844092754010087</v>
      </c>
      <c r="O27" t="s">
        <v>6</v>
      </c>
    </row>
    <row r="28" spans="2:15" x14ac:dyDescent="0.45">
      <c r="B28" t="s">
        <v>705</v>
      </c>
      <c r="C28" t="s">
        <v>13</v>
      </c>
      <c r="D28">
        <v>2.1687726851760229E-2</v>
      </c>
      <c r="E28" t="s">
        <v>6</v>
      </c>
      <c r="G28" t="s">
        <v>706</v>
      </c>
      <c r="H28" t="s">
        <v>13</v>
      </c>
      <c r="I28">
        <v>9.3874029467681225E-2</v>
      </c>
      <c r="J28" t="s">
        <v>6</v>
      </c>
      <c r="L28" t="s">
        <v>707</v>
      </c>
      <c r="M28" t="s">
        <v>13</v>
      </c>
      <c r="N28">
        <v>8.4740780297100832E-2</v>
      </c>
      <c r="O28" t="s">
        <v>6</v>
      </c>
    </row>
    <row r="29" spans="2:15" x14ac:dyDescent="0.45">
      <c r="B29" t="s">
        <v>705</v>
      </c>
      <c r="C29" t="s">
        <v>14</v>
      </c>
      <c r="D29">
        <v>6.7134933909933467E-4</v>
      </c>
      <c r="E29" t="s">
        <v>6</v>
      </c>
      <c r="G29" t="s">
        <v>706</v>
      </c>
      <c r="H29" t="s">
        <v>14</v>
      </c>
      <c r="I29">
        <v>5.3347255814567188E-2</v>
      </c>
      <c r="J29" t="s">
        <v>6</v>
      </c>
      <c r="L29" t="s">
        <v>707</v>
      </c>
      <c r="M29" t="s">
        <v>14</v>
      </c>
      <c r="N29">
        <v>4.4285274965906965E-2</v>
      </c>
      <c r="O29" t="s">
        <v>6</v>
      </c>
    </row>
    <row r="30" spans="2:15" x14ac:dyDescent="0.45">
      <c r="B30" t="s">
        <v>705</v>
      </c>
      <c r="C30" t="s">
        <v>15</v>
      </c>
      <c r="D30">
        <v>0.31805269632549377</v>
      </c>
      <c r="E30" t="s">
        <v>6</v>
      </c>
      <c r="G30" t="s">
        <v>706</v>
      </c>
      <c r="H30" t="s">
        <v>15</v>
      </c>
      <c r="I30">
        <v>4.7443426173683204E-2</v>
      </c>
      <c r="J30" t="s">
        <v>6</v>
      </c>
      <c r="L30" t="s">
        <v>707</v>
      </c>
      <c r="M30" t="s">
        <v>15</v>
      </c>
      <c r="N30">
        <v>7.8498698777110951E-2</v>
      </c>
      <c r="O30" t="s">
        <v>6</v>
      </c>
    </row>
    <row r="31" spans="2:15" x14ac:dyDescent="0.45">
      <c r="B31" t="s">
        <v>705</v>
      </c>
      <c r="C31" t="s">
        <v>16</v>
      </c>
      <c r="D31">
        <v>3.3092623936403449E-2</v>
      </c>
      <c r="E31" t="s">
        <v>6</v>
      </c>
      <c r="G31" t="s">
        <v>706</v>
      </c>
      <c r="H31" t="s">
        <v>16</v>
      </c>
      <c r="I31">
        <v>6.5626727440208227E-2</v>
      </c>
      <c r="J31" t="s">
        <v>6</v>
      </c>
      <c r="L31" t="s">
        <v>707</v>
      </c>
      <c r="M31" t="s">
        <v>16</v>
      </c>
      <c r="N31">
        <v>4.0943614631394482E-2</v>
      </c>
      <c r="O31" t="s">
        <v>6</v>
      </c>
    </row>
    <row r="32" spans="2:15" x14ac:dyDescent="0.45">
      <c r="B32" t="s">
        <v>705</v>
      </c>
      <c r="C32" t="s">
        <v>17</v>
      </c>
      <c r="D32">
        <v>0</v>
      </c>
      <c r="E32" t="s">
        <v>6</v>
      </c>
      <c r="G32" t="s">
        <v>706</v>
      </c>
      <c r="H32" t="s">
        <v>17</v>
      </c>
      <c r="I32">
        <v>7.3132035785792526E-2</v>
      </c>
      <c r="J32" t="s">
        <v>6</v>
      </c>
      <c r="L32" t="s">
        <v>707</v>
      </c>
      <c r="M32" t="s">
        <v>17</v>
      </c>
      <c r="N32">
        <v>5.5124739153371641E-2</v>
      </c>
      <c r="O32" t="s">
        <v>6</v>
      </c>
    </row>
    <row r="33" spans="2:15" x14ac:dyDescent="0.45">
      <c r="B33" t="s">
        <v>705</v>
      </c>
      <c r="C33" t="s">
        <v>18</v>
      </c>
      <c r="D33">
        <v>0.20223416205358241</v>
      </c>
      <c r="E33" t="s">
        <v>6</v>
      </c>
      <c r="G33" t="s">
        <v>706</v>
      </c>
      <c r="H33" t="s">
        <v>18</v>
      </c>
      <c r="I33">
        <v>7.7935035047358769E-2</v>
      </c>
      <c r="J33" t="s">
        <v>6</v>
      </c>
      <c r="L33" t="s">
        <v>707</v>
      </c>
      <c r="M33" t="s">
        <v>18</v>
      </c>
      <c r="N33">
        <v>7.4022821064769193E-2</v>
      </c>
      <c r="O33" t="s">
        <v>6</v>
      </c>
    </row>
    <row r="34" spans="2:15" x14ac:dyDescent="0.45">
      <c r="B34" t="s">
        <v>705</v>
      </c>
      <c r="C34" t="s">
        <v>19</v>
      </c>
      <c r="D34">
        <v>9.9087018985180558E-3</v>
      </c>
      <c r="E34" t="s">
        <v>6</v>
      </c>
      <c r="G34" t="s">
        <v>706</v>
      </c>
      <c r="H34" t="s">
        <v>19</v>
      </c>
      <c r="I34">
        <v>6.2687165098222822E-2</v>
      </c>
      <c r="J34" t="s">
        <v>6</v>
      </c>
      <c r="L34" t="s">
        <v>707</v>
      </c>
      <c r="M34" t="s">
        <v>19</v>
      </c>
      <c r="N34">
        <v>4.9752806740748057E-2</v>
      </c>
      <c r="O34" t="s">
        <v>6</v>
      </c>
    </row>
    <row r="35" spans="2:15" x14ac:dyDescent="0.45">
      <c r="B35" t="s">
        <v>708</v>
      </c>
      <c r="C35" t="s">
        <v>5</v>
      </c>
      <c r="D35">
        <v>0</v>
      </c>
      <c r="E35" t="s">
        <v>6</v>
      </c>
      <c r="G35" t="s">
        <v>709</v>
      </c>
      <c r="H35" t="s">
        <v>5</v>
      </c>
      <c r="I35">
        <v>0.11897745998023795</v>
      </c>
      <c r="J35" t="s">
        <v>6</v>
      </c>
      <c r="L35" t="s">
        <v>710</v>
      </c>
      <c r="M35" t="s">
        <v>5</v>
      </c>
      <c r="N35">
        <v>0.12759438004766119</v>
      </c>
      <c r="O35" t="s">
        <v>6</v>
      </c>
    </row>
    <row r="36" spans="2:15" x14ac:dyDescent="0.45">
      <c r="B36" t="s">
        <v>708</v>
      </c>
      <c r="C36" t="s">
        <v>9</v>
      </c>
      <c r="D36">
        <v>0.16440876516118935</v>
      </c>
      <c r="E36" t="s">
        <v>6</v>
      </c>
      <c r="G36" t="s">
        <v>709</v>
      </c>
      <c r="H36" t="s">
        <v>9</v>
      </c>
      <c r="I36">
        <v>0.12518851476158391</v>
      </c>
      <c r="J36" t="s">
        <v>6</v>
      </c>
      <c r="L36" t="s">
        <v>710</v>
      </c>
      <c r="M36" t="s">
        <v>9</v>
      </c>
      <c r="N36">
        <v>0.14709113400867882</v>
      </c>
      <c r="O36" t="s">
        <v>6</v>
      </c>
    </row>
    <row r="37" spans="2:15" x14ac:dyDescent="0.45">
      <c r="B37" t="s">
        <v>708</v>
      </c>
      <c r="C37" t="s">
        <v>10</v>
      </c>
      <c r="D37">
        <v>4.9371786938047935E-3</v>
      </c>
      <c r="E37" t="s">
        <v>6</v>
      </c>
      <c r="G37" t="s">
        <v>709</v>
      </c>
      <c r="H37" t="s">
        <v>10</v>
      </c>
      <c r="I37">
        <v>8.8211643884687413E-2</v>
      </c>
      <c r="J37" t="s">
        <v>6</v>
      </c>
      <c r="L37" t="s">
        <v>710</v>
      </c>
      <c r="M37" t="s">
        <v>10</v>
      </c>
      <c r="N37">
        <v>8.8259938301529173E-2</v>
      </c>
      <c r="O37" t="s">
        <v>6</v>
      </c>
    </row>
    <row r="38" spans="2:15" x14ac:dyDescent="0.45">
      <c r="B38" t="s">
        <v>708</v>
      </c>
      <c r="C38" t="s">
        <v>11</v>
      </c>
      <c r="D38">
        <v>2.5573786922274139E-4</v>
      </c>
      <c r="E38" t="s">
        <v>6</v>
      </c>
      <c r="G38" t="s">
        <v>709</v>
      </c>
      <c r="H38" t="s">
        <v>11</v>
      </c>
      <c r="I38">
        <v>0.10175235283386784</v>
      </c>
      <c r="J38" t="s">
        <v>6</v>
      </c>
      <c r="L38" t="s">
        <v>710</v>
      </c>
      <c r="M38" t="s">
        <v>11</v>
      </c>
      <c r="N38">
        <v>0.10822681145541374</v>
      </c>
      <c r="O38" t="s">
        <v>6</v>
      </c>
    </row>
    <row r="39" spans="2:15" x14ac:dyDescent="0.45">
      <c r="B39" t="s">
        <v>708</v>
      </c>
      <c r="C39" t="s">
        <v>12</v>
      </c>
      <c r="D39">
        <v>0.25666699788158076</v>
      </c>
      <c r="E39" t="s">
        <v>6</v>
      </c>
      <c r="G39" t="s">
        <v>709</v>
      </c>
      <c r="H39" t="s">
        <v>12</v>
      </c>
      <c r="I39">
        <v>0.12698975377092792</v>
      </c>
      <c r="J39" t="s">
        <v>6</v>
      </c>
      <c r="L39" t="s">
        <v>710</v>
      </c>
      <c r="M39" t="s">
        <v>12</v>
      </c>
      <c r="N39">
        <v>0.13322387156240104</v>
      </c>
      <c r="O39" t="s">
        <v>6</v>
      </c>
    </row>
    <row r="40" spans="2:15" x14ac:dyDescent="0.45">
      <c r="B40" t="s">
        <v>708</v>
      </c>
      <c r="C40" t="s">
        <v>13</v>
      </c>
      <c r="D40">
        <v>2.1386006936487966E-2</v>
      </c>
      <c r="E40" t="s">
        <v>6</v>
      </c>
      <c r="G40" t="s">
        <v>709</v>
      </c>
      <c r="H40" t="s">
        <v>13</v>
      </c>
      <c r="I40">
        <v>9.1719744863077227E-2</v>
      </c>
      <c r="J40" t="s">
        <v>6</v>
      </c>
      <c r="L40" t="s">
        <v>710</v>
      </c>
      <c r="M40" t="s">
        <v>13</v>
      </c>
      <c r="N40">
        <v>9.075902793439504E-2</v>
      </c>
      <c r="O40" t="s">
        <v>6</v>
      </c>
    </row>
    <row r="41" spans="2:15" x14ac:dyDescent="0.45">
      <c r="B41" t="s">
        <v>708</v>
      </c>
      <c r="C41" t="s">
        <v>14</v>
      </c>
      <c r="D41">
        <v>7.2075112706693699E-4</v>
      </c>
      <c r="E41" t="s">
        <v>6</v>
      </c>
      <c r="G41" t="s">
        <v>709</v>
      </c>
      <c r="H41" t="s">
        <v>14</v>
      </c>
      <c r="I41">
        <v>5.4344866935582659E-2</v>
      </c>
      <c r="J41" t="s">
        <v>6</v>
      </c>
      <c r="L41" t="s">
        <v>710</v>
      </c>
      <c r="M41" t="s">
        <v>14</v>
      </c>
      <c r="N41">
        <v>2.8201324350886292E-2</v>
      </c>
      <c r="O41" t="s">
        <v>6</v>
      </c>
    </row>
    <row r="42" spans="2:15" x14ac:dyDescent="0.45">
      <c r="B42" t="s">
        <v>708</v>
      </c>
      <c r="C42" t="s">
        <v>15</v>
      </c>
      <c r="D42">
        <v>0.31122923399534941</v>
      </c>
      <c r="E42" t="s">
        <v>6</v>
      </c>
      <c r="G42" t="s">
        <v>709</v>
      </c>
      <c r="H42" t="s">
        <v>15</v>
      </c>
      <c r="I42">
        <v>3.1623493134948569E-2</v>
      </c>
      <c r="J42" t="s">
        <v>6</v>
      </c>
      <c r="L42" t="s">
        <v>710</v>
      </c>
      <c r="M42" t="s">
        <v>15</v>
      </c>
      <c r="N42">
        <v>4.4472196661441976E-2</v>
      </c>
      <c r="O42" t="s">
        <v>6</v>
      </c>
    </row>
    <row r="43" spans="2:15" x14ac:dyDescent="0.45">
      <c r="B43" t="s">
        <v>708</v>
      </c>
      <c r="C43" t="s">
        <v>16</v>
      </c>
      <c r="D43">
        <v>3.2826076092992325E-2</v>
      </c>
      <c r="E43" t="s">
        <v>6</v>
      </c>
      <c r="G43" t="s">
        <v>709</v>
      </c>
      <c r="H43" t="s">
        <v>16</v>
      </c>
      <c r="I43">
        <v>5.5066328307551704E-2</v>
      </c>
      <c r="J43" t="s">
        <v>6</v>
      </c>
      <c r="L43" t="s">
        <v>710</v>
      </c>
      <c r="M43" t="s">
        <v>16</v>
      </c>
      <c r="N43">
        <v>2.9083763737719065E-2</v>
      </c>
      <c r="O43" t="s">
        <v>6</v>
      </c>
    </row>
    <row r="44" spans="2:15" x14ac:dyDescent="0.45">
      <c r="B44" t="s">
        <v>708</v>
      </c>
      <c r="C44" t="s">
        <v>17</v>
      </c>
      <c r="D44">
        <v>0</v>
      </c>
      <c r="E44" t="s">
        <v>6</v>
      </c>
      <c r="G44" t="s">
        <v>709</v>
      </c>
      <c r="H44" t="s">
        <v>17</v>
      </c>
      <c r="I44">
        <v>7.162692209318576E-2</v>
      </c>
      <c r="J44" t="s">
        <v>6</v>
      </c>
      <c r="L44" t="s">
        <v>710</v>
      </c>
      <c r="M44" t="s">
        <v>17</v>
      </c>
      <c r="N44">
        <v>6.8697836519969496E-2</v>
      </c>
      <c r="O44" t="s">
        <v>6</v>
      </c>
    </row>
    <row r="45" spans="2:15" x14ac:dyDescent="0.45">
      <c r="B45" t="s">
        <v>708</v>
      </c>
      <c r="C45" t="s">
        <v>18</v>
      </c>
      <c r="D45">
        <v>0.19878696610726795</v>
      </c>
      <c r="E45" t="s">
        <v>6</v>
      </c>
      <c r="G45" t="s">
        <v>709</v>
      </c>
      <c r="H45" t="s">
        <v>18</v>
      </c>
      <c r="I45">
        <v>7.4285598827688287E-2</v>
      </c>
      <c r="J45" t="s">
        <v>6</v>
      </c>
      <c r="L45" t="s">
        <v>710</v>
      </c>
      <c r="M45" t="s">
        <v>18</v>
      </c>
      <c r="N45">
        <v>7.9659720023972994E-2</v>
      </c>
      <c r="O45" t="s">
        <v>6</v>
      </c>
    </row>
    <row r="46" spans="2:15" x14ac:dyDescent="0.45">
      <c r="B46" t="s">
        <v>708</v>
      </c>
      <c r="C46" t="s">
        <v>19</v>
      </c>
      <c r="D46">
        <v>8.782286135038472E-3</v>
      </c>
      <c r="E46" t="s">
        <v>6</v>
      </c>
      <c r="G46" t="s">
        <v>709</v>
      </c>
      <c r="H46" t="s">
        <v>19</v>
      </c>
      <c r="I46">
        <v>6.0213320606660049E-2</v>
      </c>
      <c r="J46" t="s">
        <v>6</v>
      </c>
      <c r="L46" t="s">
        <v>710</v>
      </c>
      <c r="M46" t="s">
        <v>19</v>
      </c>
      <c r="N46">
        <v>5.4729995395928217E-2</v>
      </c>
      <c r="O46" t="s">
        <v>6</v>
      </c>
    </row>
    <row r="47" spans="2:15" x14ac:dyDescent="0.45">
      <c r="B47" t="s">
        <v>711</v>
      </c>
      <c r="C47" t="s">
        <v>5</v>
      </c>
      <c r="D47">
        <v>0</v>
      </c>
      <c r="E47" t="s">
        <v>6</v>
      </c>
      <c r="G47" t="s">
        <v>712</v>
      </c>
      <c r="H47" t="s">
        <v>5</v>
      </c>
      <c r="I47">
        <v>0.11955095966159836</v>
      </c>
      <c r="J47" t="s">
        <v>6</v>
      </c>
      <c r="L47" t="s">
        <v>713</v>
      </c>
      <c r="M47" t="s">
        <v>5</v>
      </c>
      <c r="N47">
        <v>0.12201464827482701</v>
      </c>
      <c r="O47" t="s">
        <v>6</v>
      </c>
    </row>
    <row r="48" spans="2:15" x14ac:dyDescent="0.45">
      <c r="B48" t="s">
        <v>711</v>
      </c>
      <c r="C48" t="s">
        <v>9</v>
      </c>
      <c r="D48">
        <v>0.13985779102784168</v>
      </c>
      <c r="E48" t="s">
        <v>6</v>
      </c>
      <c r="G48" t="s">
        <v>712</v>
      </c>
      <c r="H48" t="s">
        <v>9</v>
      </c>
      <c r="I48">
        <v>0.1349769304025305</v>
      </c>
      <c r="J48" t="s">
        <v>6</v>
      </c>
      <c r="L48" t="s">
        <v>713</v>
      </c>
      <c r="M48" t="s">
        <v>9</v>
      </c>
      <c r="N48">
        <v>0.14920209413793498</v>
      </c>
      <c r="O48" t="s">
        <v>6</v>
      </c>
    </row>
    <row r="49" spans="2:15" x14ac:dyDescent="0.45">
      <c r="B49" t="s">
        <v>711</v>
      </c>
      <c r="C49" t="s">
        <v>10</v>
      </c>
      <c r="D49">
        <v>7.6676827901450686E-3</v>
      </c>
      <c r="E49" t="s">
        <v>6</v>
      </c>
      <c r="G49" t="s">
        <v>712</v>
      </c>
      <c r="H49" t="s">
        <v>10</v>
      </c>
      <c r="I49">
        <v>8.5409769725014961E-2</v>
      </c>
      <c r="J49" t="s">
        <v>6</v>
      </c>
      <c r="L49" t="s">
        <v>713</v>
      </c>
      <c r="M49" t="s">
        <v>10</v>
      </c>
      <c r="N49">
        <v>8.6924722497429718E-2</v>
      </c>
      <c r="O49" t="s">
        <v>6</v>
      </c>
    </row>
    <row r="50" spans="2:15" x14ac:dyDescent="0.45">
      <c r="B50" t="s">
        <v>711</v>
      </c>
      <c r="C50" t="s">
        <v>11</v>
      </c>
      <c r="D50">
        <v>8.8385122796013986E-5</v>
      </c>
      <c r="E50" t="s">
        <v>6</v>
      </c>
      <c r="G50" t="s">
        <v>712</v>
      </c>
      <c r="H50" t="s">
        <v>11</v>
      </c>
      <c r="I50">
        <v>9.4578895586187331E-2</v>
      </c>
      <c r="J50" t="s">
        <v>6</v>
      </c>
      <c r="L50" t="s">
        <v>713</v>
      </c>
      <c r="M50" t="s">
        <v>11</v>
      </c>
      <c r="N50">
        <v>0.11051105265170913</v>
      </c>
      <c r="O50" t="s">
        <v>6</v>
      </c>
    </row>
    <row r="51" spans="2:15" x14ac:dyDescent="0.45">
      <c r="B51" t="s">
        <v>711</v>
      </c>
      <c r="C51" t="s">
        <v>12</v>
      </c>
      <c r="D51">
        <v>0.24588202549856653</v>
      </c>
      <c r="E51" t="s">
        <v>6</v>
      </c>
      <c r="G51" t="s">
        <v>712</v>
      </c>
      <c r="H51" t="s">
        <v>12</v>
      </c>
      <c r="I51">
        <v>0.13228004021517181</v>
      </c>
      <c r="J51" t="s">
        <v>6</v>
      </c>
      <c r="L51" t="s">
        <v>713</v>
      </c>
      <c r="M51" t="s">
        <v>12</v>
      </c>
      <c r="N51">
        <v>0.13131777737951189</v>
      </c>
      <c r="O51" t="s">
        <v>6</v>
      </c>
    </row>
    <row r="52" spans="2:15" x14ac:dyDescent="0.45">
      <c r="B52" t="s">
        <v>711</v>
      </c>
      <c r="C52" t="s">
        <v>13</v>
      </c>
      <c r="D52">
        <v>2.8909347839940595E-2</v>
      </c>
      <c r="E52" t="s">
        <v>6</v>
      </c>
      <c r="G52" t="s">
        <v>712</v>
      </c>
      <c r="H52" t="s">
        <v>13</v>
      </c>
      <c r="I52">
        <v>0.10254521977485141</v>
      </c>
      <c r="J52" t="s">
        <v>6</v>
      </c>
      <c r="L52" t="s">
        <v>713</v>
      </c>
      <c r="M52" t="s">
        <v>13</v>
      </c>
      <c r="N52">
        <v>8.4986222499517081E-2</v>
      </c>
      <c r="O52" t="s">
        <v>6</v>
      </c>
    </row>
    <row r="53" spans="2:15" x14ac:dyDescent="0.45">
      <c r="B53" t="s">
        <v>711</v>
      </c>
      <c r="C53" t="s">
        <v>14</v>
      </c>
      <c r="D53">
        <v>2.7346657909008555E-4</v>
      </c>
      <c r="E53" t="s">
        <v>6</v>
      </c>
      <c r="G53" t="s">
        <v>712</v>
      </c>
      <c r="H53" t="s">
        <v>14</v>
      </c>
      <c r="I53">
        <v>4.8692981785206819E-2</v>
      </c>
      <c r="J53" t="s">
        <v>6</v>
      </c>
      <c r="L53" t="s">
        <v>713</v>
      </c>
      <c r="M53" t="s">
        <v>14</v>
      </c>
      <c r="N53">
        <v>3.465638961450667E-2</v>
      </c>
      <c r="O53" t="s">
        <v>6</v>
      </c>
    </row>
    <row r="54" spans="2:15" x14ac:dyDescent="0.45">
      <c r="B54" t="s">
        <v>711</v>
      </c>
      <c r="C54" t="s">
        <v>15</v>
      </c>
      <c r="D54">
        <v>0.31361064352431922</v>
      </c>
      <c r="E54" t="s">
        <v>6</v>
      </c>
      <c r="G54" t="s">
        <v>712</v>
      </c>
      <c r="H54" t="s">
        <v>15</v>
      </c>
      <c r="I54">
        <v>4.2495330822212012E-2</v>
      </c>
      <c r="J54" t="s">
        <v>6</v>
      </c>
      <c r="L54" t="s">
        <v>713</v>
      </c>
      <c r="M54" t="s">
        <v>15</v>
      </c>
      <c r="N54">
        <v>4.2821486617803418E-2</v>
      </c>
      <c r="O54" t="s">
        <v>6</v>
      </c>
    </row>
    <row r="55" spans="2:15" x14ac:dyDescent="0.45">
      <c r="B55" t="s">
        <v>711</v>
      </c>
      <c r="C55" t="s">
        <v>16</v>
      </c>
      <c r="D55">
        <v>4.3323055118957926E-2</v>
      </c>
      <c r="E55" t="s">
        <v>6</v>
      </c>
      <c r="G55" t="s">
        <v>712</v>
      </c>
      <c r="H55" t="s">
        <v>16</v>
      </c>
      <c r="I55">
        <v>6.5722306442671768E-2</v>
      </c>
      <c r="J55" t="s">
        <v>6</v>
      </c>
      <c r="L55" t="s">
        <v>713</v>
      </c>
      <c r="M55" t="s">
        <v>16</v>
      </c>
      <c r="N55">
        <v>2.6300336219000749E-2</v>
      </c>
      <c r="O55" t="s">
        <v>6</v>
      </c>
    </row>
    <row r="56" spans="2:15" x14ac:dyDescent="0.45">
      <c r="B56" t="s">
        <v>711</v>
      </c>
      <c r="C56" t="s">
        <v>17</v>
      </c>
      <c r="D56">
        <v>0</v>
      </c>
      <c r="E56" t="s">
        <v>6</v>
      </c>
      <c r="G56" t="s">
        <v>712</v>
      </c>
      <c r="H56" t="s">
        <v>17</v>
      </c>
      <c r="I56">
        <v>5.3915589535864825E-2</v>
      </c>
      <c r="J56" t="s">
        <v>6</v>
      </c>
      <c r="L56" t="s">
        <v>713</v>
      </c>
      <c r="M56" t="s">
        <v>17</v>
      </c>
      <c r="N56">
        <v>7.4232715610078229E-2</v>
      </c>
      <c r="O56" t="s">
        <v>6</v>
      </c>
    </row>
    <row r="57" spans="2:15" x14ac:dyDescent="0.45">
      <c r="B57" t="s">
        <v>711</v>
      </c>
      <c r="C57" t="s">
        <v>18</v>
      </c>
      <c r="D57">
        <v>0.20653276511017318</v>
      </c>
      <c r="E57" t="s">
        <v>6</v>
      </c>
      <c r="G57" t="s">
        <v>712</v>
      </c>
      <c r="H57" t="s">
        <v>18</v>
      </c>
      <c r="I57">
        <v>6.1865067171407599E-2</v>
      </c>
      <c r="J57" t="s">
        <v>6</v>
      </c>
      <c r="L57" t="s">
        <v>713</v>
      </c>
      <c r="M57" t="s">
        <v>18</v>
      </c>
      <c r="N57">
        <v>8.4622587499921742E-2</v>
      </c>
      <c r="O57" t="s">
        <v>6</v>
      </c>
    </row>
    <row r="58" spans="2:15" x14ac:dyDescent="0.45">
      <c r="B58" t="s">
        <v>711</v>
      </c>
      <c r="C58" t="s">
        <v>19</v>
      </c>
      <c r="D58">
        <v>1.3854837388169962E-2</v>
      </c>
      <c r="E58" t="s">
        <v>6</v>
      </c>
      <c r="G58" t="s">
        <v>712</v>
      </c>
      <c r="H58" t="s">
        <v>19</v>
      </c>
      <c r="I58">
        <v>5.7966908877282036E-2</v>
      </c>
      <c r="J58" t="s">
        <v>6</v>
      </c>
      <c r="L58" t="s">
        <v>713</v>
      </c>
      <c r="M58" t="s">
        <v>19</v>
      </c>
      <c r="N58">
        <v>5.2409966997759003E-2</v>
      </c>
      <c r="O58" t="s">
        <v>6</v>
      </c>
    </row>
    <row r="59" spans="2:15" x14ac:dyDescent="0.45">
      <c r="B59" t="s">
        <v>714</v>
      </c>
      <c r="C59" t="s">
        <v>5</v>
      </c>
      <c r="D59">
        <v>0</v>
      </c>
      <c r="E59" t="s">
        <v>6</v>
      </c>
      <c r="G59" t="s">
        <v>715</v>
      </c>
      <c r="H59" t="s">
        <v>5</v>
      </c>
      <c r="I59">
        <v>0.11540530834494241</v>
      </c>
      <c r="J59" t="s">
        <v>6</v>
      </c>
      <c r="L59" t="s">
        <v>716</v>
      </c>
      <c r="M59" t="s">
        <v>5</v>
      </c>
      <c r="N59">
        <v>9.136874837211649E-2</v>
      </c>
      <c r="O59" t="s">
        <v>6</v>
      </c>
    </row>
    <row r="60" spans="2:15" x14ac:dyDescent="0.45">
      <c r="B60" t="s">
        <v>714</v>
      </c>
      <c r="C60" t="s">
        <v>9</v>
      </c>
      <c r="D60">
        <v>0.16869279301185075</v>
      </c>
      <c r="E60" t="s">
        <v>6</v>
      </c>
      <c r="G60" t="s">
        <v>715</v>
      </c>
      <c r="H60" t="s">
        <v>9</v>
      </c>
      <c r="I60">
        <v>0.12851376845398838</v>
      </c>
      <c r="J60" t="s">
        <v>6</v>
      </c>
      <c r="L60" t="s">
        <v>716</v>
      </c>
      <c r="M60" t="s">
        <v>9</v>
      </c>
      <c r="N60">
        <v>0.10959249143490252</v>
      </c>
      <c r="O60" t="s">
        <v>6</v>
      </c>
    </row>
    <row r="61" spans="2:15" x14ac:dyDescent="0.45">
      <c r="B61" t="s">
        <v>714</v>
      </c>
      <c r="C61" t="s">
        <v>10</v>
      </c>
      <c r="D61">
        <v>6.8183846247717164E-3</v>
      </c>
      <c r="E61" t="s">
        <v>6</v>
      </c>
      <c r="G61" t="s">
        <v>715</v>
      </c>
      <c r="H61" t="s">
        <v>10</v>
      </c>
      <c r="I61">
        <v>8.8102497744459551E-2</v>
      </c>
      <c r="J61" t="s">
        <v>6</v>
      </c>
      <c r="L61" t="s">
        <v>716</v>
      </c>
      <c r="M61" t="s">
        <v>10</v>
      </c>
      <c r="N61">
        <v>7.0809664823553456E-2</v>
      </c>
      <c r="O61" t="s">
        <v>6</v>
      </c>
    </row>
    <row r="62" spans="2:15" x14ac:dyDescent="0.45">
      <c r="B62" t="s">
        <v>714</v>
      </c>
      <c r="C62" t="s">
        <v>11</v>
      </c>
      <c r="D62">
        <v>2.3463116114815836E-4</v>
      </c>
      <c r="E62" t="s">
        <v>6</v>
      </c>
      <c r="G62" t="s">
        <v>715</v>
      </c>
      <c r="H62" t="s">
        <v>11</v>
      </c>
      <c r="I62">
        <v>0.10598180753605334</v>
      </c>
      <c r="J62" t="s">
        <v>6</v>
      </c>
      <c r="L62" t="s">
        <v>716</v>
      </c>
      <c r="M62" t="s">
        <v>11</v>
      </c>
      <c r="N62">
        <v>8.5447115321876183E-2</v>
      </c>
      <c r="O62" t="s">
        <v>6</v>
      </c>
    </row>
    <row r="63" spans="2:15" x14ac:dyDescent="0.45">
      <c r="B63" t="s">
        <v>714</v>
      </c>
      <c r="C63" t="s">
        <v>12</v>
      </c>
      <c r="D63">
        <v>0.2421439534012223</v>
      </c>
      <c r="E63" t="s">
        <v>6</v>
      </c>
      <c r="G63" t="s">
        <v>715</v>
      </c>
      <c r="H63" t="s">
        <v>12</v>
      </c>
      <c r="I63">
        <v>0.12917806010191371</v>
      </c>
      <c r="J63" t="s">
        <v>6</v>
      </c>
      <c r="L63" t="s">
        <v>716</v>
      </c>
      <c r="M63" t="s">
        <v>12</v>
      </c>
      <c r="N63">
        <v>0.10259972047877799</v>
      </c>
      <c r="O63" t="s">
        <v>6</v>
      </c>
    </row>
    <row r="64" spans="2:15" x14ac:dyDescent="0.45">
      <c r="B64" t="s">
        <v>714</v>
      </c>
      <c r="C64" t="s">
        <v>13</v>
      </c>
      <c r="D64">
        <v>2.0482322525004829E-2</v>
      </c>
      <c r="E64" t="s">
        <v>6</v>
      </c>
      <c r="G64" t="s">
        <v>715</v>
      </c>
      <c r="H64" t="s">
        <v>13</v>
      </c>
      <c r="I64">
        <v>9.0771433218627059E-2</v>
      </c>
      <c r="J64" t="s">
        <v>6</v>
      </c>
      <c r="L64" t="s">
        <v>716</v>
      </c>
      <c r="M64" t="s">
        <v>13</v>
      </c>
      <c r="N64">
        <v>6.5576467023255175E-2</v>
      </c>
      <c r="O64" t="s">
        <v>6</v>
      </c>
    </row>
    <row r="65" spans="2:15" x14ac:dyDescent="0.45">
      <c r="B65" t="s">
        <v>714</v>
      </c>
      <c r="C65" t="s">
        <v>14</v>
      </c>
      <c r="D65">
        <v>6.1944338972282716E-4</v>
      </c>
      <c r="E65" t="s">
        <v>6</v>
      </c>
      <c r="G65" t="s">
        <v>715</v>
      </c>
      <c r="H65" t="s">
        <v>14</v>
      </c>
      <c r="I65">
        <v>7.4382322254836E-2</v>
      </c>
      <c r="J65" t="s">
        <v>6</v>
      </c>
      <c r="L65" t="s">
        <v>716</v>
      </c>
      <c r="M65" t="s">
        <v>14</v>
      </c>
      <c r="N65">
        <v>6.6122911736146553E-2</v>
      </c>
      <c r="O65" t="s">
        <v>6</v>
      </c>
    </row>
    <row r="66" spans="2:15" x14ac:dyDescent="0.45">
      <c r="B66" t="s">
        <v>714</v>
      </c>
      <c r="C66" t="s">
        <v>15</v>
      </c>
      <c r="D66">
        <v>0.30227431175574071</v>
      </c>
      <c r="E66" t="s">
        <v>6</v>
      </c>
      <c r="G66" t="s">
        <v>715</v>
      </c>
      <c r="H66" t="s">
        <v>15</v>
      </c>
      <c r="I66">
        <v>3.5761610211284406E-2</v>
      </c>
      <c r="J66" t="s">
        <v>6</v>
      </c>
      <c r="L66" t="s">
        <v>716</v>
      </c>
      <c r="M66" t="s">
        <v>15</v>
      </c>
      <c r="N66">
        <v>7.7598009835991438E-2</v>
      </c>
      <c r="O66" t="s">
        <v>6</v>
      </c>
    </row>
    <row r="67" spans="2:15" x14ac:dyDescent="0.45">
      <c r="B67" t="s">
        <v>714</v>
      </c>
      <c r="C67" t="s">
        <v>16</v>
      </c>
      <c r="D67">
        <v>2.9871447185257551E-2</v>
      </c>
      <c r="E67" t="s">
        <v>6</v>
      </c>
      <c r="G67" t="s">
        <v>715</v>
      </c>
      <c r="H67" t="s">
        <v>16</v>
      </c>
      <c r="I67">
        <v>4.5334533696557537E-2</v>
      </c>
      <c r="J67" t="s">
        <v>6</v>
      </c>
      <c r="L67" t="s">
        <v>716</v>
      </c>
      <c r="M67" t="s">
        <v>16</v>
      </c>
      <c r="N67">
        <v>5.2575464647298037E-2</v>
      </c>
      <c r="O67" t="s">
        <v>6</v>
      </c>
    </row>
    <row r="68" spans="2:15" x14ac:dyDescent="0.45">
      <c r="B68" t="s">
        <v>714</v>
      </c>
      <c r="C68" t="s">
        <v>17</v>
      </c>
      <c r="D68">
        <v>0</v>
      </c>
      <c r="E68" t="s">
        <v>6</v>
      </c>
      <c r="G68" t="s">
        <v>715</v>
      </c>
      <c r="H68" t="s">
        <v>17</v>
      </c>
      <c r="I68">
        <v>6.9358145283552095E-2</v>
      </c>
      <c r="J68" t="s">
        <v>6</v>
      </c>
      <c r="L68" t="s">
        <v>716</v>
      </c>
      <c r="M68" t="s">
        <v>17</v>
      </c>
      <c r="N68">
        <v>9.6614582325106335E-2</v>
      </c>
      <c r="O68" t="s">
        <v>6</v>
      </c>
    </row>
    <row r="69" spans="2:15" x14ac:dyDescent="0.45">
      <c r="B69" t="s">
        <v>714</v>
      </c>
      <c r="C69" t="s">
        <v>18</v>
      </c>
      <c r="D69">
        <v>0.21869163886357865</v>
      </c>
      <c r="E69" t="s">
        <v>6</v>
      </c>
      <c r="G69" t="s">
        <v>715</v>
      </c>
      <c r="H69" t="s">
        <v>18</v>
      </c>
      <c r="I69">
        <v>6.3363164504521202E-2</v>
      </c>
      <c r="J69" t="s">
        <v>6</v>
      </c>
      <c r="L69" t="s">
        <v>716</v>
      </c>
      <c r="M69" t="s">
        <v>18</v>
      </c>
      <c r="N69">
        <v>0.10978978646442165</v>
      </c>
      <c r="O69" t="s">
        <v>6</v>
      </c>
    </row>
    <row r="70" spans="2:15" x14ac:dyDescent="0.45">
      <c r="B70" t="s">
        <v>714</v>
      </c>
      <c r="C70" t="s">
        <v>19</v>
      </c>
      <c r="D70">
        <v>1.0171074081700726E-2</v>
      </c>
      <c r="E70" t="s">
        <v>6</v>
      </c>
      <c r="G70" t="s">
        <v>715</v>
      </c>
      <c r="H70" t="s">
        <v>19</v>
      </c>
      <c r="I70">
        <v>5.3847348649263521E-2</v>
      </c>
      <c r="J70" t="s">
        <v>6</v>
      </c>
      <c r="L70" t="s">
        <v>716</v>
      </c>
      <c r="M70" t="s">
        <v>19</v>
      </c>
      <c r="N70">
        <v>7.1905037536554736E-2</v>
      </c>
      <c r="O70" t="s">
        <v>6</v>
      </c>
    </row>
    <row r="71" spans="2:15" x14ac:dyDescent="0.45">
      <c r="B71" t="s">
        <v>717</v>
      </c>
      <c r="C71" t="s">
        <v>5</v>
      </c>
      <c r="D71">
        <v>0</v>
      </c>
      <c r="E71" t="s">
        <v>6</v>
      </c>
      <c r="G71" t="s">
        <v>718</v>
      </c>
      <c r="H71" t="s">
        <v>5</v>
      </c>
      <c r="I71">
        <v>0.10998348098225791</v>
      </c>
      <c r="J71" t="s">
        <v>6</v>
      </c>
      <c r="L71" t="s">
        <v>719</v>
      </c>
      <c r="M71" t="s">
        <v>5</v>
      </c>
      <c r="N71">
        <v>0.11034691546078315</v>
      </c>
      <c r="O71" t="s">
        <v>6</v>
      </c>
    </row>
    <row r="72" spans="2:15" x14ac:dyDescent="0.45">
      <c r="B72" t="s">
        <v>717</v>
      </c>
      <c r="C72" t="s">
        <v>9</v>
      </c>
      <c r="D72">
        <v>0.15778592987437448</v>
      </c>
      <c r="E72" t="s">
        <v>6</v>
      </c>
      <c r="G72" t="s">
        <v>718</v>
      </c>
      <c r="H72" t="s">
        <v>9</v>
      </c>
      <c r="I72">
        <v>0.12916170350198969</v>
      </c>
      <c r="J72" t="s">
        <v>6</v>
      </c>
      <c r="L72" t="s">
        <v>719</v>
      </c>
      <c r="M72" t="s">
        <v>9</v>
      </c>
      <c r="N72">
        <v>0.138694041883966</v>
      </c>
      <c r="O72" t="s">
        <v>6</v>
      </c>
    </row>
    <row r="73" spans="2:15" x14ac:dyDescent="0.45">
      <c r="B73" t="s">
        <v>717</v>
      </c>
      <c r="C73" t="s">
        <v>10</v>
      </c>
      <c r="D73">
        <v>7.4740617678488884E-3</v>
      </c>
      <c r="E73" t="s">
        <v>6</v>
      </c>
      <c r="G73" t="s">
        <v>718</v>
      </c>
      <c r="H73" t="s">
        <v>10</v>
      </c>
      <c r="I73">
        <v>9.0544236849074644E-2</v>
      </c>
      <c r="J73" t="s">
        <v>6</v>
      </c>
      <c r="L73" t="s">
        <v>719</v>
      </c>
      <c r="M73" t="s">
        <v>10</v>
      </c>
      <c r="N73">
        <v>8.8713117709395314E-2</v>
      </c>
      <c r="O73" t="s">
        <v>6</v>
      </c>
    </row>
    <row r="74" spans="2:15" x14ac:dyDescent="0.45">
      <c r="B74" t="s">
        <v>717</v>
      </c>
      <c r="C74" t="s">
        <v>11</v>
      </c>
      <c r="D74">
        <v>1.7938334904899929E-4</v>
      </c>
      <c r="E74" t="s">
        <v>6</v>
      </c>
      <c r="G74" t="s">
        <v>718</v>
      </c>
      <c r="H74" t="s">
        <v>11</v>
      </c>
      <c r="I74">
        <v>9.775163922991939E-2</v>
      </c>
      <c r="J74" t="s">
        <v>6</v>
      </c>
      <c r="L74" t="s">
        <v>719</v>
      </c>
      <c r="M74" t="s">
        <v>11</v>
      </c>
      <c r="N74">
        <v>9.4194930571393304E-2</v>
      </c>
      <c r="O74" t="s">
        <v>6</v>
      </c>
    </row>
    <row r="75" spans="2:15" x14ac:dyDescent="0.45">
      <c r="B75" t="s">
        <v>717</v>
      </c>
      <c r="C75" t="s">
        <v>12</v>
      </c>
      <c r="D75">
        <v>0.2397632718101928</v>
      </c>
      <c r="E75" t="s">
        <v>6</v>
      </c>
      <c r="G75" t="s">
        <v>718</v>
      </c>
      <c r="H75" t="s">
        <v>12</v>
      </c>
      <c r="I75">
        <v>0.14265570200768171</v>
      </c>
      <c r="J75" t="s">
        <v>6</v>
      </c>
      <c r="L75" t="s">
        <v>719</v>
      </c>
      <c r="M75" t="s">
        <v>12</v>
      </c>
      <c r="N75">
        <v>0.15216194986971371</v>
      </c>
      <c r="O75" t="s">
        <v>6</v>
      </c>
    </row>
    <row r="76" spans="2:15" x14ac:dyDescent="0.45">
      <c r="B76" t="s">
        <v>717</v>
      </c>
      <c r="C76" t="s">
        <v>13</v>
      </c>
      <c r="D76">
        <v>2.2170188798282021E-2</v>
      </c>
      <c r="E76" t="s">
        <v>6</v>
      </c>
      <c r="G76" t="s">
        <v>718</v>
      </c>
      <c r="H76" t="s">
        <v>13</v>
      </c>
      <c r="I76">
        <v>9.385403345981512E-2</v>
      </c>
      <c r="J76" t="s">
        <v>6</v>
      </c>
      <c r="L76" t="s">
        <v>719</v>
      </c>
      <c r="M76" t="s">
        <v>13</v>
      </c>
      <c r="N76">
        <v>8.0396084653424973E-2</v>
      </c>
      <c r="O76" t="s">
        <v>6</v>
      </c>
    </row>
    <row r="77" spans="2:15" x14ac:dyDescent="0.45">
      <c r="B77" t="s">
        <v>717</v>
      </c>
      <c r="C77" t="s">
        <v>14</v>
      </c>
      <c r="D77">
        <v>5.1523977301814474E-4</v>
      </c>
      <c r="E77" t="s">
        <v>6</v>
      </c>
      <c r="G77" t="s">
        <v>718</v>
      </c>
      <c r="H77" t="s">
        <v>14</v>
      </c>
      <c r="I77">
        <v>7.412087811381686E-2</v>
      </c>
      <c r="J77" t="s">
        <v>6</v>
      </c>
      <c r="L77" t="s">
        <v>719</v>
      </c>
      <c r="M77" t="s">
        <v>14</v>
      </c>
      <c r="N77">
        <v>2.3525864759473214E-2</v>
      </c>
      <c r="O77" t="s">
        <v>6</v>
      </c>
    </row>
    <row r="78" spans="2:15" x14ac:dyDescent="0.45">
      <c r="B78" t="s">
        <v>717</v>
      </c>
      <c r="C78" t="s">
        <v>15</v>
      </c>
      <c r="D78">
        <v>0.31126786343100266</v>
      </c>
      <c r="E78" t="s">
        <v>6</v>
      </c>
      <c r="G78" t="s">
        <v>718</v>
      </c>
      <c r="H78" t="s">
        <v>15</v>
      </c>
      <c r="I78">
        <v>5.6727621459343402E-2</v>
      </c>
      <c r="J78" t="s">
        <v>6</v>
      </c>
      <c r="L78" t="s">
        <v>719</v>
      </c>
      <c r="M78" t="s">
        <v>15</v>
      </c>
      <c r="N78">
        <v>5.3390435726214706E-2</v>
      </c>
      <c r="O78" t="s">
        <v>6</v>
      </c>
    </row>
    <row r="79" spans="2:15" x14ac:dyDescent="0.45">
      <c r="B79" t="s">
        <v>717</v>
      </c>
      <c r="C79" t="s">
        <v>16</v>
      </c>
      <c r="D79">
        <v>3.4122219502701182E-2</v>
      </c>
      <c r="E79" t="s">
        <v>6</v>
      </c>
      <c r="G79" t="s">
        <v>718</v>
      </c>
      <c r="H79" t="s">
        <v>16</v>
      </c>
      <c r="I79">
        <v>4.6759218484909611E-2</v>
      </c>
      <c r="J79" t="s">
        <v>6</v>
      </c>
      <c r="L79" t="s">
        <v>719</v>
      </c>
      <c r="M79" t="s">
        <v>16</v>
      </c>
      <c r="N79">
        <v>2.4407944785373181E-2</v>
      </c>
      <c r="O79" t="s">
        <v>6</v>
      </c>
    </row>
    <row r="80" spans="2:15" x14ac:dyDescent="0.45">
      <c r="B80" t="s">
        <v>717</v>
      </c>
      <c r="C80" t="s">
        <v>17</v>
      </c>
      <c r="D80">
        <v>0</v>
      </c>
      <c r="E80" t="s">
        <v>6</v>
      </c>
      <c r="G80" t="s">
        <v>718</v>
      </c>
      <c r="H80" t="s">
        <v>17</v>
      </c>
      <c r="I80">
        <v>5.5448387399758541E-2</v>
      </c>
      <c r="J80" t="s">
        <v>6</v>
      </c>
      <c r="L80" t="s">
        <v>719</v>
      </c>
      <c r="M80" t="s">
        <v>17</v>
      </c>
      <c r="N80">
        <v>7.6569316176514121E-2</v>
      </c>
      <c r="O80" t="s">
        <v>6</v>
      </c>
    </row>
    <row r="81" spans="2:15" x14ac:dyDescent="0.45">
      <c r="B81" t="s">
        <v>717</v>
      </c>
      <c r="C81" t="s">
        <v>18</v>
      </c>
      <c r="D81">
        <v>0.21559891975637763</v>
      </c>
      <c r="E81" t="s">
        <v>6</v>
      </c>
      <c r="G81" t="s">
        <v>718</v>
      </c>
      <c r="H81" t="s">
        <v>18</v>
      </c>
      <c r="I81">
        <v>5.9578203565301947E-2</v>
      </c>
      <c r="J81" t="s">
        <v>6</v>
      </c>
      <c r="L81" t="s">
        <v>719</v>
      </c>
      <c r="M81" t="s">
        <v>18</v>
      </c>
      <c r="N81">
        <v>9.2844597509168167E-2</v>
      </c>
      <c r="O81" t="s">
        <v>6</v>
      </c>
    </row>
    <row r="82" spans="2:15" x14ac:dyDescent="0.45">
      <c r="B82" t="s">
        <v>717</v>
      </c>
      <c r="C82" t="s">
        <v>19</v>
      </c>
      <c r="D82">
        <v>1.1122921937152384E-2</v>
      </c>
      <c r="E82" t="s">
        <v>6</v>
      </c>
      <c r="G82" t="s">
        <v>718</v>
      </c>
      <c r="H82" t="s">
        <v>19</v>
      </c>
      <c r="I82">
        <v>4.3414894946134118E-2</v>
      </c>
      <c r="J82" t="s">
        <v>6</v>
      </c>
      <c r="L82" t="s">
        <v>719</v>
      </c>
      <c r="M82" t="s">
        <v>19</v>
      </c>
      <c r="N82">
        <v>6.4754800894581938E-2</v>
      </c>
      <c r="O82" t="s">
        <v>6</v>
      </c>
    </row>
    <row r="83" spans="2:15" x14ac:dyDescent="0.45">
      <c r="B83" t="s">
        <v>720</v>
      </c>
      <c r="C83" t="s">
        <v>5</v>
      </c>
      <c r="D83">
        <v>0</v>
      </c>
      <c r="E83" t="s">
        <v>6</v>
      </c>
      <c r="G83" t="s">
        <v>721</v>
      </c>
      <c r="H83" t="s">
        <v>5</v>
      </c>
      <c r="I83">
        <v>0.12133110401503533</v>
      </c>
      <c r="J83" t="s">
        <v>6</v>
      </c>
      <c r="L83" t="s">
        <v>722</v>
      </c>
      <c r="M83" t="s">
        <v>5</v>
      </c>
      <c r="N83">
        <v>0.11696614445467274</v>
      </c>
      <c r="O83" t="s">
        <v>6</v>
      </c>
    </row>
    <row r="84" spans="2:15" x14ac:dyDescent="0.45">
      <c r="B84" t="s">
        <v>720</v>
      </c>
      <c r="C84" t="s">
        <v>9</v>
      </c>
      <c r="D84">
        <v>0.15819682272178537</v>
      </c>
      <c r="E84" t="s">
        <v>6</v>
      </c>
      <c r="G84" t="s">
        <v>721</v>
      </c>
      <c r="H84" t="s">
        <v>9</v>
      </c>
      <c r="I84">
        <v>0.13349784678208076</v>
      </c>
      <c r="J84" t="s">
        <v>6</v>
      </c>
      <c r="L84" t="s">
        <v>722</v>
      </c>
      <c r="M84" t="s">
        <v>9</v>
      </c>
      <c r="N84">
        <v>0.14353543896066762</v>
      </c>
      <c r="O84" t="s">
        <v>6</v>
      </c>
    </row>
    <row r="85" spans="2:15" x14ac:dyDescent="0.45">
      <c r="B85" t="s">
        <v>720</v>
      </c>
      <c r="C85" t="s">
        <v>10</v>
      </c>
      <c r="D85">
        <v>7.3338956696409018E-3</v>
      </c>
      <c r="E85" t="s">
        <v>6</v>
      </c>
      <c r="G85" t="s">
        <v>721</v>
      </c>
      <c r="H85" t="s">
        <v>10</v>
      </c>
      <c r="I85">
        <v>9.0347032299236574E-2</v>
      </c>
      <c r="J85" t="s">
        <v>6</v>
      </c>
      <c r="L85" t="s">
        <v>722</v>
      </c>
      <c r="M85" t="s">
        <v>10</v>
      </c>
      <c r="N85">
        <v>8.5168471220000597E-2</v>
      </c>
      <c r="O85" t="s">
        <v>6</v>
      </c>
    </row>
    <row r="86" spans="2:15" x14ac:dyDescent="0.45">
      <c r="B86" t="s">
        <v>720</v>
      </c>
      <c r="C86" t="s">
        <v>11</v>
      </c>
      <c r="D86">
        <v>1.9149639710494166E-4</v>
      </c>
      <c r="E86" t="s">
        <v>6</v>
      </c>
      <c r="G86" t="s">
        <v>721</v>
      </c>
      <c r="H86" t="s">
        <v>11</v>
      </c>
      <c r="I86">
        <v>0.10223826286384276</v>
      </c>
      <c r="J86" t="s">
        <v>6</v>
      </c>
      <c r="L86" t="s">
        <v>722</v>
      </c>
      <c r="M86" t="s">
        <v>11</v>
      </c>
      <c r="N86">
        <v>0.10446776935263137</v>
      </c>
      <c r="O86" t="s">
        <v>6</v>
      </c>
    </row>
    <row r="87" spans="2:15" x14ac:dyDescent="0.45">
      <c r="B87" t="s">
        <v>720</v>
      </c>
      <c r="C87" t="s">
        <v>12</v>
      </c>
      <c r="D87">
        <v>0.24747085886577624</v>
      </c>
      <c r="E87" t="s">
        <v>6</v>
      </c>
      <c r="G87" t="s">
        <v>721</v>
      </c>
      <c r="H87" t="s">
        <v>12</v>
      </c>
      <c r="I87">
        <v>0.13535006060876578</v>
      </c>
      <c r="J87" t="s">
        <v>6</v>
      </c>
      <c r="L87" t="s">
        <v>722</v>
      </c>
      <c r="M87" t="s">
        <v>12</v>
      </c>
      <c r="N87">
        <v>0.12950468358309022</v>
      </c>
      <c r="O87" t="s">
        <v>6</v>
      </c>
    </row>
    <row r="88" spans="2:15" x14ac:dyDescent="0.45">
      <c r="B88" t="s">
        <v>720</v>
      </c>
      <c r="C88" t="s">
        <v>13</v>
      </c>
      <c r="D88">
        <v>2.3034707329720933E-2</v>
      </c>
      <c r="E88" t="s">
        <v>6</v>
      </c>
      <c r="G88" t="s">
        <v>721</v>
      </c>
      <c r="H88" t="s">
        <v>13</v>
      </c>
      <c r="I88">
        <v>9.3135842088635734E-2</v>
      </c>
      <c r="J88" t="s">
        <v>6</v>
      </c>
      <c r="L88" t="s">
        <v>722</v>
      </c>
      <c r="M88" t="s">
        <v>13</v>
      </c>
      <c r="N88">
        <v>8.2759464061996219E-2</v>
      </c>
      <c r="O88" t="s">
        <v>6</v>
      </c>
    </row>
    <row r="89" spans="2:15" x14ac:dyDescent="0.45">
      <c r="B89" t="s">
        <v>720</v>
      </c>
      <c r="C89" t="s">
        <v>14</v>
      </c>
      <c r="D89">
        <v>5.4513283143669611E-4</v>
      </c>
      <c r="E89" t="s">
        <v>6</v>
      </c>
      <c r="G89" t="s">
        <v>721</v>
      </c>
      <c r="H89" t="s">
        <v>14</v>
      </c>
      <c r="I89">
        <v>5.1552091532503848E-2</v>
      </c>
      <c r="J89" t="s">
        <v>6</v>
      </c>
      <c r="L89" t="s">
        <v>722</v>
      </c>
      <c r="M89" t="s">
        <v>14</v>
      </c>
      <c r="N89">
        <v>3.2654045698695885E-2</v>
      </c>
      <c r="O89" t="s">
        <v>6</v>
      </c>
    </row>
    <row r="90" spans="2:15" x14ac:dyDescent="0.45">
      <c r="B90" t="s">
        <v>720</v>
      </c>
      <c r="C90" t="s">
        <v>15</v>
      </c>
      <c r="D90">
        <v>0.3111881748953732</v>
      </c>
      <c r="E90" t="s">
        <v>6</v>
      </c>
      <c r="G90" t="s">
        <v>721</v>
      </c>
      <c r="H90" t="s">
        <v>15</v>
      </c>
      <c r="I90">
        <v>3.7553580596744893E-2</v>
      </c>
      <c r="J90" t="s">
        <v>6</v>
      </c>
      <c r="L90" t="s">
        <v>722</v>
      </c>
      <c r="M90" t="s">
        <v>15</v>
      </c>
      <c r="N90">
        <v>4.0675323563815632E-2</v>
      </c>
      <c r="O90" t="s">
        <v>6</v>
      </c>
    </row>
    <row r="91" spans="2:15" x14ac:dyDescent="0.45">
      <c r="B91" t="s">
        <v>720</v>
      </c>
      <c r="C91" t="s">
        <v>16</v>
      </c>
      <c r="D91">
        <v>3.3795356047558123E-2</v>
      </c>
      <c r="E91" t="s">
        <v>6</v>
      </c>
      <c r="G91" t="s">
        <v>721</v>
      </c>
      <c r="H91" t="s">
        <v>16</v>
      </c>
      <c r="I91">
        <v>4.3064129030531591E-2</v>
      </c>
      <c r="J91" t="s">
        <v>6</v>
      </c>
      <c r="L91" t="s">
        <v>722</v>
      </c>
      <c r="M91" t="s">
        <v>16</v>
      </c>
      <c r="N91">
        <v>2.6386348942981724E-2</v>
      </c>
      <c r="O91" t="s">
        <v>6</v>
      </c>
    </row>
    <row r="92" spans="2:15" x14ac:dyDescent="0.45">
      <c r="B92" t="s">
        <v>720</v>
      </c>
      <c r="C92" t="s">
        <v>17</v>
      </c>
      <c r="D92">
        <v>0</v>
      </c>
      <c r="E92" t="s">
        <v>6</v>
      </c>
      <c r="G92" t="s">
        <v>721</v>
      </c>
      <c r="H92" t="s">
        <v>17</v>
      </c>
      <c r="I92">
        <v>6.5601438293504469E-2</v>
      </c>
      <c r="J92" t="s">
        <v>6</v>
      </c>
      <c r="L92" t="s">
        <v>722</v>
      </c>
      <c r="M92" t="s">
        <v>17</v>
      </c>
      <c r="N92">
        <v>8.2831842820972015E-2</v>
      </c>
      <c r="O92" t="s">
        <v>6</v>
      </c>
    </row>
    <row r="93" spans="2:15" x14ac:dyDescent="0.45">
      <c r="B93" t="s">
        <v>720</v>
      </c>
      <c r="C93" t="s">
        <v>18</v>
      </c>
      <c r="D93">
        <v>0.2076236506451844</v>
      </c>
      <c r="E93" t="s">
        <v>6</v>
      </c>
      <c r="G93" t="s">
        <v>721</v>
      </c>
      <c r="H93" t="s">
        <v>18</v>
      </c>
      <c r="I93">
        <v>7.0724948144379324E-2</v>
      </c>
      <c r="J93" t="s">
        <v>6</v>
      </c>
      <c r="L93" t="s">
        <v>722</v>
      </c>
      <c r="M93" t="s">
        <v>18</v>
      </c>
      <c r="N93">
        <v>9.46917092977516E-2</v>
      </c>
      <c r="O93" t="s">
        <v>6</v>
      </c>
    </row>
    <row r="94" spans="2:15" x14ac:dyDescent="0.45">
      <c r="B94" t="s">
        <v>720</v>
      </c>
      <c r="C94" t="s">
        <v>19</v>
      </c>
      <c r="D94">
        <v>1.0619904596419363E-2</v>
      </c>
      <c r="E94" t="s">
        <v>6</v>
      </c>
      <c r="G94" t="s">
        <v>721</v>
      </c>
      <c r="H94" t="s">
        <v>19</v>
      </c>
      <c r="I94">
        <v>5.5603663744742481E-2</v>
      </c>
      <c r="J94" t="s">
        <v>6</v>
      </c>
      <c r="L94" t="s">
        <v>722</v>
      </c>
      <c r="M94" t="s">
        <v>19</v>
      </c>
      <c r="N94">
        <v>6.0358758042722963E-2</v>
      </c>
      <c r="O94" t="s">
        <v>6</v>
      </c>
    </row>
    <row r="95" spans="2:15" x14ac:dyDescent="0.45">
      <c r="B95" t="s">
        <v>723</v>
      </c>
      <c r="C95" t="s">
        <v>5</v>
      </c>
      <c r="D95">
        <v>0</v>
      </c>
      <c r="E95" t="s">
        <v>6</v>
      </c>
      <c r="G95" t="s">
        <v>724</v>
      </c>
      <c r="H95" t="s">
        <v>5</v>
      </c>
      <c r="I95">
        <v>8.4348792380683282E-2</v>
      </c>
      <c r="J95" t="s">
        <v>6</v>
      </c>
      <c r="L95" t="s">
        <v>725</v>
      </c>
      <c r="M95" t="s">
        <v>5</v>
      </c>
      <c r="N95">
        <v>9.8618480214116622E-2</v>
      </c>
      <c r="O95" t="s">
        <v>6</v>
      </c>
    </row>
    <row r="96" spans="2:15" x14ac:dyDescent="0.45">
      <c r="B96" t="s">
        <v>723</v>
      </c>
      <c r="C96" t="s">
        <v>9</v>
      </c>
      <c r="D96">
        <v>0.1492977024255544</v>
      </c>
      <c r="E96" t="s">
        <v>6</v>
      </c>
      <c r="G96" t="s">
        <v>724</v>
      </c>
      <c r="H96" t="s">
        <v>9</v>
      </c>
      <c r="I96">
        <v>0.11023843194686446</v>
      </c>
      <c r="J96" t="s">
        <v>6</v>
      </c>
      <c r="L96" t="s">
        <v>725</v>
      </c>
      <c r="M96" t="s">
        <v>9</v>
      </c>
      <c r="N96">
        <v>0.11291040952077115</v>
      </c>
      <c r="O96" t="s">
        <v>6</v>
      </c>
    </row>
    <row r="97" spans="2:15" x14ac:dyDescent="0.45">
      <c r="B97" t="s">
        <v>723</v>
      </c>
      <c r="C97" t="s">
        <v>10</v>
      </c>
      <c r="D97">
        <v>7.9320035522855489E-3</v>
      </c>
      <c r="E97" t="s">
        <v>6</v>
      </c>
      <c r="G97" t="s">
        <v>724</v>
      </c>
      <c r="H97" t="s">
        <v>10</v>
      </c>
      <c r="I97">
        <v>6.7689296055463394E-2</v>
      </c>
      <c r="J97" t="s">
        <v>6</v>
      </c>
      <c r="L97" t="s">
        <v>725</v>
      </c>
      <c r="M97" t="s">
        <v>10</v>
      </c>
      <c r="N97">
        <v>7.304564164046988E-2</v>
      </c>
      <c r="O97" t="s">
        <v>6</v>
      </c>
    </row>
    <row r="98" spans="2:15" x14ac:dyDescent="0.45">
      <c r="B98" t="s">
        <v>723</v>
      </c>
      <c r="C98" t="s">
        <v>11</v>
      </c>
      <c r="D98">
        <v>1.2212432798818906E-4</v>
      </c>
      <c r="E98" t="s">
        <v>6</v>
      </c>
      <c r="G98" t="s">
        <v>724</v>
      </c>
      <c r="H98" t="s">
        <v>11</v>
      </c>
      <c r="I98">
        <v>8.5821020053633679E-2</v>
      </c>
      <c r="J98" t="s">
        <v>6</v>
      </c>
      <c r="L98" t="s">
        <v>725</v>
      </c>
      <c r="M98" t="s">
        <v>11</v>
      </c>
      <c r="N98">
        <v>9.1069956898586754E-2</v>
      </c>
      <c r="O98" t="s">
        <v>6</v>
      </c>
    </row>
    <row r="99" spans="2:15" x14ac:dyDescent="0.45">
      <c r="B99" t="s">
        <v>723</v>
      </c>
      <c r="C99" t="s">
        <v>12</v>
      </c>
      <c r="D99">
        <v>0.24166140797004407</v>
      </c>
      <c r="E99" t="s">
        <v>6</v>
      </c>
      <c r="G99" t="s">
        <v>724</v>
      </c>
      <c r="H99" t="s">
        <v>12</v>
      </c>
      <c r="I99">
        <v>0.11536423657938837</v>
      </c>
      <c r="J99" t="s">
        <v>6</v>
      </c>
      <c r="L99" t="s">
        <v>725</v>
      </c>
      <c r="M99" t="s">
        <v>12</v>
      </c>
      <c r="N99">
        <v>0.14246327456225968</v>
      </c>
      <c r="O99" t="s">
        <v>6</v>
      </c>
    </row>
    <row r="100" spans="2:15" x14ac:dyDescent="0.45">
      <c r="B100" t="s">
        <v>723</v>
      </c>
      <c r="C100" t="s">
        <v>13</v>
      </c>
      <c r="D100">
        <v>2.5461463217979929E-2</v>
      </c>
      <c r="E100" t="s">
        <v>6</v>
      </c>
      <c r="G100" t="s">
        <v>724</v>
      </c>
      <c r="H100" t="s">
        <v>13</v>
      </c>
      <c r="I100">
        <v>7.6614703488708802E-2</v>
      </c>
      <c r="J100" t="s">
        <v>6</v>
      </c>
      <c r="L100" t="s">
        <v>725</v>
      </c>
      <c r="M100" t="s">
        <v>13</v>
      </c>
      <c r="N100">
        <v>9.3585885712836825E-2</v>
      </c>
      <c r="O100" t="s">
        <v>6</v>
      </c>
    </row>
    <row r="101" spans="2:15" x14ac:dyDescent="0.45">
      <c r="B101" t="s">
        <v>723</v>
      </c>
      <c r="C101" t="s">
        <v>14</v>
      </c>
      <c r="D101">
        <v>3.5638990899704661E-4</v>
      </c>
      <c r="E101" t="s">
        <v>6</v>
      </c>
      <c r="G101" t="s">
        <v>724</v>
      </c>
      <c r="H101" t="s">
        <v>14</v>
      </c>
      <c r="I101">
        <v>5.9711501899322734E-2</v>
      </c>
      <c r="J101" t="s">
        <v>6</v>
      </c>
      <c r="L101" t="s">
        <v>725</v>
      </c>
      <c r="M101" t="s">
        <v>14</v>
      </c>
      <c r="N101">
        <v>3.2636008267256676E-2</v>
      </c>
      <c r="O101" t="s">
        <v>6</v>
      </c>
    </row>
    <row r="102" spans="2:15" x14ac:dyDescent="0.45">
      <c r="B102" t="s">
        <v>723</v>
      </c>
      <c r="C102" t="s">
        <v>15</v>
      </c>
      <c r="D102">
        <v>0.31219342744663953</v>
      </c>
      <c r="E102" t="s">
        <v>6</v>
      </c>
      <c r="G102" t="s">
        <v>724</v>
      </c>
      <c r="H102" t="s">
        <v>15</v>
      </c>
      <c r="I102">
        <v>7.4287126664278891E-2</v>
      </c>
      <c r="J102" t="s">
        <v>6</v>
      </c>
      <c r="L102" t="s">
        <v>725</v>
      </c>
      <c r="M102" t="s">
        <v>15</v>
      </c>
      <c r="N102">
        <v>5.1982341984537751E-2</v>
      </c>
      <c r="O102" t="s">
        <v>6</v>
      </c>
    </row>
    <row r="103" spans="2:15" x14ac:dyDescent="0.45">
      <c r="B103" t="s">
        <v>723</v>
      </c>
      <c r="C103" t="s">
        <v>16</v>
      </c>
      <c r="D103">
        <v>3.7748924048823636E-2</v>
      </c>
      <c r="E103" t="s">
        <v>6</v>
      </c>
      <c r="G103" t="s">
        <v>724</v>
      </c>
      <c r="H103" t="s">
        <v>16</v>
      </c>
      <c r="I103">
        <v>5.8052247520075317E-2</v>
      </c>
      <c r="J103" t="s">
        <v>6</v>
      </c>
      <c r="L103" t="s">
        <v>725</v>
      </c>
      <c r="M103" t="s">
        <v>16</v>
      </c>
      <c r="N103">
        <v>2.9236602212049635E-2</v>
      </c>
      <c r="O103" t="s">
        <v>6</v>
      </c>
    </row>
    <row r="104" spans="2:15" x14ac:dyDescent="0.45">
      <c r="B104" t="s">
        <v>723</v>
      </c>
      <c r="C104" t="s">
        <v>17</v>
      </c>
      <c r="D104">
        <v>0</v>
      </c>
      <c r="E104" t="s">
        <v>6</v>
      </c>
      <c r="G104" t="s">
        <v>724</v>
      </c>
      <c r="H104" t="s">
        <v>17</v>
      </c>
      <c r="I104">
        <v>8.5638271986478262E-2</v>
      </c>
      <c r="J104" t="s">
        <v>6</v>
      </c>
      <c r="L104" t="s">
        <v>725</v>
      </c>
      <c r="M104" t="s">
        <v>17</v>
      </c>
      <c r="N104">
        <v>8.9185454507674622E-2</v>
      </c>
      <c r="O104" t="s">
        <v>6</v>
      </c>
    </row>
    <row r="105" spans="2:15" x14ac:dyDescent="0.45">
      <c r="B105" t="s">
        <v>723</v>
      </c>
      <c r="C105" t="s">
        <v>18</v>
      </c>
      <c r="D105">
        <v>0.21275395532324867</v>
      </c>
      <c r="E105" t="s">
        <v>6</v>
      </c>
      <c r="G105" t="s">
        <v>724</v>
      </c>
      <c r="H105" t="s">
        <v>18</v>
      </c>
      <c r="I105">
        <v>0.11136365797802478</v>
      </c>
      <c r="J105" t="s">
        <v>6</v>
      </c>
      <c r="L105" t="s">
        <v>725</v>
      </c>
      <c r="M105" t="s">
        <v>18</v>
      </c>
      <c r="N105">
        <v>0.10854951321652792</v>
      </c>
      <c r="O105" t="s">
        <v>6</v>
      </c>
    </row>
    <row r="106" spans="2:15" x14ac:dyDescent="0.45">
      <c r="B106" t="s">
        <v>723</v>
      </c>
      <c r="C106" t="s">
        <v>19</v>
      </c>
      <c r="D106">
        <v>1.2472601778441577E-2</v>
      </c>
      <c r="E106" t="s">
        <v>6</v>
      </c>
      <c r="G106" t="s">
        <v>724</v>
      </c>
      <c r="H106" t="s">
        <v>19</v>
      </c>
      <c r="I106">
        <v>7.0870713447080902E-2</v>
      </c>
      <c r="J106" t="s">
        <v>6</v>
      </c>
      <c r="L106" t="s">
        <v>725</v>
      </c>
      <c r="M106" t="s">
        <v>19</v>
      </c>
      <c r="N106">
        <v>7.6716431262912291E-2</v>
      </c>
      <c r="O106" t="s">
        <v>6</v>
      </c>
    </row>
    <row r="107" spans="2:15" x14ac:dyDescent="0.45">
      <c r="B107" t="s">
        <v>726</v>
      </c>
      <c r="C107" t="s">
        <v>5</v>
      </c>
      <c r="D107">
        <v>0</v>
      </c>
      <c r="E107" t="s">
        <v>6</v>
      </c>
      <c r="G107" t="s">
        <v>727</v>
      </c>
      <c r="H107" t="s">
        <v>5</v>
      </c>
      <c r="I107">
        <v>0.11772153259885486</v>
      </c>
      <c r="J107" t="s">
        <v>6</v>
      </c>
      <c r="L107" t="s">
        <v>728</v>
      </c>
      <c r="M107" t="s">
        <v>5</v>
      </c>
      <c r="N107">
        <v>0.10693435280806611</v>
      </c>
      <c r="O107" t="s">
        <v>6</v>
      </c>
    </row>
    <row r="108" spans="2:15" x14ac:dyDescent="0.45">
      <c r="B108" t="s">
        <v>726</v>
      </c>
      <c r="C108" t="s">
        <v>9</v>
      </c>
      <c r="D108">
        <v>0.1549681260597337</v>
      </c>
      <c r="E108" t="s">
        <v>6</v>
      </c>
      <c r="G108" t="s">
        <v>727</v>
      </c>
      <c r="H108" t="s">
        <v>9</v>
      </c>
      <c r="I108">
        <v>0.14734865552396248</v>
      </c>
      <c r="J108" t="s">
        <v>6</v>
      </c>
      <c r="L108" t="s">
        <v>728</v>
      </c>
      <c r="M108" t="s">
        <v>9</v>
      </c>
      <c r="N108">
        <v>0.13051028983842256</v>
      </c>
      <c r="O108" t="s">
        <v>6</v>
      </c>
    </row>
    <row r="109" spans="2:15" x14ac:dyDescent="0.45">
      <c r="B109" t="s">
        <v>726</v>
      </c>
      <c r="C109" t="s">
        <v>10</v>
      </c>
      <c r="D109">
        <v>8.2882485165128219E-3</v>
      </c>
      <c r="E109" t="s">
        <v>6</v>
      </c>
      <c r="G109" t="s">
        <v>727</v>
      </c>
      <c r="H109" t="s">
        <v>10</v>
      </c>
      <c r="I109">
        <v>9.027139953435559E-2</v>
      </c>
      <c r="J109" t="s">
        <v>6</v>
      </c>
      <c r="L109" t="s">
        <v>728</v>
      </c>
      <c r="M109" t="s">
        <v>10</v>
      </c>
      <c r="N109">
        <v>8.0339025391162069E-2</v>
      </c>
      <c r="O109" t="s">
        <v>6</v>
      </c>
    </row>
    <row r="110" spans="2:15" x14ac:dyDescent="0.45">
      <c r="B110" t="s">
        <v>726</v>
      </c>
      <c r="C110" t="s">
        <v>11</v>
      </c>
      <c r="D110">
        <v>1.2775646517085404E-4</v>
      </c>
      <c r="E110" t="s">
        <v>6</v>
      </c>
      <c r="G110" t="s">
        <v>727</v>
      </c>
      <c r="H110" t="s">
        <v>11</v>
      </c>
      <c r="I110">
        <v>7.924779032398277E-2</v>
      </c>
      <c r="J110" t="s">
        <v>6</v>
      </c>
      <c r="L110" t="s">
        <v>728</v>
      </c>
      <c r="M110" t="s">
        <v>11</v>
      </c>
      <c r="N110">
        <v>9.8816706635782639E-2</v>
      </c>
      <c r="O110" t="s">
        <v>6</v>
      </c>
    </row>
    <row r="111" spans="2:15" x14ac:dyDescent="0.45">
      <c r="B111" t="s">
        <v>726</v>
      </c>
      <c r="C111" t="s">
        <v>12</v>
      </c>
      <c r="D111">
        <v>0.23722374319949735</v>
      </c>
      <c r="E111" t="s">
        <v>6</v>
      </c>
      <c r="G111" t="s">
        <v>727</v>
      </c>
      <c r="H111" t="s">
        <v>12</v>
      </c>
      <c r="I111">
        <v>0.13670339502928069</v>
      </c>
      <c r="J111" t="s">
        <v>6</v>
      </c>
      <c r="L111" t="s">
        <v>728</v>
      </c>
      <c r="M111" t="s">
        <v>12</v>
      </c>
      <c r="N111">
        <v>0.11633321330247248</v>
      </c>
      <c r="O111" t="s">
        <v>6</v>
      </c>
    </row>
    <row r="112" spans="2:15" x14ac:dyDescent="0.45">
      <c r="B112" t="s">
        <v>726</v>
      </c>
      <c r="C112" t="s">
        <v>13</v>
      </c>
      <c r="D112">
        <v>2.4362665867176118E-2</v>
      </c>
      <c r="E112" t="s">
        <v>6</v>
      </c>
      <c r="G112" t="s">
        <v>727</v>
      </c>
      <c r="H112" t="s">
        <v>13</v>
      </c>
      <c r="I112">
        <v>7.1588801039357608E-2</v>
      </c>
      <c r="J112" t="s">
        <v>6</v>
      </c>
      <c r="L112" t="s">
        <v>728</v>
      </c>
      <c r="M112" t="s">
        <v>13</v>
      </c>
      <c r="N112">
        <v>6.8758530024802769E-2</v>
      </c>
      <c r="O112" t="s">
        <v>6</v>
      </c>
    </row>
    <row r="113" spans="2:15" x14ac:dyDescent="0.45">
      <c r="B113" t="s">
        <v>726</v>
      </c>
      <c r="C113" t="s">
        <v>14</v>
      </c>
      <c r="D113">
        <v>3.6205941280741479E-4</v>
      </c>
      <c r="E113" t="s">
        <v>6</v>
      </c>
      <c r="G113" t="s">
        <v>727</v>
      </c>
      <c r="H113" t="s">
        <v>14</v>
      </c>
      <c r="I113">
        <v>2.4718498182742188E-2</v>
      </c>
      <c r="J113" t="s">
        <v>6</v>
      </c>
      <c r="L113" t="s">
        <v>728</v>
      </c>
      <c r="M113" t="s">
        <v>14</v>
      </c>
      <c r="N113">
        <v>4.6189579017062783E-2</v>
      </c>
      <c r="O113" t="s">
        <v>6</v>
      </c>
    </row>
    <row r="114" spans="2:15" x14ac:dyDescent="0.45">
      <c r="B114" t="s">
        <v>726</v>
      </c>
      <c r="C114" t="s">
        <v>15</v>
      </c>
      <c r="D114">
        <v>0.30987461398696403</v>
      </c>
      <c r="E114" t="s">
        <v>6</v>
      </c>
      <c r="G114" t="s">
        <v>727</v>
      </c>
      <c r="H114" t="s">
        <v>15</v>
      </c>
      <c r="I114">
        <v>4.7247504415669717E-2</v>
      </c>
      <c r="J114" t="s">
        <v>6</v>
      </c>
      <c r="L114" t="s">
        <v>728</v>
      </c>
      <c r="M114" t="s">
        <v>15</v>
      </c>
      <c r="N114">
        <v>5.5936900654049132E-2</v>
      </c>
      <c r="O114" t="s">
        <v>6</v>
      </c>
    </row>
    <row r="115" spans="2:15" x14ac:dyDescent="0.45">
      <c r="B115" t="s">
        <v>726</v>
      </c>
      <c r="C115" t="s">
        <v>16</v>
      </c>
      <c r="D115">
        <v>3.6940971928611323E-2</v>
      </c>
      <c r="E115" t="s">
        <v>6</v>
      </c>
      <c r="G115" t="s">
        <v>727</v>
      </c>
      <c r="H115" t="s">
        <v>16</v>
      </c>
      <c r="I115">
        <v>3.4622833399506239E-2</v>
      </c>
      <c r="J115" t="s">
        <v>6</v>
      </c>
      <c r="L115" t="s">
        <v>728</v>
      </c>
      <c r="M115" t="s">
        <v>16</v>
      </c>
      <c r="N115">
        <v>2.6445626396803999E-2</v>
      </c>
      <c r="O115" t="s">
        <v>6</v>
      </c>
    </row>
    <row r="116" spans="2:15" x14ac:dyDescent="0.45">
      <c r="B116" t="s">
        <v>726</v>
      </c>
      <c r="C116" t="s">
        <v>17</v>
      </c>
      <c r="D116">
        <v>0</v>
      </c>
      <c r="E116" t="s">
        <v>6</v>
      </c>
      <c r="G116" t="s">
        <v>727</v>
      </c>
      <c r="H116" t="s">
        <v>17</v>
      </c>
      <c r="I116">
        <v>7.2393512370214602E-2</v>
      </c>
      <c r="J116" t="s">
        <v>6</v>
      </c>
      <c r="L116" t="s">
        <v>728</v>
      </c>
      <c r="M116" t="s">
        <v>17</v>
      </c>
      <c r="N116">
        <v>9.1134318061860245E-2</v>
      </c>
      <c r="O116" t="s">
        <v>6</v>
      </c>
    </row>
    <row r="117" spans="2:15" x14ac:dyDescent="0.45">
      <c r="B117" t="s">
        <v>726</v>
      </c>
      <c r="C117" t="s">
        <v>18</v>
      </c>
      <c r="D117">
        <v>0.21571445128558342</v>
      </c>
      <c r="E117" t="s">
        <v>6</v>
      </c>
      <c r="G117" t="s">
        <v>727</v>
      </c>
      <c r="H117" t="s">
        <v>18</v>
      </c>
      <c r="I117">
        <v>0.1163666224399187</v>
      </c>
      <c r="J117" t="s">
        <v>6</v>
      </c>
      <c r="L117" t="s">
        <v>728</v>
      </c>
      <c r="M117" t="s">
        <v>18</v>
      </c>
      <c r="N117">
        <v>0.11355989597533588</v>
      </c>
      <c r="O117" t="s">
        <v>6</v>
      </c>
    </row>
    <row r="118" spans="2:15" x14ac:dyDescent="0.45">
      <c r="B118" t="s">
        <v>726</v>
      </c>
      <c r="C118" t="s">
        <v>19</v>
      </c>
      <c r="D118">
        <v>1.2137363277940816E-2</v>
      </c>
      <c r="E118" t="s">
        <v>6</v>
      </c>
      <c r="G118" t="s">
        <v>727</v>
      </c>
      <c r="H118" t="s">
        <v>19</v>
      </c>
      <c r="I118">
        <v>6.1769455142157814E-2</v>
      </c>
      <c r="J118" t="s">
        <v>6</v>
      </c>
      <c r="L118" t="s">
        <v>728</v>
      </c>
      <c r="M118" t="s">
        <v>19</v>
      </c>
      <c r="N118">
        <v>6.5041561894179284E-2</v>
      </c>
      <c r="O118" t="s">
        <v>6</v>
      </c>
    </row>
    <row r="119" spans="2:15" x14ac:dyDescent="0.45">
      <c r="B119" t="s">
        <v>729</v>
      </c>
      <c r="C119" t="s">
        <v>5</v>
      </c>
      <c r="D119">
        <v>0</v>
      </c>
      <c r="E119" t="s">
        <v>6</v>
      </c>
      <c r="G119" t="s">
        <v>730</v>
      </c>
      <c r="H119" t="s">
        <v>5</v>
      </c>
      <c r="I119">
        <v>0.12116949546229934</v>
      </c>
      <c r="J119" t="s">
        <v>6</v>
      </c>
      <c r="L119" t="s">
        <v>731</v>
      </c>
      <c r="M119" t="s">
        <v>5</v>
      </c>
      <c r="N119">
        <v>0.10770485274397752</v>
      </c>
      <c r="O119" t="s">
        <v>6</v>
      </c>
    </row>
    <row r="120" spans="2:15" x14ac:dyDescent="0.45">
      <c r="B120" t="s">
        <v>729</v>
      </c>
      <c r="C120" t="s">
        <v>9</v>
      </c>
      <c r="D120">
        <v>0.17936536887098406</v>
      </c>
      <c r="E120" t="s">
        <v>6</v>
      </c>
      <c r="G120" t="s">
        <v>730</v>
      </c>
      <c r="H120" t="s">
        <v>9</v>
      </c>
      <c r="I120">
        <v>0.15537372815721079</v>
      </c>
      <c r="J120" t="s">
        <v>6</v>
      </c>
      <c r="L120" t="s">
        <v>731</v>
      </c>
      <c r="M120" t="s">
        <v>9</v>
      </c>
      <c r="N120">
        <v>0.13611840108214224</v>
      </c>
      <c r="O120" t="s">
        <v>6</v>
      </c>
    </row>
    <row r="121" spans="2:15" x14ac:dyDescent="0.45">
      <c r="B121" t="s">
        <v>729</v>
      </c>
      <c r="C121" t="s">
        <v>10</v>
      </c>
      <c r="D121">
        <v>9.6186008501020059E-3</v>
      </c>
      <c r="E121" t="s">
        <v>6</v>
      </c>
      <c r="G121" t="s">
        <v>730</v>
      </c>
      <c r="H121" t="s">
        <v>10</v>
      </c>
      <c r="I121">
        <v>8.730981640147023E-2</v>
      </c>
      <c r="J121" t="s">
        <v>6</v>
      </c>
      <c r="L121" t="s">
        <v>731</v>
      </c>
      <c r="M121" t="s">
        <v>10</v>
      </c>
      <c r="N121">
        <v>7.9612509248370891E-2</v>
      </c>
      <c r="O121" t="s">
        <v>6</v>
      </c>
    </row>
    <row r="122" spans="2:15" x14ac:dyDescent="0.45">
      <c r="B122" t="s">
        <v>729</v>
      </c>
      <c r="C122" t="s">
        <v>11</v>
      </c>
      <c r="D122">
        <v>9.7913981865860775E-5</v>
      </c>
      <c r="E122" t="s">
        <v>6</v>
      </c>
      <c r="G122" t="s">
        <v>730</v>
      </c>
      <c r="H122" t="s">
        <v>11</v>
      </c>
      <c r="I122">
        <v>8.2475251118236906E-2</v>
      </c>
      <c r="J122" t="s">
        <v>6</v>
      </c>
      <c r="L122" t="s">
        <v>731</v>
      </c>
      <c r="M122" t="s">
        <v>11</v>
      </c>
      <c r="N122">
        <v>0.10006092482611779</v>
      </c>
      <c r="O122" t="s">
        <v>6</v>
      </c>
    </row>
    <row r="123" spans="2:15" x14ac:dyDescent="0.45">
      <c r="B123" t="s">
        <v>729</v>
      </c>
      <c r="C123" t="s">
        <v>12</v>
      </c>
      <c r="D123">
        <v>0.23501726793236968</v>
      </c>
      <c r="E123" t="s">
        <v>6</v>
      </c>
      <c r="G123" t="s">
        <v>730</v>
      </c>
      <c r="H123" t="s">
        <v>12</v>
      </c>
      <c r="I123">
        <v>0.14404355532738314</v>
      </c>
      <c r="J123" t="s">
        <v>6</v>
      </c>
      <c r="L123" t="s">
        <v>731</v>
      </c>
      <c r="M123" t="s">
        <v>12</v>
      </c>
      <c r="N123">
        <v>0.12033943628771765</v>
      </c>
      <c r="O123" t="s">
        <v>6</v>
      </c>
    </row>
    <row r="124" spans="2:15" x14ac:dyDescent="0.45">
      <c r="B124" t="s">
        <v>729</v>
      </c>
      <c r="C124" t="s">
        <v>13</v>
      </c>
      <c r="D124">
        <v>2.2005829025381604E-2</v>
      </c>
      <c r="E124" t="s">
        <v>6</v>
      </c>
      <c r="G124" t="s">
        <v>730</v>
      </c>
      <c r="H124" t="s">
        <v>13</v>
      </c>
      <c r="I124">
        <v>6.8632976246028266E-2</v>
      </c>
      <c r="J124" t="s">
        <v>6</v>
      </c>
      <c r="L124" t="s">
        <v>731</v>
      </c>
      <c r="M124" t="s">
        <v>13</v>
      </c>
      <c r="N124">
        <v>7.5907121730930088E-2</v>
      </c>
      <c r="O124" t="s">
        <v>6</v>
      </c>
    </row>
    <row r="125" spans="2:15" x14ac:dyDescent="0.45">
      <c r="B125" t="s">
        <v>729</v>
      </c>
      <c r="C125" t="s">
        <v>14</v>
      </c>
      <c r="D125">
        <v>2.688440812125379E-4</v>
      </c>
      <c r="E125" t="s">
        <v>6</v>
      </c>
      <c r="G125" t="s">
        <v>730</v>
      </c>
      <c r="H125" t="s">
        <v>14</v>
      </c>
      <c r="I125">
        <v>2.0860484665132521E-2</v>
      </c>
      <c r="J125" t="s">
        <v>6</v>
      </c>
      <c r="L125" t="s">
        <v>731</v>
      </c>
      <c r="M125" t="s">
        <v>14</v>
      </c>
      <c r="N125">
        <v>3.4768387986981508E-2</v>
      </c>
      <c r="O125" t="s">
        <v>6</v>
      </c>
    </row>
    <row r="126" spans="2:15" x14ac:dyDescent="0.45">
      <c r="B126" t="s">
        <v>729</v>
      </c>
      <c r="C126" t="s">
        <v>15</v>
      </c>
      <c r="D126">
        <v>0.28353070876963837</v>
      </c>
      <c r="E126" t="s">
        <v>6</v>
      </c>
      <c r="G126" t="s">
        <v>730</v>
      </c>
      <c r="H126" t="s">
        <v>15</v>
      </c>
      <c r="I126">
        <v>4.0284855890046163E-2</v>
      </c>
      <c r="J126" t="s">
        <v>6</v>
      </c>
      <c r="L126" t="s">
        <v>731</v>
      </c>
      <c r="M126" t="s">
        <v>15</v>
      </c>
      <c r="N126">
        <v>5.1600400332946557E-2</v>
      </c>
      <c r="O126" t="s">
        <v>6</v>
      </c>
    </row>
    <row r="127" spans="2:15" x14ac:dyDescent="0.45">
      <c r="B127" t="s">
        <v>729</v>
      </c>
      <c r="C127" t="s">
        <v>16</v>
      </c>
      <c r="D127">
        <v>3.2020448053262408E-2</v>
      </c>
      <c r="E127" t="s">
        <v>6</v>
      </c>
      <c r="G127" t="s">
        <v>730</v>
      </c>
      <c r="H127" t="s">
        <v>16</v>
      </c>
      <c r="I127">
        <v>2.8691078610548957E-2</v>
      </c>
      <c r="J127" t="s">
        <v>6</v>
      </c>
      <c r="L127" t="s">
        <v>731</v>
      </c>
      <c r="M127" t="s">
        <v>16</v>
      </c>
      <c r="N127">
        <v>2.4593769325160938E-2</v>
      </c>
      <c r="O127" t="s">
        <v>6</v>
      </c>
    </row>
    <row r="128" spans="2:15" x14ac:dyDescent="0.45">
      <c r="B128" t="s">
        <v>729</v>
      </c>
      <c r="C128" t="s">
        <v>17</v>
      </c>
      <c r="D128">
        <v>0</v>
      </c>
      <c r="E128" t="s">
        <v>6</v>
      </c>
      <c r="G128" t="s">
        <v>730</v>
      </c>
      <c r="H128" t="s">
        <v>17</v>
      </c>
      <c r="I128">
        <v>7.7520041027369438E-2</v>
      </c>
      <c r="J128" t="s">
        <v>6</v>
      </c>
      <c r="L128" t="s">
        <v>731</v>
      </c>
      <c r="M128" t="s">
        <v>17</v>
      </c>
      <c r="N128">
        <v>8.8336304843827498E-2</v>
      </c>
      <c r="O128" t="s">
        <v>6</v>
      </c>
    </row>
    <row r="129" spans="2:15" x14ac:dyDescent="0.45">
      <c r="B129" t="s">
        <v>729</v>
      </c>
      <c r="C129" t="s">
        <v>18</v>
      </c>
      <c r="D129">
        <v>0.22630434451633949</v>
      </c>
      <c r="E129" t="s">
        <v>6</v>
      </c>
      <c r="G129" t="s">
        <v>730</v>
      </c>
      <c r="H129" t="s">
        <v>18</v>
      </c>
      <c r="I129">
        <v>0.11520209000910644</v>
      </c>
      <c r="J129" t="s">
        <v>6</v>
      </c>
      <c r="L129" t="s">
        <v>731</v>
      </c>
      <c r="M129" t="s">
        <v>18</v>
      </c>
      <c r="N129">
        <v>0.11407746749744421</v>
      </c>
      <c r="O129" t="s">
        <v>6</v>
      </c>
    </row>
    <row r="130" spans="2:15" x14ac:dyDescent="0.45">
      <c r="B130" t="s">
        <v>729</v>
      </c>
      <c r="C130" t="s">
        <v>19</v>
      </c>
      <c r="D130">
        <v>1.1770673918844007E-2</v>
      </c>
      <c r="E130" t="s">
        <v>6</v>
      </c>
      <c r="G130" t="s">
        <v>730</v>
      </c>
      <c r="H130" t="s">
        <v>19</v>
      </c>
      <c r="I130">
        <v>5.8436627085169029E-2</v>
      </c>
      <c r="J130" t="s">
        <v>6</v>
      </c>
      <c r="L130" t="s">
        <v>731</v>
      </c>
      <c r="M130" t="s">
        <v>19</v>
      </c>
      <c r="N130">
        <v>6.6880424094384397E-2</v>
      </c>
      <c r="O130" t="s">
        <v>6</v>
      </c>
    </row>
    <row r="131" spans="2:15" x14ac:dyDescent="0.45">
      <c r="B131" t="s">
        <v>732</v>
      </c>
      <c r="C131" t="s">
        <v>5</v>
      </c>
      <c r="D131">
        <v>0</v>
      </c>
      <c r="E131" t="s">
        <v>6</v>
      </c>
      <c r="G131" t="s">
        <v>733</v>
      </c>
      <c r="H131" t="s">
        <v>5</v>
      </c>
      <c r="I131">
        <v>0.11836320261634861</v>
      </c>
      <c r="J131" t="s">
        <v>6</v>
      </c>
      <c r="L131" t="s">
        <v>734</v>
      </c>
      <c r="M131" t="s">
        <v>5</v>
      </c>
      <c r="N131">
        <v>9.6789695341175402E-2</v>
      </c>
      <c r="O131" t="s">
        <v>6</v>
      </c>
    </row>
    <row r="132" spans="2:15" x14ac:dyDescent="0.45">
      <c r="B132" t="s">
        <v>732</v>
      </c>
      <c r="C132" t="s">
        <v>9</v>
      </c>
      <c r="D132">
        <v>0.18013638319777781</v>
      </c>
      <c r="E132" t="s">
        <v>6</v>
      </c>
      <c r="G132" t="s">
        <v>733</v>
      </c>
      <c r="H132" t="s">
        <v>9</v>
      </c>
      <c r="I132">
        <v>0.14546918492727398</v>
      </c>
      <c r="J132" t="s">
        <v>6</v>
      </c>
      <c r="L132" t="s">
        <v>734</v>
      </c>
      <c r="M132" t="s">
        <v>9</v>
      </c>
      <c r="N132">
        <v>0.1229046792973227</v>
      </c>
      <c r="O132" t="s">
        <v>6</v>
      </c>
    </row>
    <row r="133" spans="2:15" x14ac:dyDescent="0.45">
      <c r="B133" t="s">
        <v>732</v>
      </c>
      <c r="C133" t="s">
        <v>10</v>
      </c>
      <c r="D133">
        <v>7.7839669476214048E-3</v>
      </c>
      <c r="E133" t="s">
        <v>6</v>
      </c>
      <c r="G133" t="s">
        <v>733</v>
      </c>
      <c r="H133" t="s">
        <v>10</v>
      </c>
      <c r="I133">
        <v>8.1519726588241595E-2</v>
      </c>
      <c r="J133" t="s">
        <v>6</v>
      </c>
      <c r="L133" t="s">
        <v>734</v>
      </c>
      <c r="M133" t="s">
        <v>10</v>
      </c>
      <c r="N133">
        <v>7.6302483681269198E-2</v>
      </c>
      <c r="O133" t="s">
        <v>6</v>
      </c>
    </row>
    <row r="134" spans="2:15" x14ac:dyDescent="0.45">
      <c r="B134" t="s">
        <v>732</v>
      </c>
      <c r="C134" t="s">
        <v>11</v>
      </c>
      <c r="D134">
        <v>1.5043310784165322E-4</v>
      </c>
      <c r="E134" t="s">
        <v>6</v>
      </c>
      <c r="G134" t="s">
        <v>733</v>
      </c>
      <c r="H134" t="s">
        <v>11</v>
      </c>
      <c r="I134">
        <v>8.6545376622868583E-2</v>
      </c>
      <c r="J134" t="s">
        <v>6</v>
      </c>
      <c r="L134" t="s">
        <v>734</v>
      </c>
      <c r="M134" t="s">
        <v>11</v>
      </c>
      <c r="N134">
        <v>9.856715117599367E-2</v>
      </c>
      <c r="O134" t="s">
        <v>6</v>
      </c>
    </row>
    <row r="135" spans="2:15" x14ac:dyDescent="0.45">
      <c r="B135" t="s">
        <v>732</v>
      </c>
      <c r="C135" t="s">
        <v>12</v>
      </c>
      <c r="D135">
        <v>0.2342838172648028</v>
      </c>
      <c r="E135" t="s">
        <v>6</v>
      </c>
      <c r="G135" t="s">
        <v>733</v>
      </c>
      <c r="H135" t="s">
        <v>12</v>
      </c>
      <c r="I135">
        <v>0.13603397965980477</v>
      </c>
      <c r="J135" t="s">
        <v>6</v>
      </c>
      <c r="L135" t="s">
        <v>734</v>
      </c>
      <c r="M135" t="s">
        <v>12</v>
      </c>
      <c r="N135">
        <v>0.12760022286131245</v>
      </c>
      <c r="O135" t="s">
        <v>6</v>
      </c>
    </row>
    <row r="136" spans="2:15" x14ac:dyDescent="0.45">
      <c r="B136" t="s">
        <v>732</v>
      </c>
      <c r="C136" t="s">
        <v>13</v>
      </c>
      <c r="D136">
        <v>2.0162265952522886E-2</v>
      </c>
      <c r="E136" t="s">
        <v>6</v>
      </c>
      <c r="G136" t="s">
        <v>733</v>
      </c>
      <c r="H136" t="s">
        <v>13</v>
      </c>
      <c r="I136">
        <v>6.7101767857161293E-2</v>
      </c>
      <c r="J136" t="s">
        <v>6</v>
      </c>
      <c r="L136" t="s">
        <v>734</v>
      </c>
      <c r="M136" t="s">
        <v>13</v>
      </c>
      <c r="N136">
        <v>8.0989649474110276E-2</v>
      </c>
      <c r="O136" t="s">
        <v>6</v>
      </c>
    </row>
    <row r="137" spans="2:15" x14ac:dyDescent="0.45">
      <c r="B137" t="s">
        <v>732</v>
      </c>
      <c r="C137" t="s">
        <v>14</v>
      </c>
      <c r="D137">
        <v>3.9679309840158717E-4</v>
      </c>
      <c r="E137" t="s">
        <v>6</v>
      </c>
      <c r="G137" t="s">
        <v>733</v>
      </c>
      <c r="H137" t="s">
        <v>14</v>
      </c>
      <c r="I137">
        <v>2.4863548627704801E-2</v>
      </c>
      <c r="J137" t="s">
        <v>6</v>
      </c>
      <c r="L137" t="s">
        <v>734</v>
      </c>
      <c r="M137" t="s">
        <v>14</v>
      </c>
      <c r="N137">
        <v>6.2577904931692102E-2</v>
      </c>
      <c r="O137" t="s">
        <v>6</v>
      </c>
    </row>
    <row r="138" spans="2:15" x14ac:dyDescent="0.45">
      <c r="B138" t="s">
        <v>732</v>
      </c>
      <c r="C138" t="s">
        <v>15</v>
      </c>
      <c r="D138">
        <v>0.28598591780652971</v>
      </c>
      <c r="E138" t="s">
        <v>6</v>
      </c>
      <c r="G138" t="s">
        <v>733</v>
      </c>
      <c r="H138" t="s">
        <v>15</v>
      </c>
      <c r="I138">
        <v>5.0947737520724561E-2</v>
      </c>
      <c r="J138" t="s">
        <v>6</v>
      </c>
      <c r="L138" t="s">
        <v>734</v>
      </c>
      <c r="M138" t="s">
        <v>15</v>
      </c>
      <c r="N138">
        <v>9.2515896147078197E-2</v>
      </c>
      <c r="O138" t="s">
        <v>6</v>
      </c>
    </row>
    <row r="139" spans="2:15" x14ac:dyDescent="0.45">
      <c r="B139" t="s">
        <v>732</v>
      </c>
      <c r="C139" t="s">
        <v>16</v>
      </c>
      <c r="D139">
        <v>2.9334069117204788E-2</v>
      </c>
      <c r="E139" t="s">
        <v>6</v>
      </c>
      <c r="G139" t="s">
        <v>733</v>
      </c>
      <c r="H139" t="s">
        <v>16</v>
      </c>
      <c r="I139">
        <v>2.6150704422480464E-2</v>
      </c>
      <c r="J139" t="s">
        <v>6</v>
      </c>
      <c r="L139" t="s">
        <v>734</v>
      </c>
      <c r="M139" t="s">
        <v>16</v>
      </c>
      <c r="N139">
        <v>5.3042283405947167E-2</v>
      </c>
      <c r="O139" t="s">
        <v>6</v>
      </c>
    </row>
    <row r="140" spans="2:15" x14ac:dyDescent="0.45">
      <c r="B140" t="s">
        <v>732</v>
      </c>
      <c r="C140" t="s">
        <v>17</v>
      </c>
      <c r="D140">
        <v>0</v>
      </c>
      <c r="E140" t="s">
        <v>6</v>
      </c>
      <c r="G140" t="s">
        <v>733</v>
      </c>
      <c r="H140" t="s">
        <v>17</v>
      </c>
      <c r="I140">
        <v>8.5276645497392875E-2</v>
      </c>
      <c r="J140" t="s">
        <v>6</v>
      </c>
      <c r="L140" t="s">
        <v>734</v>
      </c>
      <c r="M140" t="s">
        <v>17</v>
      </c>
      <c r="N140">
        <v>5.9612417845652459E-2</v>
      </c>
      <c r="O140" t="s">
        <v>6</v>
      </c>
    </row>
    <row r="141" spans="2:15" x14ac:dyDescent="0.45">
      <c r="B141" t="s">
        <v>732</v>
      </c>
      <c r="C141" t="s">
        <v>18</v>
      </c>
      <c r="D141">
        <v>0.23116561539454164</v>
      </c>
      <c r="E141" t="s">
        <v>6</v>
      </c>
      <c r="G141" t="s">
        <v>733</v>
      </c>
      <c r="H141" t="s">
        <v>18</v>
      </c>
      <c r="I141">
        <v>0.11298400071953313</v>
      </c>
      <c r="J141" t="s">
        <v>6</v>
      </c>
      <c r="L141" t="s">
        <v>734</v>
      </c>
      <c r="M141" t="s">
        <v>18</v>
      </c>
      <c r="N141">
        <v>7.9455802853847929E-2</v>
      </c>
      <c r="O141" t="s">
        <v>6</v>
      </c>
    </row>
    <row r="142" spans="2:15" x14ac:dyDescent="0.45">
      <c r="B142" t="s">
        <v>732</v>
      </c>
      <c r="C142" t="s">
        <v>19</v>
      </c>
      <c r="D142">
        <v>1.0600738112757668E-2</v>
      </c>
      <c r="E142" t="s">
        <v>6</v>
      </c>
      <c r="G142" t="s">
        <v>733</v>
      </c>
      <c r="H142" t="s">
        <v>19</v>
      </c>
      <c r="I142">
        <v>6.4744124940465345E-2</v>
      </c>
      <c r="J142" t="s">
        <v>6</v>
      </c>
      <c r="L142" t="s">
        <v>734</v>
      </c>
      <c r="M142" t="s">
        <v>19</v>
      </c>
      <c r="N142">
        <v>4.9641812984600998E-2</v>
      </c>
      <c r="O142" t="s">
        <v>6</v>
      </c>
    </row>
    <row r="143" spans="2:15" x14ac:dyDescent="0.45">
      <c r="B143" t="s">
        <v>735</v>
      </c>
      <c r="C143" t="s">
        <v>5</v>
      </c>
      <c r="D143">
        <v>0</v>
      </c>
      <c r="E143" t="s">
        <v>6</v>
      </c>
      <c r="G143" t="s">
        <v>736</v>
      </c>
      <c r="H143" t="s">
        <v>5</v>
      </c>
      <c r="I143">
        <v>0.10082993889503353</v>
      </c>
      <c r="J143" t="s">
        <v>6</v>
      </c>
      <c r="L143" t="s">
        <v>737</v>
      </c>
      <c r="M143" t="s">
        <v>5</v>
      </c>
      <c r="N143">
        <v>0.10482503263197557</v>
      </c>
      <c r="O143" t="s">
        <v>6</v>
      </c>
    </row>
    <row r="144" spans="2:15" x14ac:dyDescent="0.45">
      <c r="B144" t="s">
        <v>735</v>
      </c>
      <c r="C144" t="s">
        <v>9</v>
      </c>
      <c r="D144">
        <v>0.18220869821398586</v>
      </c>
      <c r="E144" t="s">
        <v>6</v>
      </c>
      <c r="G144" t="s">
        <v>736</v>
      </c>
      <c r="H144" t="s">
        <v>9</v>
      </c>
      <c r="I144">
        <v>0.11475521468898432</v>
      </c>
      <c r="J144" t="s">
        <v>6</v>
      </c>
      <c r="L144" t="s">
        <v>737</v>
      </c>
      <c r="M144" t="s">
        <v>9</v>
      </c>
      <c r="N144">
        <v>0.13111274736054698</v>
      </c>
      <c r="O144" t="s">
        <v>6</v>
      </c>
    </row>
    <row r="145" spans="2:15" x14ac:dyDescent="0.45">
      <c r="B145" t="s">
        <v>735</v>
      </c>
      <c r="C145" t="s">
        <v>10</v>
      </c>
      <c r="D145">
        <v>1.0849538921113349E-2</v>
      </c>
      <c r="E145" t="s">
        <v>6</v>
      </c>
      <c r="G145" t="s">
        <v>736</v>
      </c>
      <c r="H145" t="s">
        <v>10</v>
      </c>
      <c r="I145">
        <v>7.8937366003166878E-2</v>
      </c>
      <c r="J145" t="s">
        <v>6</v>
      </c>
      <c r="L145" t="s">
        <v>737</v>
      </c>
      <c r="M145" t="s">
        <v>10</v>
      </c>
      <c r="N145">
        <v>8.3416226616949959E-2</v>
      </c>
      <c r="O145" t="s">
        <v>6</v>
      </c>
    </row>
    <row r="146" spans="2:15" x14ac:dyDescent="0.45">
      <c r="B146" t="s">
        <v>735</v>
      </c>
      <c r="C146" t="s">
        <v>11</v>
      </c>
      <c r="D146">
        <v>5.9177862739274897E-5</v>
      </c>
      <c r="E146" t="s">
        <v>6</v>
      </c>
      <c r="G146" t="s">
        <v>736</v>
      </c>
      <c r="H146" t="s">
        <v>11</v>
      </c>
      <c r="I146">
        <v>9.5001026674522482E-2</v>
      </c>
      <c r="J146" t="s">
        <v>6</v>
      </c>
      <c r="L146" t="s">
        <v>737</v>
      </c>
      <c r="M146" t="s">
        <v>11</v>
      </c>
      <c r="N146">
        <v>9.410710314654841E-2</v>
      </c>
      <c r="O146" t="s">
        <v>6</v>
      </c>
    </row>
    <row r="147" spans="2:15" x14ac:dyDescent="0.45">
      <c r="B147" t="s">
        <v>735</v>
      </c>
      <c r="C147" t="s">
        <v>12</v>
      </c>
      <c r="D147">
        <v>0.24058471562405298</v>
      </c>
      <c r="E147" t="s">
        <v>6</v>
      </c>
      <c r="G147" t="s">
        <v>736</v>
      </c>
      <c r="H147" t="s">
        <v>12</v>
      </c>
      <c r="I147">
        <v>0.13419328248897469</v>
      </c>
      <c r="J147" t="s">
        <v>6</v>
      </c>
      <c r="L147" t="s">
        <v>737</v>
      </c>
      <c r="M147" t="s">
        <v>12</v>
      </c>
      <c r="N147">
        <v>0.12489951914422229</v>
      </c>
      <c r="O147" t="s">
        <v>6</v>
      </c>
    </row>
    <row r="148" spans="2:15" x14ac:dyDescent="0.45">
      <c r="B148" t="s">
        <v>735</v>
      </c>
      <c r="C148" t="s">
        <v>13</v>
      </c>
      <c r="D148">
        <v>2.3877056363163843E-2</v>
      </c>
      <c r="E148" t="s">
        <v>6</v>
      </c>
      <c r="G148" t="s">
        <v>736</v>
      </c>
      <c r="H148" t="s">
        <v>13</v>
      </c>
      <c r="I148">
        <v>8.4538972265945311E-2</v>
      </c>
      <c r="J148" t="s">
        <v>6</v>
      </c>
      <c r="L148" t="s">
        <v>737</v>
      </c>
      <c r="M148" t="s">
        <v>13</v>
      </c>
      <c r="N148">
        <v>8.0038855239636733E-2</v>
      </c>
      <c r="O148" t="s">
        <v>6</v>
      </c>
    </row>
    <row r="149" spans="2:15" x14ac:dyDescent="0.45">
      <c r="B149" t="s">
        <v>735</v>
      </c>
      <c r="C149" t="s">
        <v>14</v>
      </c>
      <c r="D149">
        <v>1.7154084241942185E-4</v>
      </c>
      <c r="E149" t="s">
        <v>6</v>
      </c>
      <c r="G149" t="s">
        <v>736</v>
      </c>
      <c r="H149" t="s">
        <v>14</v>
      </c>
      <c r="I149">
        <v>6.8212309296446019E-2</v>
      </c>
      <c r="J149" t="s">
        <v>6</v>
      </c>
      <c r="L149" t="s">
        <v>737</v>
      </c>
      <c r="M149" t="s">
        <v>14</v>
      </c>
      <c r="N149">
        <v>5.9756416841387792E-2</v>
      </c>
      <c r="O149" t="s">
        <v>6</v>
      </c>
    </row>
    <row r="150" spans="2:15" x14ac:dyDescent="0.45">
      <c r="B150" t="s">
        <v>735</v>
      </c>
      <c r="C150" t="s">
        <v>15</v>
      </c>
      <c r="D150">
        <v>0.27627533958823264</v>
      </c>
      <c r="E150" t="s">
        <v>6</v>
      </c>
      <c r="G150" t="s">
        <v>736</v>
      </c>
      <c r="H150" t="s">
        <v>15</v>
      </c>
      <c r="I150">
        <v>3.9433428801674705E-2</v>
      </c>
      <c r="J150" t="s">
        <v>6</v>
      </c>
      <c r="L150" t="s">
        <v>737</v>
      </c>
      <c r="M150" t="s">
        <v>15</v>
      </c>
      <c r="N150">
        <v>8.1250634192884266E-2</v>
      </c>
      <c r="O150" t="s">
        <v>6</v>
      </c>
    </row>
    <row r="151" spans="2:15" x14ac:dyDescent="0.45">
      <c r="B151" t="s">
        <v>735</v>
      </c>
      <c r="C151" t="s">
        <v>16</v>
      </c>
      <c r="D151">
        <v>3.2831868028169439E-2</v>
      </c>
      <c r="E151" t="s">
        <v>6</v>
      </c>
      <c r="G151" t="s">
        <v>736</v>
      </c>
      <c r="H151" t="s">
        <v>16</v>
      </c>
      <c r="I151">
        <v>4.8396363988681704E-2</v>
      </c>
      <c r="J151" t="s">
        <v>6</v>
      </c>
      <c r="L151" t="s">
        <v>737</v>
      </c>
      <c r="M151" t="s">
        <v>16</v>
      </c>
      <c r="N151">
        <v>4.5853243662751016E-2</v>
      </c>
      <c r="O151" t="s">
        <v>6</v>
      </c>
    </row>
    <row r="152" spans="2:15" x14ac:dyDescent="0.45">
      <c r="B152" t="s">
        <v>735</v>
      </c>
      <c r="C152" t="s">
        <v>17</v>
      </c>
      <c r="D152">
        <v>0</v>
      </c>
      <c r="E152" t="s">
        <v>6</v>
      </c>
      <c r="G152" t="s">
        <v>736</v>
      </c>
      <c r="H152" t="s">
        <v>17</v>
      </c>
      <c r="I152">
        <v>8.3592710898792069E-2</v>
      </c>
      <c r="J152" t="s">
        <v>6</v>
      </c>
      <c r="L152" t="s">
        <v>737</v>
      </c>
      <c r="M152" t="s">
        <v>17</v>
      </c>
      <c r="N152">
        <v>6.183735835636648E-2</v>
      </c>
      <c r="O152" t="s">
        <v>6</v>
      </c>
    </row>
    <row r="153" spans="2:15" x14ac:dyDescent="0.45">
      <c r="B153" t="s">
        <v>735</v>
      </c>
      <c r="C153" t="s">
        <v>18</v>
      </c>
      <c r="D153">
        <v>0.22078853363829931</v>
      </c>
      <c r="E153" t="s">
        <v>6</v>
      </c>
      <c r="G153" t="s">
        <v>736</v>
      </c>
      <c r="H153" t="s">
        <v>18</v>
      </c>
      <c r="I153">
        <v>8.6885256265882699E-2</v>
      </c>
      <c r="J153" t="s">
        <v>6</v>
      </c>
      <c r="L153" t="s">
        <v>737</v>
      </c>
      <c r="M153" t="s">
        <v>18</v>
      </c>
      <c r="N153">
        <v>8.1266224996692324E-2</v>
      </c>
      <c r="O153" t="s">
        <v>6</v>
      </c>
    </row>
    <row r="154" spans="2:15" x14ac:dyDescent="0.45">
      <c r="B154" t="s">
        <v>735</v>
      </c>
      <c r="C154" t="s">
        <v>19</v>
      </c>
      <c r="D154">
        <v>1.2353530917825838E-2</v>
      </c>
      <c r="E154" t="s">
        <v>6</v>
      </c>
      <c r="G154" t="s">
        <v>736</v>
      </c>
      <c r="H154" t="s">
        <v>19</v>
      </c>
      <c r="I154">
        <v>6.5224129731897826E-2</v>
      </c>
      <c r="J154" t="s">
        <v>6</v>
      </c>
      <c r="L154" t="s">
        <v>737</v>
      </c>
      <c r="M154" t="s">
        <v>19</v>
      </c>
      <c r="N154">
        <v>5.1636637810042386E-2</v>
      </c>
      <c r="O154" t="s">
        <v>6</v>
      </c>
    </row>
    <row r="155" spans="2:15" x14ac:dyDescent="0.45">
      <c r="B155" t="s">
        <v>738</v>
      </c>
      <c r="C155" t="s">
        <v>5</v>
      </c>
      <c r="D155">
        <v>0</v>
      </c>
      <c r="E155" t="s">
        <v>6</v>
      </c>
      <c r="G155" t="s">
        <v>739</v>
      </c>
      <c r="H155" t="s">
        <v>5</v>
      </c>
      <c r="I155">
        <v>0.11475698070353002</v>
      </c>
      <c r="J155" t="s">
        <v>6</v>
      </c>
      <c r="L155" t="s">
        <v>740</v>
      </c>
      <c r="M155" t="s">
        <v>5</v>
      </c>
      <c r="N155">
        <v>0.10261049083153793</v>
      </c>
      <c r="O155" t="s">
        <v>6</v>
      </c>
    </row>
    <row r="156" spans="2:15" x14ac:dyDescent="0.45">
      <c r="B156" t="s">
        <v>738</v>
      </c>
      <c r="C156" t="s">
        <v>9</v>
      </c>
      <c r="D156">
        <v>0.18059650199161981</v>
      </c>
      <c r="E156" t="s">
        <v>6</v>
      </c>
      <c r="G156" t="s">
        <v>739</v>
      </c>
      <c r="H156" t="s">
        <v>9</v>
      </c>
      <c r="I156">
        <v>0.13132776969671658</v>
      </c>
      <c r="J156" t="s">
        <v>6</v>
      </c>
      <c r="L156" t="s">
        <v>740</v>
      </c>
      <c r="M156" t="s">
        <v>9</v>
      </c>
      <c r="N156">
        <v>0.10521634657968433</v>
      </c>
      <c r="O156" t="s">
        <v>6</v>
      </c>
    </row>
    <row r="157" spans="2:15" x14ac:dyDescent="0.45">
      <c r="B157" t="s">
        <v>738</v>
      </c>
      <c r="C157" t="s">
        <v>10</v>
      </c>
      <c r="D157">
        <v>1.1164828370644376E-2</v>
      </c>
      <c r="E157" t="s">
        <v>6</v>
      </c>
      <c r="G157" t="s">
        <v>739</v>
      </c>
      <c r="H157" t="s">
        <v>10</v>
      </c>
      <c r="I157">
        <v>8.5768686747049599E-2</v>
      </c>
      <c r="J157" t="s">
        <v>6</v>
      </c>
      <c r="L157" t="s">
        <v>740</v>
      </c>
      <c r="M157" t="s">
        <v>10</v>
      </c>
      <c r="N157">
        <v>7.3388090650809396E-2</v>
      </c>
      <c r="O157" t="s">
        <v>6</v>
      </c>
    </row>
    <row r="158" spans="2:15" x14ac:dyDescent="0.45">
      <c r="B158" t="s">
        <v>738</v>
      </c>
      <c r="C158" t="s">
        <v>11</v>
      </c>
      <c r="D158">
        <v>5.7453769189329079E-5</v>
      </c>
      <c r="E158" t="s">
        <v>6</v>
      </c>
      <c r="G158" t="s">
        <v>739</v>
      </c>
      <c r="H158" t="s">
        <v>11</v>
      </c>
      <c r="I158">
        <v>9.1092017769232425E-2</v>
      </c>
      <c r="J158" t="s">
        <v>6</v>
      </c>
      <c r="L158" t="s">
        <v>740</v>
      </c>
      <c r="M158" t="s">
        <v>11</v>
      </c>
      <c r="N158">
        <v>0.11038441957012865</v>
      </c>
      <c r="O158" t="s">
        <v>6</v>
      </c>
    </row>
    <row r="159" spans="2:15" x14ac:dyDescent="0.45">
      <c r="B159" t="s">
        <v>738</v>
      </c>
      <c r="C159" t="s">
        <v>12</v>
      </c>
      <c r="D159">
        <v>0.23574399183039194</v>
      </c>
      <c r="E159" t="s">
        <v>6</v>
      </c>
      <c r="G159" t="s">
        <v>739</v>
      </c>
      <c r="H159" t="s">
        <v>12</v>
      </c>
      <c r="I159">
        <v>0.12853749140583334</v>
      </c>
      <c r="J159" t="s">
        <v>6</v>
      </c>
      <c r="L159" t="s">
        <v>740</v>
      </c>
      <c r="M159" t="s">
        <v>12</v>
      </c>
      <c r="N159">
        <v>0.12733093876426174</v>
      </c>
      <c r="O159" t="s">
        <v>6</v>
      </c>
    </row>
    <row r="160" spans="2:15" x14ac:dyDescent="0.45">
      <c r="B160" t="s">
        <v>738</v>
      </c>
      <c r="C160" t="s">
        <v>13</v>
      </c>
      <c r="D160">
        <v>2.4119796211913531E-2</v>
      </c>
      <c r="E160" t="s">
        <v>6</v>
      </c>
      <c r="G160" t="s">
        <v>739</v>
      </c>
      <c r="H160" t="s">
        <v>13</v>
      </c>
      <c r="I160">
        <v>8.3777135253313845E-2</v>
      </c>
      <c r="J160" t="s">
        <v>6</v>
      </c>
      <c r="L160" t="s">
        <v>740</v>
      </c>
      <c r="M160" t="s">
        <v>13</v>
      </c>
      <c r="N160">
        <v>9.6072271107196724E-2</v>
      </c>
      <c r="O160" t="s">
        <v>6</v>
      </c>
    </row>
    <row r="161" spans="2:15" x14ac:dyDescent="0.45">
      <c r="B161" t="s">
        <v>738</v>
      </c>
      <c r="C161" t="s">
        <v>14</v>
      </c>
      <c r="D161">
        <v>1.6717217197229642E-4</v>
      </c>
      <c r="E161" t="s">
        <v>6</v>
      </c>
      <c r="G161" t="s">
        <v>739</v>
      </c>
      <c r="H161" t="s">
        <v>14</v>
      </c>
      <c r="I161">
        <v>5.2917610818801579E-2</v>
      </c>
      <c r="J161" t="s">
        <v>6</v>
      </c>
      <c r="L161" t="s">
        <v>740</v>
      </c>
      <c r="M161" t="s">
        <v>14</v>
      </c>
      <c r="N161">
        <v>6.5450008856356087E-2</v>
      </c>
      <c r="O161" t="s">
        <v>6</v>
      </c>
    </row>
    <row r="162" spans="2:15" x14ac:dyDescent="0.45">
      <c r="B162" t="s">
        <v>738</v>
      </c>
      <c r="C162" t="s">
        <v>15</v>
      </c>
      <c r="D162">
        <v>0.28130958583760157</v>
      </c>
      <c r="E162" t="s">
        <v>6</v>
      </c>
      <c r="G162" t="s">
        <v>739</v>
      </c>
      <c r="H162" t="s">
        <v>15</v>
      </c>
      <c r="I162">
        <v>3.6088108016184138E-2</v>
      </c>
      <c r="J162" t="s">
        <v>6</v>
      </c>
      <c r="L162" t="s">
        <v>740</v>
      </c>
      <c r="M162" t="s">
        <v>15</v>
      </c>
      <c r="N162">
        <v>5.6401071051494125E-2</v>
      </c>
      <c r="O162" t="s">
        <v>6</v>
      </c>
    </row>
    <row r="163" spans="2:15" x14ac:dyDescent="0.45">
      <c r="B163" t="s">
        <v>738</v>
      </c>
      <c r="C163" t="s">
        <v>16</v>
      </c>
      <c r="D163">
        <v>3.4339727425225897E-2</v>
      </c>
      <c r="E163" t="s">
        <v>6</v>
      </c>
      <c r="G163" t="s">
        <v>739</v>
      </c>
      <c r="H163" t="s">
        <v>16</v>
      </c>
      <c r="I163">
        <v>5.7030398196800051E-2</v>
      </c>
      <c r="J163" t="s">
        <v>6</v>
      </c>
      <c r="L163" t="s">
        <v>740</v>
      </c>
      <c r="M163" t="s">
        <v>16</v>
      </c>
      <c r="N163">
        <v>6.7340136146990554E-2</v>
      </c>
      <c r="O163" t="s">
        <v>6</v>
      </c>
    </row>
    <row r="164" spans="2:15" x14ac:dyDescent="0.45">
      <c r="B164" t="s">
        <v>738</v>
      </c>
      <c r="C164" t="s">
        <v>17</v>
      </c>
      <c r="D164">
        <v>0</v>
      </c>
      <c r="E164" t="s">
        <v>6</v>
      </c>
      <c r="G164" t="s">
        <v>739</v>
      </c>
      <c r="H164" t="s">
        <v>17</v>
      </c>
      <c r="I164">
        <v>6.8244723781343122E-2</v>
      </c>
      <c r="J164" t="s">
        <v>6</v>
      </c>
      <c r="L164" t="s">
        <v>740</v>
      </c>
      <c r="M164" t="s">
        <v>17</v>
      </c>
      <c r="N164">
        <v>6.8183460902979595E-2</v>
      </c>
      <c r="O164" t="s">
        <v>6</v>
      </c>
    </row>
    <row r="165" spans="2:15" x14ac:dyDescent="0.45">
      <c r="B165" t="s">
        <v>738</v>
      </c>
      <c r="C165" t="s">
        <v>18</v>
      </c>
      <c r="D165">
        <v>0.21987471271055101</v>
      </c>
      <c r="E165" t="s">
        <v>6</v>
      </c>
      <c r="G165" t="s">
        <v>739</v>
      </c>
      <c r="H165" t="s">
        <v>18</v>
      </c>
      <c r="I165">
        <v>8.8191970136036274E-2</v>
      </c>
      <c r="J165" t="s">
        <v>6</v>
      </c>
      <c r="L165" t="s">
        <v>740</v>
      </c>
      <c r="M165" t="s">
        <v>18</v>
      </c>
      <c r="N165">
        <v>7.2351943803819985E-2</v>
      </c>
      <c r="O165" t="s">
        <v>6</v>
      </c>
    </row>
    <row r="166" spans="2:15" x14ac:dyDescent="0.45">
      <c r="B166" t="s">
        <v>738</v>
      </c>
      <c r="C166" t="s">
        <v>19</v>
      </c>
      <c r="D166">
        <v>1.2626229680890999E-2</v>
      </c>
      <c r="E166" t="s">
        <v>6</v>
      </c>
      <c r="G166" t="s">
        <v>739</v>
      </c>
      <c r="H166" t="s">
        <v>19</v>
      </c>
      <c r="I166">
        <v>6.2267107475153786E-2</v>
      </c>
      <c r="J166" t="s">
        <v>6</v>
      </c>
      <c r="L166" t="s">
        <v>740</v>
      </c>
      <c r="M166" t="s">
        <v>19</v>
      </c>
      <c r="N166">
        <v>5.527082173473926E-2</v>
      </c>
      <c r="O166" t="s">
        <v>6</v>
      </c>
    </row>
    <row r="167" spans="2:15" x14ac:dyDescent="0.45">
      <c r="B167" t="s">
        <v>741</v>
      </c>
      <c r="C167" t="s">
        <v>5</v>
      </c>
      <c r="D167">
        <v>0</v>
      </c>
      <c r="E167" t="s">
        <v>6</v>
      </c>
      <c r="G167" t="s">
        <v>742</v>
      </c>
      <c r="H167" t="s">
        <v>5</v>
      </c>
      <c r="I167">
        <v>0.10176676857611835</v>
      </c>
      <c r="J167" t="s">
        <v>6</v>
      </c>
      <c r="L167" t="s">
        <v>743</v>
      </c>
      <c r="M167" t="s">
        <v>5</v>
      </c>
      <c r="N167">
        <v>9.2146694301388485E-2</v>
      </c>
      <c r="O167" t="s">
        <v>6</v>
      </c>
    </row>
    <row r="168" spans="2:15" x14ac:dyDescent="0.45">
      <c r="B168" t="s">
        <v>741</v>
      </c>
      <c r="C168" t="s">
        <v>9</v>
      </c>
      <c r="D168">
        <v>0.16760562148532274</v>
      </c>
      <c r="E168" t="s">
        <v>6</v>
      </c>
      <c r="G168" t="s">
        <v>742</v>
      </c>
      <c r="H168" t="s">
        <v>9</v>
      </c>
      <c r="I168">
        <v>0.11798062579066218</v>
      </c>
      <c r="J168" t="s">
        <v>6</v>
      </c>
      <c r="L168" t="s">
        <v>743</v>
      </c>
      <c r="M168" t="s">
        <v>9</v>
      </c>
      <c r="N168">
        <v>0.10506100458913363</v>
      </c>
      <c r="O168" t="s">
        <v>6</v>
      </c>
    </row>
    <row r="169" spans="2:15" x14ac:dyDescent="0.45">
      <c r="B169" t="s">
        <v>741</v>
      </c>
      <c r="C169" t="s">
        <v>10</v>
      </c>
      <c r="D169">
        <v>9.1213761739266288E-3</v>
      </c>
      <c r="E169" t="s">
        <v>6</v>
      </c>
      <c r="G169" t="s">
        <v>742</v>
      </c>
      <c r="H169" t="s">
        <v>10</v>
      </c>
      <c r="I169">
        <v>7.5949958308652019E-2</v>
      </c>
      <c r="J169" t="s">
        <v>6</v>
      </c>
      <c r="L169" t="s">
        <v>743</v>
      </c>
      <c r="M169" t="s">
        <v>10</v>
      </c>
      <c r="N169">
        <v>7.0534456662839168E-2</v>
      </c>
      <c r="O169" t="s">
        <v>6</v>
      </c>
    </row>
    <row r="170" spans="2:15" x14ac:dyDescent="0.45">
      <c r="B170" t="s">
        <v>741</v>
      </c>
      <c r="C170" t="s">
        <v>11</v>
      </c>
      <c r="D170">
        <v>9.6443061286601429E-5</v>
      </c>
      <c r="E170" t="s">
        <v>6</v>
      </c>
      <c r="G170" t="s">
        <v>742</v>
      </c>
      <c r="H170" t="s">
        <v>11</v>
      </c>
      <c r="I170">
        <v>9.3724046058529714E-2</v>
      </c>
      <c r="J170" t="s">
        <v>6</v>
      </c>
      <c r="L170" t="s">
        <v>743</v>
      </c>
      <c r="M170" t="s">
        <v>11</v>
      </c>
      <c r="N170">
        <v>9.1549930049638475E-2</v>
      </c>
      <c r="O170" t="s">
        <v>6</v>
      </c>
    </row>
    <row r="171" spans="2:15" x14ac:dyDescent="0.45">
      <c r="B171" t="s">
        <v>741</v>
      </c>
      <c r="C171" t="s">
        <v>12</v>
      </c>
      <c r="D171">
        <v>0.23249848879073629</v>
      </c>
      <c r="E171" t="s">
        <v>6</v>
      </c>
      <c r="G171" t="s">
        <v>742</v>
      </c>
      <c r="H171" t="s">
        <v>12</v>
      </c>
      <c r="I171">
        <v>0.11769448133024149</v>
      </c>
      <c r="J171" t="s">
        <v>6</v>
      </c>
      <c r="L171" t="s">
        <v>743</v>
      </c>
      <c r="M171" t="s">
        <v>12</v>
      </c>
      <c r="N171">
        <v>0.10783176618625841</v>
      </c>
      <c r="O171" t="s">
        <v>6</v>
      </c>
    </row>
    <row r="172" spans="2:15" x14ac:dyDescent="0.45">
      <c r="B172" t="s">
        <v>741</v>
      </c>
      <c r="C172" t="s">
        <v>13</v>
      </c>
      <c r="D172">
        <v>2.3803007609353943E-2</v>
      </c>
      <c r="E172" t="s">
        <v>6</v>
      </c>
      <c r="G172" t="s">
        <v>742</v>
      </c>
      <c r="H172" t="s">
        <v>13</v>
      </c>
      <c r="I172">
        <v>7.909758065194987E-2</v>
      </c>
      <c r="J172" t="s">
        <v>6</v>
      </c>
      <c r="L172" t="s">
        <v>743</v>
      </c>
      <c r="M172" t="s">
        <v>13</v>
      </c>
      <c r="N172">
        <v>7.3715843397401976E-2</v>
      </c>
      <c r="O172" t="s">
        <v>6</v>
      </c>
    </row>
    <row r="173" spans="2:15" x14ac:dyDescent="0.45">
      <c r="B173" t="s">
        <v>741</v>
      </c>
      <c r="C173" t="s">
        <v>14</v>
      </c>
      <c r="D173">
        <v>2.6449936130788944E-4</v>
      </c>
      <c r="E173" t="s">
        <v>6</v>
      </c>
      <c r="G173" t="s">
        <v>742</v>
      </c>
      <c r="H173" t="s">
        <v>14</v>
      </c>
      <c r="I173">
        <v>6.8840922922517853E-2</v>
      </c>
      <c r="J173" t="s">
        <v>6</v>
      </c>
      <c r="L173" t="s">
        <v>743</v>
      </c>
      <c r="M173" t="s">
        <v>14</v>
      </c>
      <c r="N173">
        <v>8.4725166662032142E-2</v>
      </c>
      <c r="O173" t="s">
        <v>6</v>
      </c>
    </row>
    <row r="174" spans="2:15" x14ac:dyDescent="0.45">
      <c r="B174" t="s">
        <v>741</v>
      </c>
      <c r="C174" t="s">
        <v>15</v>
      </c>
      <c r="D174">
        <v>0.29827020184900283</v>
      </c>
      <c r="E174" t="s">
        <v>6</v>
      </c>
      <c r="G174" t="s">
        <v>742</v>
      </c>
      <c r="H174" t="s">
        <v>15</v>
      </c>
      <c r="I174">
        <v>4.3479895795262735E-2</v>
      </c>
      <c r="J174" t="s">
        <v>6</v>
      </c>
      <c r="L174" t="s">
        <v>743</v>
      </c>
      <c r="M174" t="s">
        <v>15</v>
      </c>
      <c r="N174">
        <v>9.1165663257518556E-2</v>
      </c>
      <c r="O174" t="s">
        <v>6</v>
      </c>
    </row>
    <row r="175" spans="2:15" x14ac:dyDescent="0.45">
      <c r="B175" t="s">
        <v>741</v>
      </c>
      <c r="C175" t="s">
        <v>16</v>
      </c>
      <c r="D175">
        <v>3.5848927826137453E-2</v>
      </c>
      <c r="E175" t="s">
        <v>6</v>
      </c>
      <c r="G175" t="s">
        <v>742</v>
      </c>
      <c r="H175" t="s">
        <v>16</v>
      </c>
      <c r="I175">
        <v>6.5452216654918807E-2</v>
      </c>
      <c r="J175" t="s">
        <v>6</v>
      </c>
      <c r="L175" t="s">
        <v>743</v>
      </c>
      <c r="M175" t="s">
        <v>16</v>
      </c>
      <c r="N175">
        <v>6.9768892166746518E-2</v>
      </c>
      <c r="O175" t="s">
        <v>6</v>
      </c>
    </row>
    <row r="176" spans="2:15" x14ac:dyDescent="0.45">
      <c r="B176" t="s">
        <v>741</v>
      </c>
      <c r="C176" t="s">
        <v>17</v>
      </c>
      <c r="D176">
        <v>0</v>
      </c>
      <c r="E176" t="s">
        <v>6</v>
      </c>
      <c r="G176" t="s">
        <v>742</v>
      </c>
      <c r="H176" t="s">
        <v>17</v>
      </c>
      <c r="I176">
        <v>7.9020455208300269E-2</v>
      </c>
      <c r="J176" t="s">
        <v>6</v>
      </c>
      <c r="L176" t="s">
        <v>743</v>
      </c>
      <c r="M176" t="s">
        <v>17</v>
      </c>
      <c r="N176">
        <v>7.3197715666929467E-2</v>
      </c>
      <c r="O176" t="s">
        <v>6</v>
      </c>
    </row>
    <row r="177" spans="2:15" x14ac:dyDescent="0.45">
      <c r="B177" t="s">
        <v>741</v>
      </c>
      <c r="C177" t="s">
        <v>18</v>
      </c>
      <c r="D177">
        <v>0.21997219257607431</v>
      </c>
      <c r="E177" t="s">
        <v>6</v>
      </c>
      <c r="G177" t="s">
        <v>742</v>
      </c>
      <c r="H177" t="s">
        <v>18</v>
      </c>
      <c r="I177">
        <v>9.2249547974447094E-2</v>
      </c>
      <c r="J177" t="s">
        <v>6</v>
      </c>
      <c r="L177" t="s">
        <v>743</v>
      </c>
      <c r="M177" t="s">
        <v>18</v>
      </c>
      <c r="N177">
        <v>8.3181314106804252E-2</v>
      </c>
      <c r="O177" t="s">
        <v>6</v>
      </c>
    </row>
    <row r="178" spans="2:15" x14ac:dyDescent="0.45">
      <c r="B178" t="s">
        <v>741</v>
      </c>
      <c r="C178" t="s">
        <v>19</v>
      </c>
      <c r="D178">
        <v>1.2519241266853515E-2</v>
      </c>
      <c r="E178" t="s">
        <v>6</v>
      </c>
      <c r="G178" t="s">
        <v>742</v>
      </c>
      <c r="H178" t="s">
        <v>19</v>
      </c>
      <c r="I178">
        <v>6.4743500728396061E-2</v>
      </c>
      <c r="J178" t="s">
        <v>6</v>
      </c>
      <c r="L178" t="s">
        <v>743</v>
      </c>
      <c r="M178" t="s">
        <v>19</v>
      </c>
      <c r="N178">
        <v>5.7121552953308785E-2</v>
      </c>
      <c r="O178" t="s">
        <v>6</v>
      </c>
    </row>
    <row r="179" spans="2:15" x14ac:dyDescent="0.45">
      <c r="B179" t="s">
        <v>744</v>
      </c>
      <c r="C179" t="s">
        <v>5</v>
      </c>
      <c r="D179">
        <v>0</v>
      </c>
      <c r="E179" t="s">
        <v>6</v>
      </c>
      <c r="G179" t="s">
        <v>745</v>
      </c>
      <c r="H179" t="s">
        <v>5</v>
      </c>
      <c r="I179">
        <v>9.0089220429896838E-2</v>
      </c>
      <c r="J179" t="s">
        <v>6</v>
      </c>
      <c r="L179" t="s">
        <v>746</v>
      </c>
      <c r="M179" t="s">
        <v>5</v>
      </c>
      <c r="N179">
        <v>8.2847197968165948E-2</v>
      </c>
      <c r="O179" t="s">
        <v>6</v>
      </c>
    </row>
    <row r="180" spans="2:15" x14ac:dyDescent="0.45">
      <c r="B180" t="s">
        <v>744</v>
      </c>
      <c r="C180" t="s">
        <v>9</v>
      </c>
      <c r="D180">
        <v>0.16972889083260423</v>
      </c>
      <c r="E180" t="s">
        <v>6</v>
      </c>
      <c r="G180" t="s">
        <v>745</v>
      </c>
      <c r="H180" t="s">
        <v>9</v>
      </c>
      <c r="I180">
        <v>0.11208884712930689</v>
      </c>
      <c r="J180" t="s">
        <v>6</v>
      </c>
      <c r="L180" t="s">
        <v>746</v>
      </c>
      <c r="M180" t="s">
        <v>9</v>
      </c>
      <c r="N180">
        <v>0.1037128507646332</v>
      </c>
      <c r="O180" t="s">
        <v>6</v>
      </c>
    </row>
    <row r="181" spans="2:15" x14ac:dyDescent="0.45">
      <c r="B181" t="s">
        <v>744</v>
      </c>
      <c r="C181" t="s">
        <v>10</v>
      </c>
      <c r="D181">
        <v>1.0006143614902646E-2</v>
      </c>
      <c r="E181" t="s">
        <v>6</v>
      </c>
      <c r="G181" t="s">
        <v>745</v>
      </c>
      <c r="H181" t="s">
        <v>10</v>
      </c>
      <c r="I181">
        <v>7.2425824225748406E-2</v>
      </c>
      <c r="J181" t="s">
        <v>6</v>
      </c>
      <c r="L181" t="s">
        <v>746</v>
      </c>
      <c r="M181" t="s">
        <v>10</v>
      </c>
      <c r="N181">
        <v>6.6623799616599505E-2</v>
      </c>
      <c r="O181" t="s">
        <v>6</v>
      </c>
    </row>
    <row r="182" spans="2:15" x14ac:dyDescent="0.45">
      <c r="B182" t="s">
        <v>744</v>
      </c>
      <c r="C182" t="s">
        <v>11</v>
      </c>
      <c r="D182">
        <v>7.4400509232937914E-5</v>
      </c>
      <c r="E182" t="s">
        <v>6</v>
      </c>
      <c r="G182" t="s">
        <v>745</v>
      </c>
      <c r="H182" t="s">
        <v>11</v>
      </c>
      <c r="I182">
        <v>7.8851983746599658E-2</v>
      </c>
      <c r="J182" t="s">
        <v>6</v>
      </c>
      <c r="L182" t="s">
        <v>746</v>
      </c>
      <c r="M182" t="s">
        <v>11</v>
      </c>
      <c r="N182">
        <v>9.2247149430223302E-2</v>
      </c>
      <c r="O182" t="s">
        <v>6</v>
      </c>
    </row>
    <row r="183" spans="2:15" x14ac:dyDescent="0.45">
      <c r="B183" t="s">
        <v>744</v>
      </c>
      <c r="C183" t="s">
        <v>12</v>
      </c>
      <c r="D183">
        <v>0.23943355524994561</v>
      </c>
      <c r="E183" t="s">
        <v>6</v>
      </c>
      <c r="G183" t="s">
        <v>745</v>
      </c>
      <c r="H183" t="s">
        <v>12</v>
      </c>
      <c r="I183">
        <v>0.12667122189797117</v>
      </c>
      <c r="J183" t="s">
        <v>6</v>
      </c>
      <c r="L183" t="s">
        <v>746</v>
      </c>
      <c r="M183" t="s">
        <v>12</v>
      </c>
      <c r="N183">
        <v>0.11789420148459755</v>
      </c>
      <c r="O183" t="s">
        <v>6</v>
      </c>
    </row>
    <row r="184" spans="2:15" x14ac:dyDescent="0.45">
      <c r="B184" t="s">
        <v>744</v>
      </c>
      <c r="C184" t="s">
        <v>13</v>
      </c>
      <c r="D184">
        <v>2.3986499254455496E-2</v>
      </c>
      <c r="E184" t="s">
        <v>6</v>
      </c>
      <c r="G184" t="s">
        <v>745</v>
      </c>
      <c r="H184" t="s">
        <v>13</v>
      </c>
      <c r="I184">
        <v>8.2664912603113899E-2</v>
      </c>
      <c r="J184" t="s">
        <v>6</v>
      </c>
      <c r="L184" t="s">
        <v>746</v>
      </c>
      <c r="M184" t="s">
        <v>13</v>
      </c>
      <c r="N184">
        <v>7.7055940484547072E-2</v>
      </c>
      <c r="O184" t="s">
        <v>6</v>
      </c>
    </row>
    <row r="185" spans="2:15" x14ac:dyDescent="0.45">
      <c r="B185" t="s">
        <v>744</v>
      </c>
      <c r="C185" t="s">
        <v>14</v>
      </c>
      <c r="D185">
        <v>2.0787787780732501E-4</v>
      </c>
      <c r="E185" t="s">
        <v>6</v>
      </c>
      <c r="G185" t="s">
        <v>745</v>
      </c>
      <c r="H185" t="s">
        <v>14</v>
      </c>
      <c r="I185">
        <v>3.80394662842099E-2</v>
      </c>
      <c r="J185" t="s">
        <v>6</v>
      </c>
      <c r="L185" t="s">
        <v>746</v>
      </c>
      <c r="M185" t="s">
        <v>14</v>
      </c>
      <c r="N185">
        <v>6.2080414553325247E-2</v>
      </c>
      <c r="O185" t="s">
        <v>6</v>
      </c>
    </row>
    <row r="186" spans="2:15" x14ac:dyDescent="0.45">
      <c r="B186" t="s">
        <v>744</v>
      </c>
      <c r="C186" t="s">
        <v>15</v>
      </c>
      <c r="D186">
        <v>0.28885278871150488</v>
      </c>
      <c r="E186" t="s">
        <v>6</v>
      </c>
      <c r="G186" t="s">
        <v>745</v>
      </c>
      <c r="H186" t="s">
        <v>15</v>
      </c>
      <c r="I186">
        <v>6.7984384314829394E-2</v>
      </c>
      <c r="J186" t="s">
        <v>6</v>
      </c>
      <c r="L186" t="s">
        <v>746</v>
      </c>
      <c r="M186" t="s">
        <v>15</v>
      </c>
      <c r="N186">
        <v>7.6783389588916395E-2</v>
      </c>
      <c r="O186" t="s">
        <v>6</v>
      </c>
    </row>
    <row r="187" spans="2:15" x14ac:dyDescent="0.45">
      <c r="B187" t="s">
        <v>744</v>
      </c>
      <c r="C187" t="s">
        <v>16</v>
      </c>
      <c r="D187">
        <v>3.553376547145827E-2</v>
      </c>
      <c r="E187" t="s">
        <v>6</v>
      </c>
      <c r="G187" t="s">
        <v>745</v>
      </c>
      <c r="H187" t="s">
        <v>16</v>
      </c>
      <c r="I187">
        <v>4.0847388993708031E-2</v>
      </c>
      <c r="J187" t="s">
        <v>6</v>
      </c>
      <c r="L187" t="s">
        <v>746</v>
      </c>
      <c r="M187" t="s">
        <v>16</v>
      </c>
      <c r="N187">
        <v>5.8254259712174586E-2</v>
      </c>
      <c r="O187" t="s">
        <v>6</v>
      </c>
    </row>
    <row r="188" spans="2:15" x14ac:dyDescent="0.45">
      <c r="B188" t="s">
        <v>744</v>
      </c>
      <c r="C188" t="s">
        <v>17</v>
      </c>
      <c r="D188">
        <v>0</v>
      </c>
      <c r="E188" t="s">
        <v>6</v>
      </c>
      <c r="G188" t="s">
        <v>745</v>
      </c>
      <c r="H188" t="s">
        <v>17</v>
      </c>
      <c r="I188">
        <v>9.3162901080686256E-2</v>
      </c>
      <c r="J188" t="s">
        <v>6</v>
      </c>
      <c r="L188" t="s">
        <v>746</v>
      </c>
      <c r="M188" t="s">
        <v>17</v>
      </c>
      <c r="N188">
        <v>8.4288445554938432E-2</v>
      </c>
      <c r="O188" t="s">
        <v>6</v>
      </c>
    </row>
    <row r="189" spans="2:15" x14ac:dyDescent="0.45">
      <c r="B189" t="s">
        <v>744</v>
      </c>
      <c r="C189" t="s">
        <v>18</v>
      </c>
      <c r="D189">
        <v>0.21928708447869585</v>
      </c>
      <c r="E189" t="s">
        <v>6</v>
      </c>
      <c r="G189" t="s">
        <v>745</v>
      </c>
      <c r="H189" t="s">
        <v>18</v>
      </c>
      <c r="I189">
        <v>0.11916239223466081</v>
      </c>
      <c r="J189" t="s">
        <v>6</v>
      </c>
      <c r="L189" t="s">
        <v>746</v>
      </c>
      <c r="M189" t="s">
        <v>18</v>
      </c>
      <c r="N189">
        <v>0.10612878160107551</v>
      </c>
      <c r="O189" t="s">
        <v>6</v>
      </c>
    </row>
    <row r="190" spans="2:15" x14ac:dyDescent="0.45">
      <c r="B190" t="s">
        <v>744</v>
      </c>
      <c r="C190" t="s">
        <v>19</v>
      </c>
      <c r="D190">
        <v>1.2888993999392013E-2</v>
      </c>
      <c r="E190" t="s">
        <v>6</v>
      </c>
      <c r="G190" t="s">
        <v>745</v>
      </c>
      <c r="H190" t="s">
        <v>19</v>
      </c>
      <c r="I190">
        <v>7.8011457059268888E-2</v>
      </c>
      <c r="J190" t="s">
        <v>6</v>
      </c>
      <c r="L190" t="s">
        <v>746</v>
      </c>
      <c r="M190" t="s">
        <v>19</v>
      </c>
      <c r="N190">
        <v>7.2083569240802225E-2</v>
      </c>
      <c r="O190" t="s">
        <v>6</v>
      </c>
    </row>
    <row r="191" spans="2:15" x14ac:dyDescent="0.45">
      <c r="B191" t="s">
        <v>747</v>
      </c>
      <c r="C191" t="s">
        <v>5</v>
      </c>
      <c r="D191">
        <v>0</v>
      </c>
      <c r="E191" t="s">
        <v>6</v>
      </c>
      <c r="G191" t="s">
        <v>748</v>
      </c>
      <c r="H191" t="s">
        <v>5</v>
      </c>
      <c r="I191">
        <v>8.787882186395872E-2</v>
      </c>
      <c r="J191" t="s">
        <v>6</v>
      </c>
      <c r="L191" t="s">
        <v>749</v>
      </c>
      <c r="M191" t="s">
        <v>5</v>
      </c>
      <c r="N191">
        <v>0.10432761997102932</v>
      </c>
      <c r="O191" t="s">
        <v>6</v>
      </c>
    </row>
    <row r="192" spans="2:15" x14ac:dyDescent="0.45">
      <c r="B192" t="s">
        <v>747</v>
      </c>
      <c r="C192" t="s">
        <v>9</v>
      </c>
      <c r="D192">
        <v>0.17786459992609319</v>
      </c>
      <c r="E192" t="s">
        <v>6</v>
      </c>
      <c r="G192" t="s">
        <v>748</v>
      </c>
      <c r="H192" t="s">
        <v>9</v>
      </c>
      <c r="I192">
        <v>0.10824109791484457</v>
      </c>
      <c r="J192" t="s">
        <v>6</v>
      </c>
      <c r="L192" t="s">
        <v>749</v>
      </c>
      <c r="M192" t="s">
        <v>9</v>
      </c>
      <c r="N192">
        <v>0.12535470936486298</v>
      </c>
      <c r="O192" t="s">
        <v>6</v>
      </c>
    </row>
    <row r="193" spans="2:15" x14ac:dyDescent="0.45">
      <c r="B193" t="s">
        <v>747</v>
      </c>
      <c r="C193" t="s">
        <v>10</v>
      </c>
      <c r="D193">
        <v>7.2236192099879607E-3</v>
      </c>
      <c r="E193" t="s">
        <v>6</v>
      </c>
      <c r="G193" t="s">
        <v>748</v>
      </c>
      <c r="H193" t="s">
        <v>10</v>
      </c>
      <c r="I193">
        <v>6.7283473455236054E-2</v>
      </c>
      <c r="J193" t="s">
        <v>6</v>
      </c>
      <c r="L193" t="s">
        <v>749</v>
      </c>
      <c r="M193" t="s">
        <v>10</v>
      </c>
      <c r="N193">
        <v>7.7114603096155018E-2</v>
      </c>
      <c r="O193" t="s">
        <v>6</v>
      </c>
    </row>
    <row r="194" spans="2:15" x14ac:dyDescent="0.45">
      <c r="B194" t="s">
        <v>747</v>
      </c>
      <c r="C194" t="s">
        <v>11</v>
      </c>
      <c r="D194">
        <v>2.145226535581904E-4</v>
      </c>
      <c r="E194" t="s">
        <v>6</v>
      </c>
      <c r="G194" t="s">
        <v>748</v>
      </c>
      <c r="H194" t="s">
        <v>11</v>
      </c>
      <c r="I194">
        <v>8.2201756069082338E-2</v>
      </c>
      <c r="J194" t="s">
        <v>6</v>
      </c>
      <c r="L194" t="s">
        <v>749</v>
      </c>
      <c r="M194" t="s">
        <v>11</v>
      </c>
      <c r="N194">
        <v>8.3555149566014383E-2</v>
      </c>
      <c r="O194" t="s">
        <v>6</v>
      </c>
    </row>
    <row r="195" spans="2:15" x14ac:dyDescent="0.45">
      <c r="B195" t="s">
        <v>747</v>
      </c>
      <c r="C195" t="s">
        <v>12</v>
      </c>
      <c r="D195">
        <v>0.24101454273565645</v>
      </c>
      <c r="E195" t="s">
        <v>6</v>
      </c>
      <c r="G195" t="s">
        <v>748</v>
      </c>
      <c r="H195" t="s">
        <v>12</v>
      </c>
      <c r="I195">
        <v>0.1749150728158668</v>
      </c>
      <c r="J195" t="s">
        <v>6</v>
      </c>
      <c r="L195" t="s">
        <v>749</v>
      </c>
      <c r="M195" t="s">
        <v>12</v>
      </c>
      <c r="N195">
        <v>0.10428202399711611</v>
      </c>
      <c r="O195" t="s">
        <v>6</v>
      </c>
    </row>
    <row r="196" spans="2:15" x14ac:dyDescent="0.45">
      <c r="B196" t="s">
        <v>747</v>
      </c>
      <c r="C196" t="s">
        <v>13</v>
      </c>
      <c r="D196">
        <v>1.9751974256967085E-2</v>
      </c>
      <c r="E196" t="s">
        <v>6</v>
      </c>
      <c r="G196" t="s">
        <v>748</v>
      </c>
      <c r="H196" t="s">
        <v>13</v>
      </c>
      <c r="I196">
        <v>0.10101028311644376</v>
      </c>
      <c r="J196" t="s">
        <v>6</v>
      </c>
      <c r="L196" t="s">
        <v>749</v>
      </c>
      <c r="M196" t="s">
        <v>13</v>
      </c>
      <c r="N196">
        <v>6.0135344437359163E-2</v>
      </c>
      <c r="O196" t="s">
        <v>6</v>
      </c>
    </row>
    <row r="197" spans="2:15" x14ac:dyDescent="0.45">
      <c r="B197" t="s">
        <v>747</v>
      </c>
      <c r="C197" t="s">
        <v>14</v>
      </c>
      <c r="D197">
        <v>5.6009705117131996E-4</v>
      </c>
      <c r="E197" t="s">
        <v>6</v>
      </c>
      <c r="G197" t="s">
        <v>748</v>
      </c>
      <c r="H197" t="s">
        <v>14</v>
      </c>
      <c r="I197">
        <v>2.197072378126556E-2</v>
      </c>
      <c r="J197" t="s">
        <v>6</v>
      </c>
      <c r="L197" t="s">
        <v>749</v>
      </c>
      <c r="M197" t="s">
        <v>14</v>
      </c>
      <c r="N197">
        <v>5.8373186846782332E-2</v>
      </c>
      <c r="O197" t="s">
        <v>6</v>
      </c>
    </row>
    <row r="198" spans="2:15" x14ac:dyDescent="0.45">
      <c r="B198" t="s">
        <v>747</v>
      </c>
      <c r="C198" t="s">
        <v>15</v>
      </c>
      <c r="D198">
        <v>0.28981947419491971</v>
      </c>
      <c r="E198" t="s">
        <v>6</v>
      </c>
      <c r="G198" t="s">
        <v>748</v>
      </c>
      <c r="H198" t="s">
        <v>15</v>
      </c>
      <c r="I198">
        <v>7.4427773809491768E-2</v>
      </c>
      <c r="J198" t="s">
        <v>6</v>
      </c>
      <c r="L198" t="s">
        <v>749</v>
      </c>
      <c r="M198" t="s">
        <v>15</v>
      </c>
      <c r="N198">
        <v>8.283080491292949E-2</v>
      </c>
      <c r="O198" t="s">
        <v>6</v>
      </c>
    </row>
    <row r="199" spans="2:15" x14ac:dyDescent="0.45">
      <c r="B199" t="s">
        <v>747</v>
      </c>
      <c r="C199" t="s">
        <v>16</v>
      </c>
      <c r="D199">
        <v>2.8633109839363912E-2</v>
      </c>
      <c r="E199" t="s">
        <v>6</v>
      </c>
      <c r="G199" t="s">
        <v>748</v>
      </c>
      <c r="H199" t="s">
        <v>16</v>
      </c>
      <c r="I199">
        <v>3.3002205381897125E-2</v>
      </c>
      <c r="J199" t="s">
        <v>6</v>
      </c>
      <c r="L199" t="s">
        <v>749</v>
      </c>
      <c r="M199" t="s">
        <v>16</v>
      </c>
      <c r="N199">
        <v>5.1807111825377887E-2</v>
      </c>
      <c r="O199" t="s">
        <v>6</v>
      </c>
    </row>
    <row r="200" spans="2:15" x14ac:dyDescent="0.45">
      <c r="B200" t="s">
        <v>747</v>
      </c>
      <c r="C200" t="s">
        <v>17</v>
      </c>
      <c r="D200">
        <v>0</v>
      </c>
      <c r="E200" t="s">
        <v>6</v>
      </c>
      <c r="G200" t="s">
        <v>748</v>
      </c>
      <c r="H200" t="s">
        <v>17</v>
      </c>
      <c r="I200">
        <v>7.4185747566696283E-2</v>
      </c>
      <c r="J200" t="s">
        <v>6</v>
      </c>
      <c r="L200" t="s">
        <v>749</v>
      </c>
      <c r="M200" t="s">
        <v>17</v>
      </c>
      <c r="N200">
        <v>8.1869334353681406E-2</v>
      </c>
      <c r="O200" t="s">
        <v>6</v>
      </c>
    </row>
    <row r="201" spans="2:15" x14ac:dyDescent="0.45">
      <c r="B201" t="s">
        <v>747</v>
      </c>
      <c r="C201" t="s">
        <v>18</v>
      </c>
      <c r="D201">
        <v>0.22487255949627266</v>
      </c>
      <c r="E201" t="s">
        <v>6</v>
      </c>
      <c r="G201" t="s">
        <v>748</v>
      </c>
      <c r="H201" t="s">
        <v>18</v>
      </c>
      <c r="I201">
        <v>0.10879328550449295</v>
      </c>
      <c r="J201" t="s">
        <v>6</v>
      </c>
      <c r="L201" t="s">
        <v>749</v>
      </c>
      <c r="M201" t="s">
        <v>18</v>
      </c>
      <c r="N201">
        <v>0.10813670249113391</v>
      </c>
      <c r="O201" t="s">
        <v>6</v>
      </c>
    </row>
    <row r="202" spans="2:15" x14ac:dyDescent="0.45">
      <c r="B202" t="s">
        <v>747</v>
      </c>
      <c r="C202" t="s">
        <v>19</v>
      </c>
      <c r="D202">
        <v>1.0045500636011827E-2</v>
      </c>
      <c r="E202" t="s">
        <v>6</v>
      </c>
      <c r="G202" t="s">
        <v>748</v>
      </c>
      <c r="H202" t="s">
        <v>19</v>
      </c>
      <c r="I202">
        <v>6.6089758720724062E-2</v>
      </c>
      <c r="J202" t="s">
        <v>6</v>
      </c>
      <c r="L202" t="s">
        <v>749</v>
      </c>
      <c r="M202" t="s">
        <v>19</v>
      </c>
      <c r="N202">
        <v>6.2213409137563187E-2</v>
      </c>
      <c r="O202" t="s">
        <v>6</v>
      </c>
    </row>
    <row r="203" spans="2:15" x14ac:dyDescent="0.45">
      <c r="B203" t="s">
        <v>750</v>
      </c>
      <c r="C203" t="s">
        <v>5</v>
      </c>
      <c r="D203">
        <v>0</v>
      </c>
      <c r="E203" t="s">
        <v>6</v>
      </c>
      <c r="G203" t="s">
        <v>751</v>
      </c>
      <c r="H203" t="s">
        <v>5</v>
      </c>
      <c r="I203">
        <v>0.10395988187643716</v>
      </c>
      <c r="J203" t="s">
        <v>6</v>
      </c>
      <c r="L203" t="s">
        <v>752</v>
      </c>
      <c r="M203" t="s">
        <v>5</v>
      </c>
      <c r="N203">
        <v>8.5544977459637336E-2</v>
      </c>
      <c r="O203" t="s">
        <v>6</v>
      </c>
    </row>
    <row r="204" spans="2:15" x14ac:dyDescent="0.45">
      <c r="B204" t="s">
        <v>750</v>
      </c>
      <c r="C204" t="s">
        <v>9</v>
      </c>
      <c r="D204">
        <v>0.17613317370773388</v>
      </c>
      <c r="E204" t="s">
        <v>6</v>
      </c>
      <c r="G204" t="s">
        <v>751</v>
      </c>
      <c r="H204" t="s">
        <v>9</v>
      </c>
      <c r="I204">
        <v>0.13221646066600662</v>
      </c>
      <c r="J204" t="s">
        <v>6</v>
      </c>
      <c r="L204" t="s">
        <v>752</v>
      </c>
      <c r="M204" t="s">
        <v>9</v>
      </c>
      <c r="N204">
        <v>0.10555760709484176</v>
      </c>
      <c r="O204" t="s">
        <v>6</v>
      </c>
    </row>
    <row r="205" spans="2:15" x14ac:dyDescent="0.45">
      <c r="B205" t="s">
        <v>750</v>
      </c>
      <c r="C205" t="s">
        <v>10</v>
      </c>
      <c r="D205">
        <v>8.4494951965465286E-3</v>
      </c>
      <c r="E205" t="s">
        <v>6</v>
      </c>
      <c r="G205" t="s">
        <v>751</v>
      </c>
      <c r="H205" t="s">
        <v>10</v>
      </c>
      <c r="I205">
        <v>8.2490748150755272E-2</v>
      </c>
      <c r="J205" t="s">
        <v>6</v>
      </c>
      <c r="L205" t="s">
        <v>752</v>
      </c>
      <c r="M205" t="s">
        <v>10</v>
      </c>
      <c r="N205">
        <v>6.7589904836939732E-2</v>
      </c>
      <c r="O205" t="s">
        <v>6</v>
      </c>
    </row>
    <row r="206" spans="2:15" x14ac:dyDescent="0.45">
      <c r="B206" t="s">
        <v>750</v>
      </c>
      <c r="C206" t="s">
        <v>11</v>
      </c>
      <c r="D206">
        <v>1.4868184184235427E-4</v>
      </c>
      <c r="E206" t="s">
        <v>6</v>
      </c>
      <c r="G206" t="s">
        <v>751</v>
      </c>
      <c r="H206" t="s">
        <v>11</v>
      </c>
      <c r="I206">
        <v>8.5377702357863253E-2</v>
      </c>
      <c r="J206" t="s">
        <v>6</v>
      </c>
      <c r="L206" t="s">
        <v>752</v>
      </c>
      <c r="M206" t="s">
        <v>11</v>
      </c>
      <c r="N206">
        <v>8.2496594433247639E-2</v>
      </c>
      <c r="O206" t="s">
        <v>6</v>
      </c>
    </row>
    <row r="207" spans="2:15" x14ac:dyDescent="0.45">
      <c r="B207" t="s">
        <v>750</v>
      </c>
      <c r="C207" t="s">
        <v>12</v>
      </c>
      <c r="D207">
        <v>0.23660689691573164</v>
      </c>
      <c r="E207" t="s">
        <v>6</v>
      </c>
      <c r="G207" t="s">
        <v>751</v>
      </c>
      <c r="H207" t="s">
        <v>12</v>
      </c>
      <c r="I207">
        <v>0.13634128343683835</v>
      </c>
      <c r="J207" t="s">
        <v>6</v>
      </c>
      <c r="L207" t="s">
        <v>752</v>
      </c>
      <c r="M207" t="s">
        <v>12</v>
      </c>
      <c r="N207">
        <v>0.10251154474825584</v>
      </c>
      <c r="O207" t="s">
        <v>6</v>
      </c>
    </row>
    <row r="208" spans="2:15" x14ac:dyDescent="0.45">
      <c r="B208" t="s">
        <v>750</v>
      </c>
      <c r="C208" t="s">
        <v>13</v>
      </c>
      <c r="D208">
        <v>2.1588789200255615E-2</v>
      </c>
      <c r="E208" t="s">
        <v>6</v>
      </c>
      <c r="G208" t="s">
        <v>751</v>
      </c>
      <c r="H208" t="s">
        <v>13</v>
      </c>
      <c r="I208">
        <v>8.402334931444419E-2</v>
      </c>
      <c r="J208" t="s">
        <v>6</v>
      </c>
      <c r="L208" t="s">
        <v>752</v>
      </c>
      <c r="M208" t="s">
        <v>13</v>
      </c>
      <c r="N208">
        <v>6.536101777606225E-2</v>
      </c>
      <c r="O208" t="s">
        <v>6</v>
      </c>
    </row>
    <row r="209" spans="2:15" x14ac:dyDescent="0.45">
      <c r="B209" t="s">
        <v>750</v>
      </c>
      <c r="C209" t="s">
        <v>14</v>
      </c>
      <c r="D209">
        <v>3.897247283534833E-4</v>
      </c>
      <c r="E209" t="s">
        <v>6</v>
      </c>
      <c r="G209" t="s">
        <v>751</v>
      </c>
      <c r="H209" t="s">
        <v>14</v>
      </c>
      <c r="I209">
        <v>6.4851347234351819E-2</v>
      </c>
      <c r="J209" t="s">
        <v>6</v>
      </c>
      <c r="L209" t="s">
        <v>752</v>
      </c>
      <c r="M209" t="s">
        <v>14</v>
      </c>
      <c r="N209">
        <v>7.3829987071119416E-2</v>
      </c>
      <c r="O209" t="s">
        <v>6</v>
      </c>
    </row>
    <row r="210" spans="2:15" x14ac:dyDescent="0.45">
      <c r="B210" t="s">
        <v>750</v>
      </c>
      <c r="C210" t="s">
        <v>15</v>
      </c>
      <c r="D210">
        <v>0.29052386271980507</v>
      </c>
      <c r="E210" t="s">
        <v>6</v>
      </c>
      <c r="G210" t="s">
        <v>751</v>
      </c>
      <c r="H210" t="s">
        <v>15</v>
      </c>
      <c r="I210">
        <v>4.8447765091776146E-2</v>
      </c>
      <c r="J210" t="s">
        <v>6</v>
      </c>
      <c r="L210" t="s">
        <v>752</v>
      </c>
      <c r="M210" t="s">
        <v>15</v>
      </c>
      <c r="N210">
        <v>0.10011219690697654</v>
      </c>
      <c r="O210" t="s">
        <v>6</v>
      </c>
    </row>
    <row r="211" spans="2:15" x14ac:dyDescent="0.45">
      <c r="B211" t="s">
        <v>750</v>
      </c>
      <c r="C211" t="s">
        <v>16</v>
      </c>
      <c r="D211">
        <v>3.18307866411058E-2</v>
      </c>
      <c r="E211" t="s">
        <v>6</v>
      </c>
      <c r="G211" t="s">
        <v>751</v>
      </c>
      <c r="H211" t="s">
        <v>16</v>
      </c>
      <c r="I211">
        <v>5.0222895221916766E-2</v>
      </c>
      <c r="J211" t="s">
        <v>6</v>
      </c>
      <c r="L211" t="s">
        <v>752</v>
      </c>
      <c r="M211" t="s">
        <v>16</v>
      </c>
      <c r="N211">
        <v>6.1130819656864399E-2</v>
      </c>
      <c r="O211" t="s">
        <v>6</v>
      </c>
    </row>
    <row r="212" spans="2:15" x14ac:dyDescent="0.45">
      <c r="B212" t="s">
        <v>750</v>
      </c>
      <c r="C212" t="s">
        <v>17</v>
      </c>
      <c r="D212">
        <v>0</v>
      </c>
      <c r="E212" t="s">
        <v>6</v>
      </c>
      <c r="G212" t="s">
        <v>751</v>
      </c>
      <c r="H212" t="s">
        <v>17</v>
      </c>
      <c r="I212">
        <v>7.1116500186062415E-2</v>
      </c>
      <c r="J212" t="s">
        <v>6</v>
      </c>
      <c r="L212" t="s">
        <v>752</v>
      </c>
      <c r="M212" t="s">
        <v>17</v>
      </c>
      <c r="N212">
        <v>8.5052215422854516E-2</v>
      </c>
      <c r="O212" t="s">
        <v>6</v>
      </c>
    </row>
    <row r="213" spans="2:15" x14ac:dyDescent="0.45">
      <c r="B213" t="s">
        <v>750</v>
      </c>
      <c r="C213" t="s">
        <v>18</v>
      </c>
      <c r="D213">
        <v>0.22286930326872514</v>
      </c>
      <c r="E213" t="s">
        <v>6</v>
      </c>
      <c r="G213" t="s">
        <v>751</v>
      </c>
      <c r="H213" t="s">
        <v>18</v>
      </c>
      <c r="I213">
        <v>7.9917652974123315E-2</v>
      </c>
      <c r="J213" t="s">
        <v>6</v>
      </c>
      <c r="L213" t="s">
        <v>752</v>
      </c>
      <c r="M213" t="s">
        <v>18</v>
      </c>
      <c r="N213">
        <v>0.10697408970903999</v>
      </c>
      <c r="O213" t="s">
        <v>6</v>
      </c>
    </row>
    <row r="214" spans="2:15" x14ac:dyDescent="0.45">
      <c r="B214" t="s">
        <v>750</v>
      </c>
      <c r="C214" t="s">
        <v>19</v>
      </c>
      <c r="D214">
        <v>1.1459285779900515E-2</v>
      </c>
      <c r="E214" t="s">
        <v>6</v>
      </c>
      <c r="G214" t="s">
        <v>751</v>
      </c>
      <c r="H214" t="s">
        <v>19</v>
      </c>
      <c r="I214">
        <v>6.1034413489426523E-2</v>
      </c>
      <c r="J214" t="s">
        <v>6</v>
      </c>
      <c r="L214" t="s">
        <v>752</v>
      </c>
      <c r="M214" t="s">
        <v>19</v>
      </c>
      <c r="N214">
        <v>6.3839044884158744E-2</v>
      </c>
      <c r="O214" t="s">
        <v>6</v>
      </c>
    </row>
    <row r="215" spans="2:15" x14ac:dyDescent="0.45">
      <c r="B215" t="s">
        <v>753</v>
      </c>
      <c r="C215" t="s">
        <v>5</v>
      </c>
      <c r="D215">
        <v>0</v>
      </c>
      <c r="E215" t="s">
        <v>6</v>
      </c>
      <c r="G215" t="s">
        <v>754</v>
      </c>
      <c r="H215" t="s">
        <v>5</v>
      </c>
      <c r="I215">
        <v>0.11532611920073978</v>
      </c>
      <c r="J215" t="s">
        <v>6</v>
      </c>
      <c r="L215" t="s">
        <v>755</v>
      </c>
      <c r="M215" t="s">
        <v>5</v>
      </c>
      <c r="N215">
        <v>0.11490719100562499</v>
      </c>
      <c r="O215" t="s">
        <v>6</v>
      </c>
    </row>
    <row r="216" spans="2:15" x14ac:dyDescent="0.45">
      <c r="B216" t="s">
        <v>753</v>
      </c>
      <c r="C216" t="s">
        <v>9</v>
      </c>
      <c r="D216">
        <v>0.18680957508042037</v>
      </c>
      <c r="E216" t="s">
        <v>6</v>
      </c>
      <c r="G216" t="s">
        <v>754</v>
      </c>
      <c r="H216" t="s">
        <v>9</v>
      </c>
      <c r="I216">
        <v>0.14730834315267619</v>
      </c>
      <c r="J216" t="s">
        <v>6</v>
      </c>
      <c r="L216" t="s">
        <v>755</v>
      </c>
      <c r="M216" t="s">
        <v>9</v>
      </c>
      <c r="N216">
        <v>0.13340159668194124</v>
      </c>
      <c r="O216" t="s">
        <v>6</v>
      </c>
    </row>
    <row r="217" spans="2:15" x14ac:dyDescent="0.45">
      <c r="B217" t="s">
        <v>753</v>
      </c>
      <c r="C217" t="s">
        <v>10</v>
      </c>
      <c r="D217">
        <v>7.3613110082830424E-3</v>
      </c>
      <c r="E217" t="s">
        <v>6</v>
      </c>
      <c r="G217" t="s">
        <v>754</v>
      </c>
      <c r="H217" t="s">
        <v>10</v>
      </c>
      <c r="I217">
        <v>8.3878616681627077E-2</v>
      </c>
      <c r="J217" t="s">
        <v>6</v>
      </c>
      <c r="L217" t="s">
        <v>755</v>
      </c>
      <c r="M217" t="s">
        <v>10</v>
      </c>
      <c r="N217">
        <v>8.4481138985728219E-2</v>
      </c>
      <c r="O217" t="s">
        <v>6</v>
      </c>
    </row>
    <row r="218" spans="2:15" x14ac:dyDescent="0.45">
      <c r="B218" t="s">
        <v>753</v>
      </c>
      <c r="C218" t="s">
        <v>11</v>
      </c>
      <c r="D218">
        <v>2.3504486109605035E-4</v>
      </c>
      <c r="E218" t="s">
        <v>6</v>
      </c>
      <c r="G218" t="s">
        <v>754</v>
      </c>
      <c r="H218" t="s">
        <v>11</v>
      </c>
      <c r="I218">
        <v>8.1157836621492646E-2</v>
      </c>
      <c r="J218" t="s">
        <v>6</v>
      </c>
      <c r="L218" t="s">
        <v>755</v>
      </c>
      <c r="M218" t="s">
        <v>11</v>
      </c>
      <c r="N218">
        <v>8.6350038616480537E-2</v>
      </c>
      <c r="O218" t="s">
        <v>6</v>
      </c>
    </row>
    <row r="219" spans="2:15" x14ac:dyDescent="0.45">
      <c r="B219" t="s">
        <v>753</v>
      </c>
      <c r="C219" t="s">
        <v>12</v>
      </c>
      <c r="D219">
        <v>0.24296929720603525</v>
      </c>
      <c r="E219" t="s">
        <v>6</v>
      </c>
      <c r="G219" t="s">
        <v>754</v>
      </c>
      <c r="H219" t="s">
        <v>12</v>
      </c>
      <c r="I219">
        <v>0.13505978405331048</v>
      </c>
      <c r="J219" t="s">
        <v>6</v>
      </c>
      <c r="L219" t="s">
        <v>755</v>
      </c>
      <c r="M219" t="s">
        <v>12</v>
      </c>
      <c r="N219">
        <v>0.11047079725041081</v>
      </c>
      <c r="O219" t="s">
        <v>6</v>
      </c>
    </row>
    <row r="220" spans="2:15" x14ac:dyDescent="0.45">
      <c r="B220" t="s">
        <v>753</v>
      </c>
      <c r="C220" t="s">
        <v>13</v>
      </c>
      <c r="D220">
        <v>1.8517334136462244E-2</v>
      </c>
      <c r="E220" t="s">
        <v>6</v>
      </c>
      <c r="G220" t="s">
        <v>754</v>
      </c>
      <c r="H220" t="s">
        <v>13</v>
      </c>
      <c r="I220">
        <v>7.5234512168446135E-2</v>
      </c>
      <c r="J220" t="s">
        <v>6</v>
      </c>
      <c r="L220" t="s">
        <v>755</v>
      </c>
      <c r="M220" t="s">
        <v>13</v>
      </c>
      <c r="N220">
        <v>6.4327690081790928E-2</v>
      </c>
      <c r="O220" t="s">
        <v>6</v>
      </c>
    </row>
    <row r="221" spans="2:15" x14ac:dyDescent="0.45">
      <c r="B221" t="s">
        <v>753</v>
      </c>
      <c r="C221" t="s">
        <v>14</v>
      </c>
      <c r="D221">
        <v>5.7862114353630131E-4</v>
      </c>
      <c r="E221" t="s">
        <v>6</v>
      </c>
      <c r="G221" t="s">
        <v>754</v>
      </c>
      <c r="H221" t="s">
        <v>14</v>
      </c>
      <c r="I221">
        <v>3.2674153835807213E-2</v>
      </c>
      <c r="J221" t="s">
        <v>6</v>
      </c>
      <c r="L221" t="s">
        <v>755</v>
      </c>
      <c r="M221" t="s">
        <v>14</v>
      </c>
      <c r="N221">
        <v>4.909633144809538E-2</v>
      </c>
      <c r="O221" t="s">
        <v>6</v>
      </c>
    </row>
    <row r="222" spans="2:15" x14ac:dyDescent="0.45">
      <c r="B222" t="s">
        <v>753</v>
      </c>
      <c r="C222" t="s">
        <v>15</v>
      </c>
      <c r="D222">
        <v>0.28178566909777175</v>
      </c>
      <c r="E222" t="s">
        <v>6</v>
      </c>
      <c r="G222" t="s">
        <v>754</v>
      </c>
      <c r="H222" t="s">
        <v>15</v>
      </c>
      <c r="I222">
        <v>3.8711654440831481E-2</v>
      </c>
      <c r="J222" t="s">
        <v>6</v>
      </c>
      <c r="L222" t="s">
        <v>755</v>
      </c>
      <c r="M222" t="s">
        <v>15</v>
      </c>
      <c r="N222">
        <v>7.3133731022658646E-2</v>
      </c>
      <c r="O222" t="s">
        <v>6</v>
      </c>
    </row>
    <row r="223" spans="2:15" x14ac:dyDescent="0.45">
      <c r="B223" t="s">
        <v>753</v>
      </c>
      <c r="C223" t="s">
        <v>16</v>
      </c>
      <c r="D223">
        <v>2.5335787766141538E-2</v>
      </c>
      <c r="E223" t="s">
        <v>6</v>
      </c>
      <c r="G223" t="s">
        <v>754</v>
      </c>
      <c r="H223" t="s">
        <v>16</v>
      </c>
      <c r="I223">
        <v>4.4610409841910004E-2</v>
      </c>
      <c r="J223" t="s">
        <v>6</v>
      </c>
      <c r="L223" t="s">
        <v>755</v>
      </c>
      <c r="M223" t="s">
        <v>16</v>
      </c>
      <c r="N223">
        <v>4.2200829054487292E-2</v>
      </c>
      <c r="O223" t="s">
        <v>6</v>
      </c>
    </row>
    <row r="224" spans="2:15" x14ac:dyDescent="0.45">
      <c r="B224" t="s">
        <v>753</v>
      </c>
      <c r="C224" t="s">
        <v>17</v>
      </c>
      <c r="D224">
        <v>0</v>
      </c>
      <c r="E224" t="s">
        <v>6</v>
      </c>
      <c r="G224" t="s">
        <v>754</v>
      </c>
      <c r="H224" t="s">
        <v>17</v>
      </c>
      <c r="I224">
        <v>7.4080059581875829E-2</v>
      </c>
      <c r="J224" t="s">
        <v>6</v>
      </c>
      <c r="L224" t="s">
        <v>755</v>
      </c>
      <c r="M224" t="s">
        <v>17</v>
      </c>
      <c r="N224">
        <v>7.7185110584073152E-2</v>
      </c>
      <c r="O224" t="s">
        <v>6</v>
      </c>
    </row>
    <row r="225" spans="2:15" x14ac:dyDescent="0.45">
      <c r="B225" t="s">
        <v>753</v>
      </c>
      <c r="C225" t="s">
        <v>18</v>
      </c>
      <c r="D225">
        <v>0.22745425753419568</v>
      </c>
      <c r="E225" t="s">
        <v>6</v>
      </c>
      <c r="G225" t="s">
        <v>754</v>
      </c>
      <c r="H225" t="s">
        <v>18</v>
      </c>
      <c r="I225">
        <v>0.10839283359223359</v>
      </c>
      <c r="J225" t="s">
        <v>6</v>
      </c>
      <c r="L225" t="s">
        <v>755</v>
      </c>
      <c r="M225" t="s">
        <v>18</v>
      </c>
      <c r="N225">
        <v>0.10400878877638729</v>
      </c>
      <c r="O225" t="s">
        <v>6</v>
      </c>
    </row>
    <row r="226" spans="2:15" x14ac:dyDescent="0.45">
      <c r="B226" t="s">
        <v>753</v>
      </c>
      <c r="C226" t="s">
        <v>19</v>
      </c>
      <c r="D226">
        <v>8.9531021660569556E-3</v>
      </c>
      <c r="E226" t="s">
        <v>6</v>
      </c>
      <c r="G226" t="s">
        <v>754</v>
      </c>
      <c r="H226" t="s">
        <v>19</v>
      </c>
      <c r="I226">
        <v>6.356567682905194E-2</v>
      </c>
      <c r="J226" t="s">
        <v>6</v>
      </c>
      <c r="L226" t="s">
        <v>755</v>
      </c>
      <c r="M226" t="s">
        <v>19</v>
      </c>
      <c r="N226">
        <v>6.0436756492321671E-2</v>
      </c>
      <c r="O226" t="s">
        <v>6</v>
      </c>
    </row>
    <row r="227" spans="2:15" x14ac:dyDescent="0.45">
      <c r="B227" t="s">
        <v>756</v>
      </c>
      <c r="C227" t="s">
        <v>5</v>
      </c>
      <c r="D227">
        <v>0</v>
      </c>
      <c r="E227" t="s">
        <v>6</v>
      </c>
      <c r="G227" t="s">
        <v>757</v>
      </c>
      <c r="H227" t="s">
        <v>5</v>
      </c>
      <c r="I227">
        <v>0.1322313136958829</v>
      </c>
      <c r="J227" t="s">
        <v>6</v>
      </c>
      <c r="L227" t="s">
        <v>758</v>
      </c>
      <c r="M227" t="s">
        <v>5</v>
      </c>
      <c r="N227">
        <v>0.11296463117700953</v>
      </c>
      <c r="O227" t="s">
        <v>6</v>
      </c>
    </row>
    <row r="228" spans="2:15" x14ac:dyDescent="0.45">
      <c r="B228" t="s">
        <v>756</v>
      </c>
      <c r="C228" t="s">
        <v>9</v>
      </c>
      <c r="D228">
        <v>0.19038453032988772</v>
      </c>
      <c r="E228" t="s">
        <v>6</v>
      </c>
      <c r="G228" t="s">
        <v>757</v>
      </c>
      <c r="H228" t="s">
        <v>9</v>
      </c>
      <c r="I228">
        <v>0.16471635230584203</v>
      </c>
      <c r="J228" t="s">
        <v>6</v>
      </c>
      <c r="L228" t="s">
        <v>758</v>
      </c>
      <c r="M228" t="s">
        <v>9</v>
      </c>
      <c r="N228">
        <v>0.12772162823676306</v>
      </c>
      <c r="O228" t="s">
        <v>6</v>
      </c>
    </row>
    <row r="229" spans="2:15" x14ac:dyDescent="0.45">
      <c r="B229" t="s">
        <v>756</v>
      </c>
      <c r="C229" t="s">
        <v>10</v>
      </c>
      <c r="D229">
        <v>8.3058206932575852E-3</v>
      </c>
      <c r="E229" t="s">
        <v>6</v>
      </c>
      <c r="G229" t="s">
        <v>757</v>
      </c>
      <c r="H229" t="s">
        <v>10</v>
      </c>
      <c r="I229">
        <v>9.9251802184375057E-2</v>
      </c>
      <c r="J229" t="s">
        <v>6</v>
      </c>
      <c r="L229" t="s">
        <v>758</v>
      </c>
      <c r="M229" t="s">
        <v>10</v>
      </c>
      <c r="N229">
        <v>8.1512313179434692E-2</v>
      </c>
      <c r="O229" t="s">
        <v>6</v>
      </c>
    </row>
    <row r="230" spans="2:15" x14ac:dyDescent="0.45">
      <c r="B230" t="s">
        <v>756</v>
      </c>
      <c r="C230" t="s">
        <v>11</v>
      </c>
      <c r="D230">
        <v>1.7446154532216998E-4</v>
      </c>
      <c r="E230" t="s">
        <v>6</v>
      </c>
      <c r="G230" t="s">
        <v>757</v>
      </c>
      <c r="H230" t="s">
        <v>11</v>
      </c>
      <c r="I230">
        <v>0.10468027146803111</v>
      </c>
      <c r="J230" t="s">
        <v>6</v>
      </c>
      <c r="L230" t="s">
        <v>758</v>
      </c>
      <c r="M230" t="s">
        <v>11</v>
      </c>
      <c r="N230">
        <v>9.2473921399453984E-2</v>
      </c>
      <c r="O230" t="s">
        <v>6</v>
      </c>
    </row>
    <row r="231" spans="2:15" x14ac:dyDescent="0.45">
      <c r="B231" t="s">
        <v>756</v>
      </c>
      <c r="C231" t="s">
        <v>12</v>
      </c>
      <c r="D231">
        <v>0.24651545865856056</v>
      </c>
      <c r="E231" t="s">
        <v>6</v>
      </c>
      <c r="G231" t="s">
        <v>757</v>
      </c>
      <c r="H231" t="s">
        <v>12</v>
      </c>
      <c r="I231">
        <v>0.16116738850981807</v>
      </c>
      <c r="J231" t="s">
        <v>6</v>
      </c>
      <c r="L231" t="s">
        <v>758</v>
      </c>
      <c r="M231" t="s">
        <v>12</v>
      </c>
      <c r="N231">
        <v>0.11683238826043497</v>
      </c>
      <c r="O231" t="s">
        <v>6</v>
      </c>
    </row>
    <row r="232" spans="2:15" x14ac:dyDescent="0.45">
      <c r="B232" t="s">
        <v>756</v>
      </c>
      <c r="C232" t="s">
        <v>13</v>
      </c>
      <c r="D232">
        <v>2.007426719001627E-2</v>
      </c>
      <c r="E232" t="s">
        <v>6</v>
      </c>
      <c r="G232" t="s">
        <v>757</v>
      </c>
      <c r="H232" t="s">
        <v>13</v>
      </c>
      <c r="I232">
        <v>9.2408963858069113E-2</v>
      </c>
      <c r="J232" t="s">
        <v>6</v>
      </c>
      <c r="L232" t="s">
        <v>758</v>
      </c>
      <c r="M232" t="s">
        <v>13</v>
      </c>
      <c r="N232">
        <v>6.7341619922174537E-2</v>
      </c>
      <c r="O232" t="s">
        <v>6</v>
      </c>
    </row>
    <row r="233" spans="2:15" x14ac:dyDescent="0.45">
      <c r="B233" t="s">
        <v>756</v>
      </c>
      <c r="C233" t="s">
        <v>14</v>
      </c>
      <c r="D233">
        <v>4.3691170442176203E-4</v>
      </c>
      <c r="E233" t="s">
        <v>6</v>
      </c>
      <c r="G233" t="s">
        <v>757</v>
      </c>
      <c r="H233" t="s">
        <v>14</v>
      </c>
      <c r="I233">
        <v>2.5416105224607712E-2</v>
      </c>
      <c r="J233" t="s">
        <v>6</v>
      </c>
      <c r="L233" t="s">
        <v>758</v>
      </c>
      <c r="M233" t="s">
        <v>14</v>
      </c>
      <c r="N233">
        <v>4.0456536273084806E-2</v>
      </c>
      <c r="O233" t="s">
        <v>6</v>
      </c>
    </row>
    <row r="234" spans="2:15" x14ac:dyDescent="0.45">
      <c r="B234" t="s">
        <v>756</v>
      </c>
      <c r="C234" t="s">
        <v>15</v>
      </c>
      <c r="D234">
        <v>0.27650658672169892</v>
      </c>
      <c r="E234" t="s">
        <v>6</v>
      </c>
      <c r="G234" t="s">
        <v>757</v>
      </c>
      <c r="H234" t="s">
        <v>15</v>
      </c>
      <c r="I234">
        <v>4.5515828566741842E-2</v>
      </c>
      <c r="J234" t="s">
        <v>6</v>
      </c>
      <c r="L234" t="s">
        <v>758</v>
      </c>
      <c r="M234" t="s">
        <v>15</v>
      </c>
      <c r="N234">
        <v>5.8394862642718023E-2</v>
      </c>
      <c r="O234" t="s">
        <v>6</v>
      </c>
    </row>
    <row r="235" spans="2:15" x14ac:dyDescent="0.45">
      <c r="B235" t="s">
        <v>756</v>
      </c>
      <c r="C235" t="s">
        <v>16</v>
      </c>
      <c r="D235">
        <v>2.6032706301917456E-2</v>
      </c>
      <c r="E235" t="s">
        <v>6</v>
      </c>
      <c r="G235" t="s">
        <v>757</v>
      </c>
      <c r="H235" t="s">
        <v>16</v>
      </c>
      <c r="I235">
        <v>3.6037835591088196E-2</v>
      </c>
      <c r="J235" t="s">
        <v>6</v>
      </c>
      <c r="L235" t="s">
        <v>758</v>
      </c>
      <c r="M235" t="s">
        <v>16</v>
      </c>
      <c r="N235">
        <v>3.9658302953755366E-2</v>
      </c>
      <c r="O235" t="s">
        <v>6</v>
      </c>
    </row>
    <row r="236" spans="2:15" x14ac:dyDescent="0.45">
      <c r="B236" t="s">
        <v>756</v>
      </c>
      <c r="C236" t="s">
        <v>17</v>
      </c>
      <c r="D236">
        <v>0</v>
      </c>
      <c r="E236" t="s">
        <v>6</v>
      </c>
      <c r="G236" t="s">
        <v>757</v>
      </c>
      <c r="H236" t="s">
        <v>17</v>
      </c>
      <c r="I236">
        <v>3.8857324703847285E-2</v>
      </c>
      <c r="J236" t="s">
        <v>6</v>
      </c>
      <c r="L236" t="s">
        <v>758</v>
      </c>
      <c r="M236" t="s">
        <v>17</v>
      </c>
      <c r="N236">
        <v>8.7664274424238867E-2</v>
      </c>
      <c r="O236" t="s">
        <v>6</v>
      </c>
    </row>
    <row r="237" spans="2:15" x14ac:dyDescent="0.45">
      <c r="B237" t="s">
        <v>756</v>
      </c>
      <c r="C237" t="s">
        <v>18</v>
      </c>
      <c r="D237">
        <v>0.22263144511064953</v>
      </c>
      <c r="E237" t="s">
        <v>6</v>
      </c>
      <c r="G237" t="s">
        <v>757</v>
      </c>
      <c r="H237" t="s">
        <v>18</v>
      </c>
      <c r="I237">
        <v>6.1181153970982539E-2</v>
      </c>
      <c r="J237" t="s">
        <v>6</v>
      </c>
      <c r="L237" t="s">
        <v>758</v>
      </c>
      <c r="M237" t="s">
        <v>18</v>
      </c>
      <c r="N237">
        <v>0.10588047083718995</v>
      </c>
      <c r="O237" t="s">
        <v>6</v>
      </c>
    </row>
    <row r="238" spans="2:15" x14ac:dyDescent="0.45">
      <c r="B238" t="s">
        <v>756</v>
      </c>
      <c r="C238" t="s">
        <v>19</v>
      </c>
      <c r="D238">
        <v>8.9378117442690738E-3</v>
      </c>
      <c r="E238" t="s">
        <v>6</v>
      </c>
      <c r="G238" t="s">
        <v>757</v>
      </c>
      <c r="H238" t="s">
        <v>19</v>
      </c>
      <c r="I238">
        <v>3.8535659920713158E-2</v>
      </c>
      <c r="J238" t="s">
        <v>6</v>
      </c>
      <c r="L238" t="s">
        <v>758</v>
      </c>
      <c r="M238" t="s">
        <v>19</v>
      </c>
      <c r="N238">
        <v>6.9099050693746777E-2</v>
      </c>
      <c r="O238" t="s">
        <v>6</v>
      </c>
    </row>
    <row r="239" spans="2:15" x14ac:dyDescent="0.45">
      <c r="B239" t="s">
        <v>759</v>
      </c>
      <c r="C239" t="s">
        <v>5</v>
      </c>
      <c r="D239">
        <v>0</v>
      </c>
      <c r="E239" t="s">
        <v>6</v>
      </c>
      <c r="G239" t="s">
        <v>760</v>
      </c>
      <c r="H239" t="s">
        <v>5</v>
      </c>
      <c r="I239">
        <v>0.15403534203458794</v>
      </c>
      <c r="J239" t="s">
        <v>6</v>
      </c>
    </row>
    <row r="240" spans="2:15" x14ac:dyDescent="0.45">
      <c r="B240" t="s">
        <v>759</v>
      </c>
      <c r="C240" t="s">
        <v>9</v>
      </c>
      <c r="D240">
        <v>0.19497002435036981</v>
      </c>
      <c r="E240" t="s">
        <v>6</v>
      </c>
      <c r="G240" t="s">
        <v>760</v>
      </c>
      <c r="H240" t="s">
        <v>9</v>
      </c>
      <c r="I240">
        <v>0.17707705269625013</v>
      </c>
      <c r="J240" t="s">
        <v>6</v>
      </c>
    </row>
    <row r="241" spans="2:10" x14ac:dyDescent="0.45">
      <c r="B241" t="s">
        <v>759</v>
      </c>
      <c r="C241" t="s">
        <v>10</v>
      </c>
      <c r="D241">
        <v>7.0198134055819324E-3</v>
      </c>
      <c r="E241" t="s">
        <v>6</v>
      </c>
      <c r="G241" t="s">
        <v>760</v>
      </c>
      <c r="H241" t="s">
        <v>10</v>
      </c>
      <c r="I241">
        <v>9.6961266291788167E-2</v>
      </c>
      <c r="J241" t="s">
        <v>6</v>
      </c>
    </row>
    <row r="242" spans="2:10" x14ac:dyDescent="0.45">
      <c r="B242" t="s">
        <v>759</v>
      </c>
      <c r="C242" t="s">
        <v>11</v>
      </c>
      <c r="D242">
        <v>2.8079217811868883E-4</v>
      </c>
      <c r="E242" t="s">
        <v>6</v>
      </c>
      <c r="G242" t="s">
        <v>760</v>
      </c>
      <c r="H242" t="s">
        <v>11</v>
      </c>
      <c r="I242">
        <v>9.7195394056399945E-2</v>
      </c>
      <c r="J242" t="s">
        <v>6</v>
      </c>
    </row>
    <row r="243" spans="2:10" x14ac:dyDescent="0.45">
      <c r="B243" t="s">
        <v>759</v>
      </c>
      <c r="C243" t="s">
        <v>12</v>
      </c>
      <c r="D243">
        <v>0.2510379705919098</v>
      </c>
      <c r="E243" t="s">
        <v>6</v>
      </c>
      <c r="G243" t="s">
        <v>760</v>
      </c>
      <c r="H243" t="s">
        <v>12</v>
      </c>
      <c r="I243">
        <v>0.14116532350281391</v>
      </c>
      <c r="J243" t="s">
        <v>6</v>
      </c>
    </row>
    <row r="244" spans="2:10" x14ac:dyDescent="0.45">
      <c r="B244" t="s">
        <v>759</v>
      </c>
      <c r="C244" t="s">
        <v>13</v>
      </c>
      <c r="D244">
        <v>1.7841274150088803E-2</v>
      </c>
      <c r="E244" t="s">
        <v>6</v>
      </c>
      <c r="G244" t="s">
        <v>760</v>
      </c>
      <c r="H244" t="s">
        <v>13</v>
      </c>
      <c r="I244">
        <v>7.5294437864598371E-2</v>
      </c>
      <c r="J244" t="s">
        <v>6</v>
      </c>
    </row>
    <row r="245" spans="2:10" x14ac:dyDescent="0.45">
      <c r="B245" t="s">
        <v>759</v>
      </c>
      <c r="C245" t="s">
        <v>14</v>
      </c>
      <c r="D245">
        <v>6.5523270445504459E-4</v>
      </c>
      <c r="E245" t="s">
        <v>6</v>
      </c>
      <c r="G245" t="s">
        <v>760</v>
      </c>
      <c r="H245" t="s">
        <v>14</v>
      </c>
      <c r="I245">
        <v>1.567772190108719E-2</v>
      </c>
      <c r="J245" t="s">
        <v>6</v>
      </c>
    </row>
    <row r="246" spans="2:10" x14ac:dyDescent="0.45">
      <c r="B246" t="s">
        <v>759</v>
      </c>
      <c r="C246" t="s">
        <v>15</v>
      </c>
      <c r="D246">
        <v>0.27458045458556174</v>
      </c>
      <c r="E246" t="s">
        <v>6</v>
      </c>
      <c r="G246" t="s">
        <v>760</v>
      </c>
      <c r="H246" t="s">
        <v>15</v>
      </c>
      <c r="I246">
        <v>3.9815582568345061E-2</v>
      </c>
      <c r="J246" t="s">
        <v>6</v>
      </c>
    </row>
    <row r="247" spans="2:10" x14ac:dyDescent="0.45">
      <c r="B247" t="s">
        <v>759</v>
      </c>
      <c r="C247" t="s">
        <v>16</v>
      </c>
      <c r="D247">
        <v>2.3470116349007836E-2</v>
      </c>
      <c r="E247" t="s">
        <v>6</v>
      </c>
      <c r="G247" t="s">
        <v>760</v>
      </c>
      <c r="H247" t="s">
        <v>16</v>
      </c>
      <c r="I247">
        <v>2.5883963470884949E-2</v>
      </c>
      <c r="J247" t="s">
        <v>6</v>
      </c>
    </row>
    <row r="248" spans="2:10" x14ac:dyDescent="0.45">
      <c r="B248" t="s">
        <v>759</v>
      </c>
      <c r="C248" t="s">
        <v>17</v>
      </c>
      <c r="D248">
        <v>0</v>
      </c>
      <c r="E248" t="s">
        <v>6</v>
      </c>
      <c r="G248" t="s">
        <v>760</v>
      </c>
      <c r="H248" t="s">
        <v>17</v>
      </c>
      <c r="I248">
        <v>6.0773902220775257E-2</v>
      </c>
      <c r="J248" t="s">
        <v>6</v>
      </c>
    </row>
    <row r="249" spans="2:10" x14ac:dyDescent="0.45">
      <c r="B249" t="s">
        <v>759</v>
      </c>
      <c r="C249" t="s">
        <v>18</v>
      </c>
      <c r="D249">
        <v>0.22222946450141165</v>
      </c>
      <c r="E249" t="s">
        <v>6</v>
      </c>
      <c r="G249" t="s">
        <v>760</v>
      </c>
      <c r="H249" t="s">
        <v>18</v>
      </c>
      <c r="I249">
        <v>6.9719324434141014E-2</v>
      </c>
      <c r="J249" t="s">
        <v>6</v>
      </c>
    </row>
    <row r="250" spans="2:10" x14ac:dyDescent="0.45">
      <c r="B250" t="s">
        <v>759</v>
      </c>
      <c r="C250" t="s">
        <v>19</v>
      </c>
      <c r="D250">
        <v>7.9148571834959051E-3</v>
      </c>
      <c r="E250" t="s">
        <v>6</v>
      </c>
      <c r="G250" t="s">
        <v>760</v>
      </c>
      <c r="H250" t="s">
        <v>19</v>
      </c>
      <c r="I250">
        <v>4.6400688958334955E-2</v>
      </c>
      <c r="J250" t="s">
        <v>6</v>
      </c>
    </row>
    <row r="251" spans="2:10" x14ac:dyDescent="0.45">
      <c r="B251" t="s">
        <v>761</v>
      </c>
      <c r="C251" t="s">
        <v>5</v>
      </c>
      <c r="D251">
        <v>0</v>
      </c>
      <c r="E251" t="s">
        <v>6</v>
      </c>
      <c r="G251" t="s">
        <v>762</v>
      </c>
      <c r="H251" t="s">
        <v>5</v>
      </c>
      <c r="I251">
        <v>0.13725493577626136</v>
      </c>
      <c r="J251" t="s">
        <v>6</v>
      </c>
    </row>
    <row r="252" spans="2:10" x14ac:dyDescent="0.45">
      <c r="B252" t="s">
        <v>761</v>
      </c>
      <c r="C252" t="s">
        <v>9</v>
      </c>
      <c r="D252">
        <v>0.19078933184892791</v>
      </c>
      <c r="E252" t="s">
        <v>6</v>
      </c>
      <c r="G252" t="s">
        <v>762</v>
      </c>
      <c r="H252" t="s">
        <v>9</v>
      </c>
      <c r="I252">
        <v>0.17012696405467961</v>
      </c>
      <c r="J252" t="s">
        <v>6</v>
      </c>
    </row>
    <row r="253" spans="2:10" x14ac:dyDescent="0.45">
      <c r="B253" t="s">
        <v>761</v>
      </c>
      <c r="C253" t="s">
        <v>10</v>
      </c>
      <c r="D253">
        <v>5.8568558202829564E-3</v>
      </c>
      <c r="E253" t="s">
        <v>6</v>
      </c>
      <c r="G253" t="s">
        <v>762</v>
      </c>
      <c r="H253" t="s">
        <v>10</v>
      </c>
      <c r="I253">
        <v>9.5856392389192274E-2</v>
      </c>
      <c r="J253" t="s">
        <v>6</v>
      </c>
    </row>
    <row r="254" spans="2:10" x14ac:dyDescent="0.45">
      <c r="B254" t="s">
        <v>761</v>
      </c>
      <c r="C254" t="s">
        <v>11</v>
      </c>
      <c r="D254">
        <v>3.4369237718908377E-4</v>
      </c>
      <c r="E254" t="s">
        <v>6</v>
      </c>
      <c r="G254" t="s">
        <v>762</v>
      </c>
      <c r="H254" t="s">
        <v>11</v>
      </c>
      <c r="I254">
        <v>8.0789692325761095E-2</v>
      </c>
      <c r="J254" t="s">
        <v>6</v>
      </c>
    </row>
    <row r="255" spans="2:10" x14ac:dyDescent="0.45">
      <c r="B255" t="s">
        <v>761</v>
      </c>
      <c r="C255" t="s">
        <v>12</v>
      </c>
      <c r="D255">
        <v>0.25346312182404329</v>
      </c>
      <c r="E255" t="s">
        <v>6</v>
      </c>
      <c r="G255" t="s">
        <v>762</v>
      </c>
      <c r="H255" t="s">
        <v>12</v>
      </c>
      <c r="I255">
        <v>0.13612846497131684</v>
      </c>
      <c r="J255" t="s">
        <v>6</v>
      </c>
    </row>
    <row r="256" spans="2:10" x14ac:dyDescent="0.45">
      <c r="B256" t="s">
        <v>761</v>
      </c>
      <c r="C256" t="s">
        <v>13</v>
      </c>
      <c r="D256">
        <v>1.7671575815101995E-2</v>
      </c>
      <c r="E256" t="s">
        <v>6</v>
      </c>
      <c r="G256" t="s">
        <v>762</v>
      </c>
      <c r="H256" t="s">
        <v>13</v>
      </c>
      <c r="I256">
        <v>7.834769516702339E-2</v>
      </c>
      <c r="J256" t="s">
        <v>6</v>
      </c>
    </row>
    <row r="257" spans="2:10" x14ac:dyDescent="0.45">
      <c r="B257" t="s">
        <v>761</v>
      </c>
      <c r="C257" t="s">
        <v>14</v>
      </c>
      <c r="D257">
        <v>7.7909784173341623E-4</v>
      </c>
      <c r="E257" t="s">
        <v>6</v>
      </c>
      <c r="G257" t="s">
        <v>762</v>
      </c>
      <c r="H257" t="s">
        <v>14</v>
      </c>
      <c r="I257">
        <v>2.2786621027261113E-2</v>
      </c>
      <c r="J257" t="s">
        <v>6</v>
      </c>
    </row>
    <row r="258" spans="2:10" x14ac:dyDescent="0.45">
      <c r="B258" t="s">
        <v>761</v>
      </c>
      <c r="C258" t="s">
        <v>15</v>
      </c>
      <c r="D258">
        <v>0.27581821404629153</v>
      </c>
      <c r="E258" t="s">
        <v>6</v>
      </c>
      <c r="G258" t="s">
        <v>762</v>
      </c>
      <c r="H258" t="s">
        <v>15</v>
      </c>
      <c r="I258">
        <v>6.2406484798382116E-2</v>
      </c>
      <c r="J258" t="s">
        <v>6</v>
      </c>
    </row>
    <row r="259" spans="2:10" x14ac:dyDescent="0.45">
      <c r="B259" t="s">
        <v>761</v>
      </c>
      <c r="C259" t="s">
        <v>16</v>
      </c>
      <c r="D259">
        <v>2.3276047588417236E-2</v>
      </c>
      <c r="E259" t="s">
        <v>6</v>
      </c>
      <c r="G259" t="s">
        <v>762</v>
      </c>
      <c r="H259" t="s">
        <v>16</v>
      </c>
      <c r="I259">
        <v>3.4525774451339343E-2</v>
      </c>
      <c r="J259" t="s">
        <v>6</v>
      </c>
    </row>
    <row r="260" spans="2:10" x14ac:dyDescent="0.45">
      <c r="B260" t="s">
        <v>761</v>
      </c>
      <c r="C260" t="s">
        <v>17</v>
      </c>
      <c r="D260">
        <v>0</v>
      </c>
      <c r="E260" t="s">
        <v>6</v>
      </c>
      <c r="G260" t="s">
        <v>762</v>
      </c>
      <c r="H260" t="s">
        <v>17</v>
      </c>
      <c r="I260">
        <v>5.7335304621997672E-2</v>
      </c>
      <c r="J260" t="s">
        <v>6</v>
      </c>
    </row>
    <row r="261" spans="2:10" x14ac:dyDescent="0.45">
      <c r="B261" t="s">
        <v>761</v>
      </c>
      <c r="C261" t="s">
        <v>18</v>
      </c>
      <c r="D261">
        <v>0.22427712550587306</v>
      </c>
      <c r="E261" t="s">
        <v>6</v>
      </c>
      <c r="G261" t="s">
        <v>762</v>
      </c>
      <c r="H261" t="s">
        <v>18</v>
      </c>
      <c r="I261">
        <v>7.4360575831513828E-2</v>
      </c>
      <c r="J261" t="s">
        <v>6</v>
      </c>
    </row>
    <row r="262" spans="2:10" x14ac:dyDescent="0.45">
      <c r="B262" t="s">
        <v>761</v>
      </c>
      <c r="C262" t="s">
        <v>19</v>
      </c>
      <c r="D262">
        <v>7.7249373321393823E-3</v>
      </c>
      <c r="E262" t="s">
        <v>6</v>
      </c>
      <c r="G262" t="s">
        <v>762</v>
      </c>
      <c r="H262" t="s">
        <v>19</v>
      </c>
      <c r="I262">
        <v>5.0081094585274155E-2</v>
      </c>
      <c r="J262" t="s">
        <v>6</v>
      </c>
    </row>
    <row r="263" spans="2:10" x14ac:dyDescent="0.45">
      <c r="B263" t="s">
        <v>763</v>
      </c>
      <c r="C263" t="s">
        <v>5</v>
      </c>
      <c r="D263">
        <v>0</v>
      </c>
      <c r="E263" t="s">
        <v>6</v>
      </c>
      <c r="G263" t="s">
        <v>764</v>
      </c>
      <c r="H263" t="s">
        <v>5</v>
      </c>
      <c r="I263">
        <v>9.8052304095793144E-2</v>
      </c>
      <c r="J263" t="s">
        <v>6</v>
      </c>
    </row>
    <row r="264" spans="2:10" x14ac:dyDescent="0.45">
      <c r="B264" t="s">
        <v>763</v>
      </c>
      <c r="C264" t="s">
        <v>9</v>
      </c>
      <c r="D264">
        <v>0.18176734752446955</v>
      </c>
      <c r="E264" t="s">
        <v>6</v>
      </c>
      <c r="G264" t="s">
        <v>764</v>
      </c>
      <c r="H264" t="s">
        <v>9</v>
      </c>
      <c r="I264">
        <v>0.13095577298315755</v>
      </c>
      <c r="J264" t="s">
        <v>6</v>
      </c>
    </row>
    <row r="265" spans="2:10" x14ac:dyDescent="0.45">
      <c r="B265" t="s">
        <v>763</v>
      </c>
      <c r="C265" t="s">
        <v>10</v>
      </c>
      <c r="D265">
        <v>4.9164732560820212E-3</v>
      </c>
      <c r="E265" t="s">
        <v>6</v>
      </c>
      <c r="G265" t="s">
        <v>764</v>
      </c>
      <c r="H265" t="s">
        <v>10</v>
      </c>
      <c r="I265">
        <v>7.3293369963042421E-2</v>
      </c>
      <c r="J265" t="s">
        <v>6</v>
      </c>
    </row>
    <row r="266" spans="2:10" x14ac:dyDescent="0.45">
      <c r="B266" t="s">
        <v>763</v>
      </c>
      <c r="C266" t="s">
        <v>11</v>
      </c>
      <c r="D266">
        <v>3.51393558485843E-4</v>
      </c>
      <c r="E266" t="s">
        <v>6</v>
      </c>
      <c r="G266" t="s">
        <v>764</v>
      </c>
      <c r="H266" t="s">
        <v>11</v>
      </c>
      <c r="I266">
        <v>7.5783353035872719E-2</v>
      </c>
      <c r="J266" t="s">
        <v>6</v>
      </c>
    </row>
    <row r="267" spans="2:10" x14ac:dyDescent="0.45">
      <c r="B267" t="s">
        <v>763</v>
      </c>
      <c r="C267" t="s">
        <v>12</v>
      </c>
      <c r="D267">
        <v>0.25019700853515103</v>
      </c>
      <c r="E267" t="s">
        <v>6</v>
      </c>
      <c r="G267" t="s">
        <v>764</v>
      </c>
      <c r="H267" t="s">
        <v>12</v>
      </c>
      <c r="I267">
        <v>0.11746076205135739</v>
      </c>
      <c r="J267" t="s">
        <v>6</v>
      </c>
    </row>
    <row r="268" spans="2:10" x14ac:dyDescent="0.45">
      <c r="B268" t="s">
        <v>763</v>
      </c>
      <c r="C268" t="s">
        <v>13</v>
      </c>
      <c r="D268">
        <v>1.8389355104537819E-2</v>
      </c>
      <c r="E268" t="s">
        <v>6</v>
      </c>
      <c r="G268" t="s">
        <v>764</v>
      </c>
      <c r="H268" t="s">
        <v>13</v>
      </c>
      <c r="I268">
        <v>7.2239836211813999E-2</v>
      </c>
      <c r="J268" t="s">
        <v>6</v>
      </c>
    </row>
    <row r="269" spans="2:10" x14ac:dyDescent="0.45">
      <c r="B269" t="s">
        <v>763</v>
      </c>
      <c r="C269" t="s">
        <v>14</v>
      </c>
      <c r="D269">
        <v>8.0254559745033855E-4</v>
      </c>
      <c r="E269" t="s">
        <v>6</v>
      </c>
      <c r="G269" t="s">
        <v>764</v>
      </c>
      <c r="H269" t="s">
        <v>14</v>
      </c>
      <c r="I269">
        <v>5.3804841590088942E-2</v>
      </c>
      <c r="J269" t="s">
        <v>6</v>
      </c>
    </row>
    <row r="270" spans="2:10" x14ac:dyDescent="0.45">
      <c r="B270" t="s">
        <v>763</v>
      </c>
      <c r="C270" t="s">
        <v>15</v>
      </c>
      <c r="D270">
        <v>0.28678261060019689</v>
      </c>
      <c r="E270" t="s">
        <v>6</v>
      </c>
      <c r="G270" t="s">
        <v>764</v>
      </c>
      <c r="H270" t="s">
        <v>15</v>
      </c>
      <c r="I270">
        <v>5.3678950531894316E-2</v>
      </c>
      <c r="J270" t="s">
        <v>6</v>
      </c>
    </row>
    <row r="271" spans="2:10" x14ac:dyDescent="0.45">
      <c r="B271" t="s">
        <v>763</v>
      </c>
      <c r="C271" t="s">
        <v>16</v>
      </c>
      <c r="D271">
        <v>2.5081432175838015E-2</v>
      </c>
      <c r="E271" t="s">
        <v>6</v>
      </c>
      <c r="G271" t="s">
        <v>764</v>
      </c>
      <c r="H271" t="s">
        <v>16</v>
      </c>
      <c r="I271">
        <v>5.5172967998892014E-2</v>
      </c>
      <c r="J271" t="s">
        <v>6</v>
      </c>
    </row>
    <row r="272" spans="2:10" x14ac:dyDescent="0.45">
      <c r="B272" t="s">
        <v>763</v>
      </c>
      <c r="C272" t="s">
        <v>17</v>
      </c>
      <c r="D272">
        <v>0</v>
      </c>
      <c r="E272" t="s">
        <v>6</v>
      </c>
      <c r="G272" t="s">
        <v>764</v>
      </c>
      <c r="H272" t="s">
        <v>17</v>
      </c>
      <c r="I272">
        <v>8.5904207999132384E-2</v>
      </c>
      <c r="J272" t="s">
        <v>6</v>
      </c>
    </row>
    <row r="273" spans="2:10" x14ac:dyDescent="0.45">
      <c r="B273" t="s">
        <v>763</v>
      </c>
      <c r="C273" t="s">
        <v>18</v>
      </c>
      <c r="D273">
        <v>0.22349548162958441</v>
      </c>
      <c r="E273" t="s">
        <v>6</v>
      </c>
      <c r="G273" t="s">
        <v>764</v>
      </c>
      <c r="H273" t="s">
        <v>18</v>
      </c>
      <c r="I273">
        <v>0.10378880002735863</v>
      </c>
      <c r="J273" t="s">
        <v>6</v>
      </c>
    </row>
    <row r="274" spans="2:10" x14ac:dyDescent="0.45">
      <c r="B274" t="s">
        <v>763</v>
      </c>
      <c r="C274" t="s">
        <v>19</v>
      </c>
      <c r="D274">
        <v>8.216352018203494E-3</v>
      </c>
      <c r="E274" t="s">
        <v>6</v>
      </c>
      <c r="G274" t="s">
        <v>764</v>
      </c>
      <c r="H274" t="s">
        <v>19</v>
      </c>
      <c r="I274">
        <v>7.9864833511596109E-2</v>
      </c>
      <c r="J274" t="s">
        <v>6</v>
      </c>
    </row>
    <row r="275" spans="2:10" x14ac:dyDescent="0.45">
      <c r="B275" t="s">
        <v>765</v>
      </c>
      <c r="C275" t="s">
        <v>5</v>
      </c>
      <c r="D275">
        <v>0</v>
      </c>
      <c r="E275" t="s">
        <v>6</v>
      </c>
      <c r="G275" t="s">
        <v>766</v>
      </c>
      <c r="H275" t="s">
        <v>5</v>
      </c>
      <c r="I275">
        <v>9.4776682110856783E-2</v>
      </c>
      <c r="J275" t="s">
        <v>6</v>
      </c>
    </row>
    <row r="276" spans="2:10" x14ac:dyDescent="0.45">
      <c r="B276" t="s">
        <v>765</v>
      </c>
      <c r="C276" t="s">
        <v>9</v>
      </c>
      <c r="D276">
        <v>0.19224122181286954</v>
      </c>
      <c r="E276" t="s">
        <v>6</v>
      </c>
      <c r="G276" t="s">
        <v>766</v>
      </c>
      <c r="H276" t="s">
        <v>9</v>
      </c>
      <c r="I276">
        <v>0.12658986893533164</v>
      </c>
      <c r="J276" t="s">
        <v>6</v>
      </c>
    </row>
    <row r="277" spans="2:10" x14ac:dyDescent="0.45">
      <c r="B277" t="s">
        <v>765</v>
      </c>
      <c r="C277" t="s">
        <v>10</v>
      </c>
      <c r="D277">
        <v>3.0672066279658333E-3</v>
      </c>
      <c r="E277" t="s">
        <v>6</v>
      </c>
      <c r="G277" t="s">
        <v>766</v>
      </c>
      <c r="H277" t="s">
        <v>10</v>
      </c>
      <c r="I277">
        <v>6.9233649404674566E-2</v>
      </c>
      <c r="J277" t="s">
        <v>6</v>
      </c>
    </row>
    <row r="278" spans="2:10" x14ac:dyDescent="0.45">
      <c r="B278" t="s">
        <v>765</v>
      </c>
      <c r="C278" t="s">
        <v>11</v>
      </c>
      <c r="D278">
        <v>5.9460269984674865E-4</v>
      </c>
      <c r="E278" t="s">
        <v>6</v>
      </c>
      <c r="G278" t="s">
        <v>766</v>
      </c>
      <c r="H278" t="s">
        <v>11</v>
      </c>
      <c r="I278">
        <v>7.0510800347101069E-2</v>
      </c>
      <c r="J278" t="s">
        <v>6</v>
      </c>
    </row>
    <row r="279" spans="2:10" x14ac:dyDescent="0.45">
      <c r="B279" t="s">
        <v>765</v>
      </c>
      <c r="C279" t="s">
        <v>12</v>
      </c>
      <c r="D279">
        <v>0.25611542410270277</v>
      </c>
      <c r="E279" t="s">
        <v>6</v>
      </c>
      <c r="G279" t="s">
        <v>766</v>
      </c>
      <c r="H279" t="s">
        <v>12</v>
      </c>
      <c r="I279">
        <v>0.12708302696102564</v>
      </c>
      <c r="J279" t="s">
        <v>6</v>
      </c>
    </row>
    <row r="280" spans="2:10" x14ac:dyDescent="0.45">
      <c r="B280" t="s">
        <v>765</v>
      </c>
      <c r="C280" t="s">
        <v>13</v>
      </c>
      <c r="D280">
        <v>1.4310803745212614E-2</v>
      </c>
      <c r="E280" t="s">
        <v>6</v>
      </c>
      <c r="G280" t="s">
        <v>766</v>
      </c>
      <c r="H280" t="s">
        <v>13</v>
      </c>
      <c r="I280">
        <v>6.6533921032100374E-2</v>
      </c>
      <c r="J280" t="s">
        <v>6</v>
      </c>
    </row>
    <row r="281" spans="2:10" x14ac:dyDescent="0.45">
      <c r="B281" t="s">
        <v>765</v>
      </c>
      <c r="C281" t="s">
        <v>14</v>
      </c>
      <c r="D281">
        <v>1.3961171599257544E-3</v>
      </c>
      <c r="E281" t="s">
        <v>6</v>
      </c>
      <c r="G281" t="s">
        <v>766</v>
      </c>
      <c r="H281" t="s">
        <v>14</v>
      </c>
      <c r="I281">
        <v>4.3610111249569414E-2</v>
      </c>
      <c r="J281" t="s">
        <v>6</v>
      </c>
    </row>
    <row r="282" spans="2:10" x14ac:dyDescent="0.45">
      <c r="B282" t="s">
        <v>765</v>
      </c>
      <c r="C282" t="s">
        <v>15</v>
      </c>
      <c r="D282">
        <v>0.28856967694384217</v>
      </c>
      <c r="E282" t="s">
        <v>6</v>
      </c>
      <c r="G282" t="s">
        <v>766</v>
      </c>
      <c r="H282" t="s">
        <v>15</v>
      </c>
      <c r="I282">
        <v>6.3689747157461715E-2</v>
      </c>
      <c r="J282" t="s">
        <v>6</v>
      </c>
    </row>
    <row r="283" spans="2:10" x14ac:dyDescent="0.45">
      <c r="B283" t="s">
        <v>765</v>
      </c>
      <c r="C283" t="s">
        <v>16</v>
      </c>
      <c r="D283">
        <v>2.0968018952230248E-2</v>
      </c>
      <c r="E283" t="s">
        <v>6</v>
      </c>
      <c r="G283" t="s">
        <v>766</v>
      </c>
      <c r="H283" t="s">
        <v>16</v>
      </c>
      <c r="I283">
        <v>5.1777233801560948E-2</v>
      </c>
      <c r="J283" t="s">
        <v>6</v>
      </c>
    </row>
    <row r="284" spans="2:10" x14ac:dyDescent="0.45">
      <c r="B284" t="s">
        <v>765</v>
      </c>
      <c r="C284" t="s">
        <v>17</v>
      </c>
      <c r="D284">
        <v>7.897927446153773E-6</v>
      </c>
      <c r="E284" t="s">
        <v>6</v>
      </c>
      <c r="G284" t="s">
        <v>766</v>
      </c>
      <c r="H284" t="s">
        <v>17</v>
      </c>
      <c r="I284">
        <v>8.9473808272240482E-2</v>
      </c>
      <c r="J284" t="s">
        <v>6</v>
      </c>
    </row>
    <row r="285" spans="2:10" x14ac:dyDescent="0.45">
      <c r="B285" t="s">
        <v>765</v>
      </c>
      <c r="C285" t="s">
        <v>18</v>
      </c>
      <c r="D285">
        <v>0.217878267202679</v>
      </c>
      <c r="E285" t="s">
        <v>6</v>
      </c>
      <c r="G285" t="s">
        <v>766</v>
      </c>
      <c r="H285" t="s">
        <v>18</v>
      </c>
      <c r="I285">
        <v>0.12218483042548019</v>
      </c>
      <c r="J285" t="s">
        <v>6</v>
      </c>
    </row>
    <row r="286" spans="2:10" x14ac:dyDescent="0.45">
      <c r="B286" t="s">
        <v>765</v>
      </c>
      <c r="C286" t="s">
        <v>19</v>
      </c>
      <c r="D286">
        <v>4.8507628252796716E-3</v>
      </c>
      <c r="E286" t="s">
        <v>6</v>
      </c>
      <c r="G286" t="s">
        <v>766</v>
      </c>
      <c r="H286" t="s">
        <v>19</v>
      </c>
      <c r="I286">
        <v>7.453632030259541E-2</v>
      </c>
      <c r="J286" t="s">
        <v>6</v>
      </c>
    </row>
    <row r="287" spans="2:10" x14ac:dyDescent="0.45">
      <c r="B287" t="s">
        <v>767</v>
      </c>
      <c r="C287" t="s">
        <v>5</v>
      </c>
      <c r="D287">
        <v>0</v>
      </c>
      <c r="E287" t="s">
        <v>6</v>
      </c>
      <c r="G287" t="s">
        <v>768</v>
      </c>
      <c r="H287" t="s">
        <v>5</v>
      </c>
      <c r="I287">
        <v>0.1041290449555002</v>
      </c>
      <c r="J287" t="s">
        <v>6</v>
      </c>
    </row>
    <row r="288" spans="2:10" x14ac:dyDescent="0.45">
      <c r="B288" t="s">
        <v>767</v>
      </c>
      <c r="C288" t="s">
        <v>9</v>
      </c>
      <c r="D288">
        <v>0.18178925319806158</v>
      </c>
      <c r="E288" t="s">
        <v>6</v>
      </c>
      <c r="G288" t="s">
        <v>768</v>
      </c>
      <c r="H288" t="s">
        <v>9</v>
      </c>
      <c r="I288">
        <v>0.13669927755150488</v>
      </c>
      <c r="J288" t="s">
        <v>6</v>
      </c>
    </row>
    <row r="289" spans="2:10" x14ac:dyDescent="0.45">
      <c r="B289" t="s">
        <v>767</v>
      </c>
      <c r="C289" t="s">
        <v>10</v>
      </c>
      <c r="D289">
        <v>4.2625131985558036E-3</v>
      </c>
      <c r="E289" t="s">
        <v>6</v>
      </c>
      <c r="G289" t="s">
        <v>768</v>
      </c>
      <c r="H289" t="s">
        <v>10</v>
      </c>
      <c r="I289">
        <v>8.7110998799597147E-2</v>
      </c>
      <c r="J289" t="s">
        <v>6</v>
      </c>
    </row>
    <row r="290" spans="2:10" x14ac:dyDescent="0.45">
      <c r="B290" t="s">
        <v>767</v>
      </c>
      <c r="C290" t="s">
        <v>11</v>
      </c>
      <c r="D290">
        <v>3.684996862842053E-4</v>
      </c>
      <c r="E290" t="s">
        <v>6</v>
      </c>
      <c r="G290" t="s">
        <v>768</v>
      </c>
      <c r="H290" t="s">
        <v>11</v>
      </c>
      <c r="I290">
        <v>8.6495791632906813E-2</v>
      </c>
      <c r="J290" t="s">
        <v>6</v>
      </c>
    </row>
    <row r="291" spans="2:10" x14ac:dyDescent="0.45">
      <c r="B291" t="s">
        <v>767</v>
      </c>
      <c r="C291" t="s">
        <v>12</v>
      </c>
      <c r="D291">
        <v>0.24977121665570726</v>
      </c>
      <c r="E291" t="s">
        <v>6</v>
      </c>
      <c r="G291" t="s">
        <v>768</v>
      </c>
      <c r="H291" t="s">
        <v>12</v>
      </c>
      <c r="I291">
        <v>0.15383490992047955</v>
      </c>
      <c r="J291" t="s">
        <v>6</v>
      </c>
    </row>
    <row r="292" spans="2:10" x14ac:dyDescent="0.45">
      <c r="B292" t="s">
        <v>767</v>
      </c>
      <c r="C292" t="s">
        <v>13</v>
      </c>
      <c r="D292">
        <v>1.8423455335100133E-2</v>
      </c>
      <c r="E292" t="s">
        <v>6</v>
      </c>
      <c r="G292" t="s">
        <v>768</v>
      </c>
      <c r="H292" t="s">
        <v>13</v>
      </c>
      <c r="I292">
        <v>8.3491125332777014E-2</v>
      </c>
      <c r="J292" t="s">
        <v>6</v>
      </c>
    </row>
    <row r="293" spans="2:10" x14ac:dyDescent="0.45">
      <c r="B293" t="s">
        <v>767</v>
      </c>
      <c r="C293" t="s">
        <v>14</v>
      </c>
      <c r="D293">
        <v>8.5908879723366042E-4</v>
      </c>
      <c r="E293" t="s">
        <v>6</v>
      </c>
      <c r="G293" t="s">
        <v>768</v>
      </c>
      <c r="H293" t="s">
        <v>14</v>
      </c>
      <c r="I293">
        <v>2.2147233073060768E-2</v>
      </c>
      <c r="J293" t="s">
        <v>6</v>
      </c>
    </row>
    <row r="294" spans="2:10" x14ac:dyDescent="0.45">
      <c r="B294" t="s">
        <v>767</v>
      </c>
      <c r="C294" t="s">
        <v>15</v>
      </c>
      <c r="D294">
        <v>0.29324055207825522</v>
      </c>
      <c r="E294" t="s">
        <v>6</v>
      </c>
      <c r="G294" t="s">
        <v>768</v>
      </c>
      <c r="H294" t="s">
        <v>15</v>
      </c>
      <c r="I294">
        <v>5.7401612130955543E-2</v>
      </c>
      <c r="J294" t="s">
        <v>6</v>
      </c>
    </row>
    <row r="295" spans="2:10" x14ac:dyDescent="0.45">
      <c r="B295" t="s">
        <v>767</v>
      </c>
      <c r="C295" t="s">
        <v>16</v>
      </c>
      <c r="D295">
        <v>2.6154794398980045E-2</v>
      </c>
      <c r="E295" t="s">
        <v>6</v>
      </c>
      <c r="G295" t="s">
        <v>768</v>
      </c>
      <c r="H295" t="s">
        <v>16</v>
      </c>
      <c r="I295">
        <v>3.4383531679060803E-2</v>
      </c>
      <c r="J295" t="s">
        <v>6</v>
      </c>
    </row>
    <row r="296" spans="2:10" x14ac:dyDescent="0.45">
      <c r="B296" t="s">
        <v>767</v>
      </c>
      <c r="C296" t="s">
        <v>17</v>
      </c>
      <c r="D296">
        <v>0</v>
      </c>
      <c r="E296" t="s">
        <v>6</v>
      </c>
      <c r="G296" t="s">
        <v>768</v>
      </c>
      <c r="H296" t="s">
        <v>17</v>
      </c>
      <c r="I296">
        <v>7.1742540339476163E-2</v>
      </c>
      <c r="J296" t="s">
        <v>6</v>
      </c>
    </row>
    <row r="297" spans="2:10" x14ac:dyDescent="0.45">
      <c r="B297" t="s">
        <v>767</v>
      </c>
      <c r="C297" t="s">
        <v>18</v>
      </c>
      <c r="D297">
        <v>0.21774194101637978</v>
      </c>
      <c r="E297" t="s">
        <v>6</v>
      </c>
      <c r="G297" t="s">
        <v>768</v>
      </c>
      <c r="H297" t="s">
        <v>18</v>
      </c>
      <c r="I297">
        <v>9.6930771223607257E-2</v>
      </c>
      <c r="J297" t="s">
        <v>6</v>
      </c>
    </row>
    <row r="298" spans="2:10" x14ac:dyDescent="0.45">
      <c r="B298" t="s">
        <v>767</v>
      </c>
      <c r="C298" t="s">
        <v>19</v>
      </c>
      <c r="D298">
        <v>7.3886856354439812E-3</v>
      </c>
      <c r="E298" t="s">
        <v>6</v>
      </c>
      <c r="G298" t="s">
        <v>768</v>
      </c>
      <c r="H298" t="s">
        <v>19</v>
      </c>
      <c r="I298">
        <v>6.5633163361075997E-2</v>
      </c>
      <c r="J298" t="s">
        <v>6</v>
      </c>
    </row>
    <row r="299" spans="2:10" x14ac:dyDescent="0.45">
      <c r="B299" t="s">
        <v>769</v>
      </c>
      <c r="C299" t="s">
        <v>5</v>
      </c>
      <c r="D299">
        <v>0</v>
      </c>
      <c r="E299" t="s">
        <v>6</v>
      </c>
      <c r="G299" t="s">
        <v>770</v>
      </c>
      <c r="H299" t="s">
        <v>5</v>
      </c>
      <c r="I299">
        <v>0.13401978791826435</v>
      </c>
      <c r="J299" t="s">
        <v>6</v>
      </c>
    </row>
    <row r="300" spans="2:10" x14ac:dyDescent="0.45">
      <c r="B300" t="s">
        <v>769</v>
      </c>
      <c r="C300" t="s">
        <v>9</v>
      </c>
      <c r="D300">
        <v>0.19894211677832996</v>
      </c>
      <c r="E300" t="s">
        <v>6</v>
      </c>
      <c r="G300" t="s">
        <v>770</v>
      </c>
      <c r="H300" t="s">
        <v>9</v>
      </c>
      <c r="I300">
        <v>0.16401706342668859</v>
      </c>
      <c r="J300" t="s">
        <v>6</v>
      </c>
    </row>
    <row r="301" spans="2:10" x14ac:dyDescent="0.45">
      <c r="B301" t="s">
        <v>769</v>
      </c>
      <c r="C301" t="s">
        <v>10</v>
      </c>
      <c r="D301">
        <v>3.4986797104329839E-3</v>
      </c>
      <c r="E301" t="s">
        <v>6</v>
      </c>
      <c r="G301" t="s">
        <v>770</v>
      </c>
      <c r="H301" t="s">
        <v>10</v>
      </c>
      <c r="I301">
        <v>8.5140367930833308E-2</v>
      </c>
      <c r="J301" t="s">
        <v>6</v>
      </c>
    </row>
    <row r="302" spans="2:10" x14ac:dyDescent="0.45">
      <c r="B302" t="s">
        <v>769</v>
      </c>
      <c r="C302" t="s">
        <v>11</v>
      </c>
      <c r="D302">
        <v>5.9422426679739599E-4</v>
      </c>
      <c r="E302" t="s">
        <v>6</v>
      </c>
      <c r="G302" t="s">
        <v>770</v>
      </c>
      <c r="H302" t="s">
        <v>11</v>
      </c>
      <c r="I302">
        <v>9.4456995065061708E-2</v>
      </c>
      <c r="J302" t="s">
        <v>6</v>
      </c>
    </row>
    <row r="303" spans="2:10" x14ac:dyDescent="0.45">
      <c r="B303" t="s">
        <v>769</v>
      </c>
      <c r="C303" t="s">
        <v>12</v>
      </c>
      <c r="D303">
        <v>0.26048218477618068</v>
      </c>
      <c r="E303" t="s">
        <v>6</v>
      </c>
      <c r="G303" t="s">
        <v>770</v>
      </c>
      <c r="H303" t="s">
        <v>12</v>
      </c>
      <c r="I303">
        <v>0.13000000711983417</v>
      </c>
      <c r="J303" t="s">
        <v>6</v>
      </c>
    </row>
    <row r="304" spans="2:10" x14ac:dyDescent="0.45">
      <c r="B304" t="s">
        <v>769</v>
      </c>
      <c r="C304" t="s">
        <v>13</v>
      </c>
      <c r="D304">
        <v>1.5715662282220457E-2</v>
      </c>
      <c r="E304" t="s">
        <v>6</v>
      </c>
      <c r="G304" t="s">
        <v>770</v>
      </c>
      <c r="H304" t="s">
        <v>13</v>
      </c>
      <c r="I304">
        <v>7.3134623467587853E-2</v>
      </c>
      <c r="J304" t="s">
        <v>6</v>
      </c>
    </row>
    <row r="305" spans="2:10" x14ac:dyDescent="0.45">
      <c r="B305" t="s">
        <v>769</v>
      </c>
      <c r="C305" t="s">
        <v>14</v>
      </c>
      <c r="D305">
        <v>1.2446591035746742E-3</v>
      </c>
      <c r="E305" t="s">
        <v>6</v>
      </c>
      <c r="G305" t="s">
        <v>770</v>
      </c>
      <c r="H305" t="s">
        <v>14</v>
      </c>
      <c r="I305">
        <v>2.1781122119207956E-2</v>
      </c>
      <c r="J305" t="s">
        <v>6</v>
      </c>
    </row>
    <row r="306" spans="2:10" x14ac:dyDescent="0.45">
      <c r="B306" t="s">
        <v>769</v>
      </c>
      <c r="C306" t="s">
        <v>15</v>
      </c>
      <c r="D306">
        <v>0.27590963222803222</v>
      </c>
      <c r="E306" t="s">
        <v>6</v>
      </c>
      <c r="G306" t="s">
        <v>770</v>
      </c>
      <c r="H306" t="s">
        <v>15</v>
      </c>
      <c r="I306">
        <v>5.0878047551840562E-2</v>
      </c>
      <c r="J306" t="s">
        <v>6</v>
      </c>
    </row>
    <row r="307" spans="2:10" x14ac:dyDescent="0.45">
      <c r="B307" t="s">
        <v>769</v>
      </c>
      <c r="C307" t="s">
        <v>16</v>
      </c>
      <c r="D307">
        <v>2.0323000605106872E-2</v>
      </c>
      <c r="E307" t="s">
        <v>6</v>
      </c>
      <c r="G307" t="s">
        <v>770</v>
      </c>
      <c r="H307" t="s">
        <v>16</v>
      </c>
      <c r="I307">
        <v>1.791040290746327E-2</v>
      </c>
      <c r="J307" t="s">
        <v>6</v>
      </c>
    </row>
    <row r="308" spans="2:10" x14ac:dyDescent="0.45">
      <c r="B308" t="s">
        <v>769</v>
      </c>
      <c r="C308" t="s">
        <v>17</v>
      </c>
      <c r="D308">
        <v>1.9485543295878185E-6</v>
      </c>
      <c r="E308" t="s">
        <v>6</v>
      </c>
      <c r="G308" t="s">
        <v>770</v>
      </c>
      <c r="H308" t="s">
        <v>17</v>
      </c>
      <c r="I308">
        <v>7.7198463825377164E-2</v>
      </c>
      <c r="J308" t="s">
        <v>6</v>
      </c>
    </row>
    <row r="309" spans="2:10" x14ac:dyDescent="0.45">
      <c r="B309" t="s">
        <v>769</v>
      </c>
      <c r="C309" t="s">
        <v>18</v>
      </c>
      <c r="D309">
        <v>0.21765321773024804</v>
      </c>
      <c r="E309" t="s">
        <v>6</v>
      </c>
      <c r="G309" t="s">
        <v>770</v>
      </c>
      <c r="H309" t="s">
        <v>18</v>
      </c>
      <c r="I309">
        <v>9.3011253722598303E-2</v>
      </c>
      <c r="J309" t="s">
        <v>6</v>
      </c>
    </row>
    <row r="310" spans="2:10" x14ac:dyDescent="0.45">
      <c r="B310" t="s">
        <v>769</v>
      </c>
      <c r="C310" t="s">
        <v>19</v>
      </c>
      <c r="D310">
        <v>5.634673964747791E-3</v>
      </c>
      <c r="E310" t="s">
        <v>6</v>
      </c>
      <c r="G310" t="s">
        <v>770</v>
      </c>
      <c r="H310" t="s">
        <v>19</v>
      </c>
      <c r="I310">
        <v>5.8451864945246373E-2</v>
      </c>
      <c r="J310" t="s">
        <v>6</v>
      </c>
    </row>
    <row r="311" spans="2:10" x14ac:dyDescent="0.45">
      <c r="B311" t="s">
        <v>771</v>
      </c>
      <c r="C311" t="s">
        <v>5</v>
      </c>
      <c r="D311">
        <v>0</v>
      </c>
      <c r="E311" t="s">
        <v>6</v>
      </c>
    </row>
    <row r="312" spans="2:10" x14ac:dyDescent="0.45">
      <c r="B312" t="s">
        <v>771</v>
      </c>
      <c r="C312" t="s">
        <v>9</v>
      </c>
      <c r="D312">
        <v>0.19284528893755254</v>
      </c>
      <c r="E312" t="s">
        <v>6</v>
      </c>
    </row>
    <row r="313" spans="2:10" x14ac:dyDescent="0.45">
      <c r="B313" t="s">
        <v>771</v>
      </c>
      <c r="C313" t="s">
        <v>10</v>
      </c>
      <c r="D313">
        <v>4.3068005759969389E-3</v>
      </c>
      <c r="E313" t="s">
        <v>6</v>
      </c>
    </row>
    <row r="314" spans="2:10" x14ac:dyDescent="0.45">
      <c r="B314" t="s">
        <v>771</v>
      </c>
      <c r="C314" t="s">
        <v>11</v>
      </c>
      <c r="D314">
        <v>4.4797577583266187E-4</v>
      </c>
      <c r="E314" t="s">
        <v>6</v>
      </c>
    </row>
    <row r="315" spans="2:10" x14ac:dyDescent="0.45">
      <c r="B315" t="s">
        <v>771</v>
      </c>
      <c r="C315" t="s">
        <v>12</v>
      </c>
      <c r="D315">
        <v>0.25668918920183287</v>
      </c>
      <c r="E315" t="s">
        <v>6</v>
      </c>
    </row>
    <row r="316" spans="2:10" x14ac:dyDescent="0.45">
      <c r="B316" t="s">
        <v>771</v>
      </c>
      <c r="C316" t="s">
        <v>13</v>
      </c>
      <c r="D316">
        <v>1.6790147658974731E-2</v>
      </c>
      <c r="E316" t="s">
        <v>6</v>
      </c>
    </row>
    <row r="317" spans="2:10" x14ac:dyDescent="0.45">
      <c r="B317" t="s">
        <v>771</v>
      </c>
      <c r="C317" t="s">
        <v>14</v>
      </c>
      <c r="D317">
        <v>9.6628794746197717E-4</v>
      </c>
      <c r="E317" t="s">
        <v>6</v>
      </c>
    </row>
    <row r="318" spans="2:10" x14ac:dyDescent="0.45">
      <c r="B318" t="s">
        <v>771</v>
      </c>
      <c r="C318" t="s">
        <v>15</v>
      </c>
      <c r="D318">
        <v>0.27576635410344702</v>
      </c>
      <c r="E318" t="s">
        <v>6</v>
      </c>
    </row>
    <row r="319" spans="2:10" x14ac:dyDescent="0.45">
      <c r="B319" t="s">
        <v>771</v>
      </c>
      <c r="C319" t="s">
        <v>16</v>
      </c>
      <c r="D319">
        <v>2.1949717982134312E-2</v>
      </c>
      <c r="E319" t="s">
        <v>6</v>
      </c>
    </row>
    <row r="320" spans="2:10" x14ac:dyDescent="0.45">
      <c r="B320" t="s">
        <v>771</v>
      </c>
      <c r="C320" t="s">
        <v>17</v>
      </c>
      <c r="D320">
        <v>4.0211208453495539E-8</v>
      </c>
      <c r="E320" t="s">
        <v>6</v>
      </c>
    </row>
    <row r="321" spans="2:5" x14ac:dyDescent="0.45">
      <c r="B321" t="s">
        <v>771</v>
      </c>
      <c r="C321" t="s">
        <v>18</v>
      </c>
      <c r="D321">
        <v>0.22352256705405291</v>
      </c>
      <c r="E321" t="s">
        <v>6</v>
      </c>
    </row>
    <row r="322" spans="2:5" x14ac:dyDescent="0.45">
      <c r="B322" t="s">
        <v>771</v>
      </c>
      <c r="C322" t="s">
        <v>19</v>
      </c>
      <c r="D322">
        <v>6.7156305515052393E-3</v>
      </c>
      <c r="E322" t="s">
        <v>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6A1BC-3B1F-448E-AFE2-438FBBD36526}">
  <dimension ref="B9:BL80"/>
  <sheetViews>
    <sheetView workbookViewId="0"/>
  </sheetViews>
  <sheetFormatPr defaultRowHeight="14.25" x14ac:dyDescent="0.45"/>
  <sheetData>
    <row r="9" spans="2:64" x14ac:dyDescent="0.45">
      <c r="B9" t="str">
        <f>IF(A11="x","DeActivated","~TFM_DINS-TSL: attribute=FLO_EMIS; other_indexes=ACT; region=ESP")</f>
        <v>~TFM_DINS-TSL: attribute=FLO_EMIS; other_indexes=ACT; region=ESP</v>
      </c>
      <c r="Q9" t="str">
        <f>IF(A11="x","DeActivated","~TFM_INS-TSL: attribute=FLO_SHAR; limtype=FX; region=ESP")</f>
        <v>~TFM_INS-TSL: attribute=FLO_SHAR; limtype=FX; region=ESP</v>
      </c>
      <c r="AF9" t="str">
        <f>IF(A11="x","DeActivated","~TFM_INS-TSL: attribute=FLO_SHAR; limtype=FX; region=ESP")</f>
        <v>~TFM_INS-TSL: attribute=FLO_SHAR; limtype=FX; region=ESP</v>
      </c>
      <c r="AU9" t="str">
        <f>IF(A11="x","DeActivated","~TFM_DINS-TSL: attribute=NCAP_PKCNT; region=ESP")</f>
        <v>~TFM_DINS-TSL: attribute=NCAP_PKCNT; region=ESP</v>
      </c>
      <c r="BI9" t="str">
        <f>IF(A11="x","DeActivated","~TFM_DINS-AT: region=ESP")</f>
        <v>~TFM_DINS-AT: region=ESP</v>
      </c>
    </row>
    <row r="10" spans="2:64" x14ac:dyDescent="0.45">
      <c r="B10" t="s">
        <v>3</v>
      </c>
      <c r="C10" t="s">
        <v>0</v>
      </c>
      <c r="D10" t="s">
        <v>5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  <c r="K10" t="s">
        <v>15</v>
      </c>
      <c r="L10" t="s">
        <v>16</v>
      </c>
      <c r="M10" t="s">
        <v>17</v>
      </c>
      <c r="N10" t="s">
        <v>18</v>
      </c>
      <c r="O10" t="s">
        <v>19</v>
      </c>
      <c r="Q10" t="s">
        <v>3</v>
      </c>
      <c r="R10" t="s">
        <v>0</v>
      </c>
      <c r="S10" t="s">
        <v>5</v>
      </c>
      <c r="T10" t="s">
        <v>9</v>
      </c>
      <c r="U10" t="s">
        <v>10</v>
      </c>
      <c r="V10" t="s">
        <v>11</v>
      </c>
      <c r="W10" t="s">
        <v>12</v>
      </c>
      <c r="X10" t="s">
        <v>13</v>
      </c>
      <c r="Y10" t="s">
        <v>14</v>
      </c>
      <c r="Z10" t="s">
        <v>15</v>
      </c>
      <c r="AA10" t="s">
        <v>16</v>
      </c>
      <c r="AB10" t="s">
        <v>17</v>
      </c>
      <c r="AC10" t="s">
        <v>18</v>
      </c>
      <c r="AD10" t="s">
        <v>19</v>
      </c>
      <c r="AF10" t="s">
        <v>3</v>
      </c>
      <c r="AG10" t="s">
        <v>0</v>
      </c>
      <c r="AH10" t="s">
        <v>5</v>
      </c>
      <c r="AI10" t="s">
        <v>9</v>
      </c>
      <c r="AJ10" t="s">
        <v>10</v>
      </c>
      <c r="AK10" t="s">
        <v>11</v>
      </c>
      <c r="AL10" t="s">
        <v>12</v>
      </c>
      <c r="AM10" t="s">
        <v>13</v>
      </c>
      <c r="AN10" t="s">
        <v>14</v>
      </c>
      <c r="AO10" t="s">
        <v>15</v>
      </c>
      <c r="AP10" t="s">
        <v>16</v>
      </c>
      <c r="AQ10" t="s">
        <v>17</v>
      </c>
      <c r="AR10" t="s">
        <v>18</v>
      </c>
      <c r="AS10" t="s">
        <v>19</v>
      </c>
      <c r="AU10" t="s">
        <v>3</v>
      </c>
      <c r="AV10" t="s">
        <v>5</v>
      </c>
      <c r="AW10" t="s">
        <v>9</v>
      </c>
      <c r="AX10" t="s">
        <v>10</v>
      </c>
      <c r="AY10" t="s">
        <v>11</v>
      </c>
      <c r="AZ10" t="s">
        <v>12</v>
      </c>
      <c r="BA10" t="s">
        <v>13</v>
      </c>
      <c r="BB10" t="s">
        <v>14</v>
      </c>
      <c r="BC10" t="s">
        <v>15</v>
      </c>
      <c r="BD10" t="s">
        <v>16</v>
      </c>
      <c r="BE10" t="s">
        <v>17</v>
      </c>
      <c r="BF10" t="s">
        <v>18</v>
      </c>
      <c r="BG10" t="s">
        <v>19</v>
      </c>
      <c r="BI10" t="s">
        <v>3</v>
      </c>
      <c r="BJ10" t="s">
        <v>0</v>
      </c>
      <c r="BK10" t="s">
        <v>92</v>
      </c>
      <c r="BL10" t="s">
        <v>93</v>
      </c>
    </row>
    <row r="11" spans="2:64" x14ac:dyDescent="0.45">
      <c r="B11" t="s">
        <v>772</v>
      </c>
      <c r="C11" t="s">
        <v>95</v>
      </c>
      <c r="D11">
        <v>0</v>
      </c>
      <c r="E11">
        <v>0.32803700443669542</v>
      </c>
      <c r="F11">
        <v>0.85780496610323997</v>
      </c>
      <c r="G11">
        <v>0.94233689538515353</v>
      </c>
      <c r="H11">
        <v>0.24219536006007553</v>
      </c>
      <c r="I11">
        <v>0.65682216416249106</v>
      </c>
      <c r="J11">
        <v>0.89030866912287254</v>
      </c>
      <c r="K11">
        <v>0.18344186605954446</v>
      </c>
      <c r="L11">
        <v>0.61173152896326366</v>
      </c>
      <c r="M11">
        <v>0</v>
      </c>
      <c r="N11">
        <v>0.28239508075788078</v>
      </c>
      <c r="O11">
        <v>0.79658546198163127</v>
      </c>
      <c r="Q11" t="s">
        <v>96</v>
      </c>
      <c r="R11" t="s">
        <v>97</v>
      </c>
      <c r="S11">
        <v>0</v>
      </c>
      <c r="T11">
        <v>0.15098797778443421</v>
      </c>
      <c r="U11">
        <v>0.20255534482037621</v>
      </c>
      <c r="V11">
        <v>0.88500566352199161</v>
      </c>
      <c r="W11">
        <v>9.0244261245613702E-2</v>
      </c>
      <c r="X11">
        <v>0.20141605287781603</v>
      </c>
      <c r="Y11">
        <v>0.80073349619418155</v>
      </c>
      <c r="Z11">
        <v>7.475927933980353E-2</v>
      </c>
      <c r="AA11">
        <v>0.26471917166480596</v>
      </c>
      <c r="AB11">
        <v>0.98086168639053262</v>
      </c>
      <c r="AC11">
        <v>0.10871862499530346</v>
      </c>
      <c r="AD11">
        <v>0.22188352108783749</v>
      </c>
      <c r="AF11" t="s">
        <v>96</v>
      </c>
      <c r="AG11" t="s">
        <v>98</v>
      </c>
      <c r="AH11">
        <v>0</v>
      </c>
      <c r="AI11">
        <v>1.5807452111087028E-2</v>
      </c>
      <c r="AJ11">
        <v>0.43020443986459156</v>
      </c>
      <c r="AK11">
        <v>0</v>
      </c>
      <c r="AL11">
        <v>2.1377814785916743E-2</v>
      </c>
      <c r="AM11">
        <v>0.26298749788161419</v>
      </c>
      <c r="AN11">
        <v>0</v>
      </c>
      <c r="AO11">
        <v>3.8628582132631062E-3</v>
      </c>
      <c r="AP11">
        <v>0.13967732428713991</v>
      </c>
      <c r="AQ11">
        <v>0</v>
      </c>
      <c r="AR11">
        <v>1.9293684388885735E-2</v>
      </c>
      <c r="AS11">
        <v>0.37619182598531042</v>
      </c>
      <c r="AU11" t="s">
        <v>772</v>
      </c>
      <c r="AV11">
        <v>0</v>
      </c>
      <c r="AW11">
        <v>0.2637260710474818</v>
      </c>
      <c r="AX11">
        <v>1.1002350374982622E-2</v>
      </c>
      <c r="AY11">
        <v>5.971442009635999E-4</v>
      </c>
      <c r="AZ11">
        <v>0.37862735942131936</v>
      </c>
      <c r="BA11">
        <v>4.9259494410767379E-2</v>
      </c>
      <c r="BB11">
        <v>1.5820105467564552E-3</v>
      </c>
      <c r="BC11">
        <v>0.45549864431472631</v>
      </c>
      <c r="BD11">
        <v>7.2602931525986264E-2</v>
      </c>
      <c r="BE11">
        <v>0</v>
      </c>
      <c r="BF11">
        <v>0.31915289679169978</v>
      </c>
      <c r="BG11">
        <v>1.9809623709983386E-2</v>
      </c>
      <c r="BI11" t="s">
        <v>772</v>
      </c>
      <c r="BJ11" t="s">
        <v>99</v>
      </c>
      <c r="BK11" t="s">
        <v>100</v>
      </c>
      <c r="BL11">
        <v>0.41884558926025345</v>
      </c>
    </row>
    <row r="12" spans="2:64" x14ac:dyDescent="0.45">
      <c r="B12" t="s">
        <v>773</v>
      </c>
      <c r="C12" t="s">
        <v>95</v>
      </c>
      <c r="D12">
        <v>0</v>
      </c>
      <c r="E12">
        <v>0.3548295761749366</v>
      </c>
      <c r="F12">
        <v>0.81178150205655397</v>
      </c>
      <c r="G12">
        <v>0.94904065782034308</v>
      </c>
      <c r="H12">
        <v>0.25493022203745086</v>
      </c>
      <c r="I12">
        <v>0.65351746614069317</v>
      </c>
      <c r="J12">
        <v>0.90138102979728507</v>
      </c>
      <c r="K12">
        <v>0.19086277982271346</v>
      </c>
      <c r="L12">
        <v>0.60423985162660032</v>
      </c>
      <c r="M12">
        <v>0</v>
      </c>
      <c r="N12">
        <v>0.31152869032007852</v>
      </c>
      <c r="O12">
        <v>0.77544722575977876</v>
      </c>
      <c r="Q12" t="s">
        <v>102</v>
      </c>
      <c r="R12" t="s">
        <v>97</v>
      </c>
      <c r="S12">
        <v>1.8803637525543417E-3</v>
      </c>
      <c r="T12">
        <v>3.1485696369675398E-3</v>
      </c>
      <c r="U12">
        <v>3.7409980716925041E-3</v>
      </c>
      <c r="V12">
        <v>2.5314580501464559E-3</v>
      </c>
      <c r="W12">
        <v>9.9032787636911101E-3</v>
      </c>
      <c r="X12">
        <v>3.1412909426655113E-3</v>
      </c>
      <c r="Y12">
        <v>2.1161816029865284E-2</v>
      </c>
      <c r="Z12">
        <v>5.802165963307445E-2</v>
      </c>
      <c r="AA12">
        <v>2.1340107904211213E-3</v>
      </c>
      <c r="AB12">
        <v>4.2283959404823719E-3</v>
      </c>
      <c r="AC12">
        <v>4.6870402410577753E-3</v>
      </c>
      <c r="AD12">
        <v>4.3696910724587315E-4</v>
      </c>
      <c r="AF12" t="s">
        <v>102</v>
      </c>
      <c r="AG12" t="s">
        <v>98</v>
      </c>
      <c r="AH12">
        <v>6.7014091372840281E-3</v>
      </c>
      <c r="AI12">
        <v>5.631408734330069E-3</v>
      </c>
      <c r="AJ12">
        <v>2.4035274941805799E-2</v>
      </c>
      <c r="AK12">
        <v>8.2876424425556219E-3</v>
      </c>
      <c r="AL12">
        <v>1.4031490824795058E-2</v>
      </c>
      <c r="AM12">
        <v>1.6421580964294805E-2</v>
      </c>
      <c r="AN12">
        <v>1.4616430898642185E-2</v>
      </c>
      <c r="AO12">
        <v>3.1824357193997829E-2</v>
      </c>
      <c r="AP12">
        <v>4.0994815290695798E-2</v>
      </c>
      <c r="AQ12">
        <v>8.7112742188455022E-3</v>
      </c>
      <c r="AR12">
        <v>1.0764731654751539E-2</v>
      </c>
      <c r="AS12">
        <v>2.053969820092285E-2</v>
      </c>
      <c r="AU12" t="s">
        <v>773</v>
      </c>
      <c r="AV12">
        <v>0</v>
      </c>
      <c r="AW12">
        <v>0.23893172802984106</v>
      </c>
      <c r="AX12">
        <v>1.5267110507509007E-2</v>
      </c>
      <c r="AY12">
        <v>4.2785313529546126E-4</v>
      </c>
      <c r="AZ12">
        <v>0.3644829033660984</v>
      </c>
      <c r="BA12">
        <v>5.2997565516834898E-2</v>
      </c>
      <c r="BB12">
        <v>1.2304152768105702E-3</v>
      </c>
      <c r="BC12">
        <v>0.46632877829559</v>
      </c>
      <c r="BD12">
        <v>8.0867327275987694E-2</v>
      </c>
      <c r="BE12">
        <v>0</v>
      </c>
      <c r="BF12">
        <v>0.29977408832298086</v>
      </c>
      <c r="BG12">
        <v>2.4479643201144166E-2</v>
      </c>
      <c r="BI12" t="s">
        <v>773</v>
      </c>
      <c r="BJ12" t="s">
        <v>99</v>
      </c>
      <c r="BK12" t="s">
        <v>100</v>
      </c>
      <c r="BL12">
        <v>0.44265693338368867</v>
      </c>
    </row>
    <row r="13" spans="2:64" x14ac:dyDescent="0.45">
      <c r="B13" t="s">
        <v>774</v>
      </c>
      <c r="C13" t="s">
        <v>95</v>
      </c>
      <c r="D13">
        <v>0</v>
      </c>
      <c r="E13">
        <v>0.35643321455971294</v>
      </c>
      <c r="F13">
        <v>0.83997129554612227</v>
      </c>
      <c r="G13">
        <v>0.94658571137244218</v>
      </c>
      <c r="H13">
        <v>0.26067825152123503</v>
      </c>
      <c r="I13">
        <v>0.6554287330556996</v>
      </c>
      <c r="J13">
        <v>0.89738385896356843</v>
      </c>
      <c r="K13">
        <v>0.21188626059081203</v>
      </c>
      <c r="L13">
        <v>0.60758501108179674</v>
      </c>
      <c r="M13">
        <v>0</v>
      </c>
      <c r="N13">
        <v>0.32246394908745812</v>
      </c>
      <c r="O13">
        <v>0.78501081331930633</v>
      </c>
      <c r="Q13" t="s">
        <v>104</v>
      </c>
      <c r="R13" t="s">
        <v>97</v>
      </c>
      <c r="S13">
        <v>6.3578383702990056E-5</v>
      </c>
      <c r="T13">
        <v>1.4128296456920287E-3</v>
      </c>
      <c r="U13">
        <v>1.2362403721622099E-3</v>
      </c>
      <c r="V13">
        <v>4.0667497033602723E-4</v>
      </c>
      <c r="W13">
        <v>4.6801468705523E-3</v>
      </c>
      <c r="X13">
        <v>9.3785857044417244E-4</v>
      </c>
      <c r="Y13">
        <v>2.6586350172383777E-3</v>
      </c>
      <c r="Z13">
        <v>2.9510478062039179E-3</v>
      </c>
      <c r="AA13">
        <v>3.98636394549803E-4</v>
      </c>
      <c r="AB13">
        <v>4.6419074257632325E-4</v>
      </c>
      <c r="AC13">
        <v>1.0049658626523818E-5</v>
      </c>
      <c r="AD13">
        <v>0</v>
      </c>
      <c r="AF13" t="s">
        <v>104</v>
      </c>
      <c r="AG13" t="s">
        <v>98</v>
      </c>
      <c r="AH13">
        <v>2.8478146314966793E-3</v>
      </c>
      <c r="AI13">
        <v>4.7379734075328481E-3</v>
      </c>
      <c r="AJ13">
        <v>9.0051935417520546E-3</v>
      </c>
      <c r="AK13">
        <v>1.6771034261995773E-3</v>
      </c>
      <c r="AL13">
        <v>4.2879386353033644E-3</v>
      </c>
      <c r="AM13">
        <v>1.8722723469051461E-2</v>
      </c>
      <c r="AN13">
        <v>3.2959314884145655E-3</v>
      </c>
      <c r="AO13">
        <v>5.9405124730233932E-3</v>
      </c>
      <c r="AP13">
        <v>5.9395221536495081E-3</v>
      </c>
      <c r="AQ13">
        <v>1.7364771814774829E-3</v>
      </c>
      <c r="AR13">
        <v>2.631650780239133E-3</v>
      </c>
      <c r="AS13">
        <v>1.7521997746665879E-3</v>
      </c>
      <c r="AU13" t="s">
        <v>774</v>
      </c>
      <c r="AV13">
        <v>0</v>
      </c>
      <c r="AW13">
        <v>0.22989401954235966</v>
      </c>
      <c r="AX13">
        <v>1.1506157168738125E-2</v>
      </c>
      <c r="AY13">
        <v>4.3728284880880009E-4</v>
      </c>
      <c r="AZ13">
        <v>0.35109724303241147</v>
      </c>
      <c r="BA13">
        <v>4.8756872632928092E-2</v>
      </c>
      <c r="BB13">
        <v>1.2324029565268511E-3</v>
      </c>
      <c r="BC13">
        <v>0.4257334480425547</v>
      </c>
      <c r="BD13">
        <v>7.4838506124961901E-2</v>
      </c>
      <c r="BE13">
        <v>0</v>
      </c>
      <c r="BF13">
        <v>0.2749107539517186</v>
      </c>
      <c r="BG13">
        <v>2.024231392096016E-2</v>
      </c>
      <c r="BI13" t="s">
        <v>774</v>
      </c>
      <c r="BJ13" t="s">
        <v>99</v>
      </c>
      <c r="BK13" t="s">
        <v>100</v>
      </c>
      <c r="BL13">
        <v>0.41364647159694223</v>
      </c>
    </row>
    <row r="14" spans="2:64" x14ac:dyDescent="0.45">
      <c r="B14" t="s">
        <v>775</v>
      </c>
      <c r="C14" t="s">
        <v>95</v>
      </c>
      <c r="D14">
        <v>0</v>
      </c>
      <c r="E14">
        <v>0.40555649093910834</v>
      </c>
      <c r="F14">
        <v>0.79916585656435757</v>
      </c>
      <c r="G14">
        <v>0.96443074176382071</v>
      </c>
      <c r="H14">
        <v>0.27857914864740896</v>
      </c>
      <c r="I14">
        <v>0.62061984116118241</v>
      </c>
      <c r="J14">
        <v>0.91838373187563693</v>
      </c>
      <c r="K14">
        <v>0.21324739460316372</v>
      </c>
      <c r="L14">
        <v>0.56042586932429228</v>
      </c>
      <c r="M14">
        <v>0</v>
      </c>
      <c r="N14">
        <v>0.31553964673839452</v>
      </c>
      <c r="O14">
        <v>0.75699818337397184</v>
      </c>
      <c r="AU14" t="s">
        <v>775</v>
      </c>
      <c r="AV14">
        <v>0</v>
      </c>
      <c r="AW14">
        <v>0.20669425606904043</v>
      </c>
      <c r="AX14">
        <v>1.888663690017953E-2</v>
      </c>
      <c r="AY14">
        <v>1.5972967506102509E-4</v>
      </c>
      <c r="AZ14">
        <v>0.35548657777509074</v>
      </c>
      <c r="BA14">
        <v>6.965999994300863E-2</v>
      </c>
      <c r="BB14">
        <v>4.942090527941136E-4</v>
      </c>
      <c r="BC14">
        <v>0.45340595431590064</v>
      </c>
      <c r="BD14">
        <v>0.10439128664632547</v>
      </c>
      <c r="BE14">
        <v>0</v>
      </c>
      <c r="BF14">
        <v>0.30187824747417846</v>
      </c>
      <c r="BG14">
        <v>3.375149723055134E-2</v>
      </c>
      <c r="BI14" t="s">
        <v>775</v>
      </c>
      <c r="BJ14" t="s">
        <v>99</v>
      </c>
      <c r="BK14" t="s">
        <v>100</v>
      </c>
      <c r="BL14">
        <v>0.44002593347455343</v>
      </c>
    </row>
    <row r="15" spans="2:64" x14ac:dyDescent="0.45">
      <c r="B15" t="s">
        <v>776</v>
      </c>
      <c r="C15" t="s">
        <v>95</v>
      </c>
      <c r="D15">
        <v>0</v>
      </c>
      <c r="E15">
        <v>0.33690265587387969</v>
      </c>
      <c r="F15">
        <v>0.80830609613384019</v>
      </c>
      <c r="G15">
        <v>0.94756526013464848</v>
      </c>
      <c r="H15">
        <v>0.24454440360016455</v>
      </c>
      <c r="I15">
        <v>0.65577815433193931</v>
      </c>
      <c r="J15">
        <v>0.89953205851213858</v>
      </c>
      <c r="K15">
        <v>0.16689385957218519</v>
      </c>
      <c r="L15">
        <v>0.60836735028786437</v>
      </c>
      <c r="M15">
        <v>0</v>
      </c>
      <c r="N15">
        <v>0.27746512185030392</v>
      </c>
      <c r="O15">
        <v>0.77417986751968326</v>
      </c>
      <c r="AU15" t="s">
        <v>776</v>
      </c>
      <c r="AV15">
        <v>0</v>
      </c>
      <c r="AW15">
        <v>0.28629360043183344</v>
      </c>
      <c r="AX15">
        <v>1.9286141872678356E-2</v>
      </c>
      <c r="AY15">
        <v>4.869288383873633E-4</v>
      </c>
      <c r="AZ15">
        <v>0.40201607791636318</v>
      </c>
      <c r="BA15">
        <v>5.6675811037609401E-2</v>
      </c>
      <c r="BB15">
        <v>1.2855276712968459E-3</v>
      </c>
      <c r="BC15">
        <v>0.50184665592520028</v>
      </c>
      <c r="BD15">
        <v>8.2656080335849855E-2</v>
      </c>
      <c r="BE15">
        <v>0</v>
      </c>
      <c r="BF15">
        <v>0.3670695908685494</v>
      </c>
      <c r="BG15">
        <v>2.8453244495800251E-2</v>
      </c>
      <c r="BI15" t="s">
        <v>776</v>
      </c>
      <c r="BJ15" t="s">
        <v>99</v>
      </c>
      <c r="BK15" t="s">
        <v>100</v>
      </c>
      <c r="BL15">
        <v>0.46853939076700402</v>
      </c>
    </row>
    <row r="16" spans="2:64" x14ac:dyDescent="0.45">
      <c r="B16" t="s">
        <v>777</v>
      </c>
      <c r="C16" t="s">
        <v>95</v>
      </c>
      <c r="D16">
        <v>0</v>
      </c>
      <c r="E16">
        <v>0.34525490048468632</v>
      </c>
      <c r="F16">
        <v>0.80091694112242084</v>
      </c>
      <c r="G16">
        <v>0.95160902828493477</v>
      </c>
      <c r="H16">
        <v>0.24969529749722918</v>
      </c>
      <c r="I16">
        <v>0.64768743888421654</v>
      </c>
      <c r="J16">
        <v>0.9046623443316989</v>
      </c>
      <c r="K16">
        <v>0.17338744939043513</v>
      </c>
      <c r="L16">
        <v>0.59758394641251444</v>
      </c>
      <c r="M16">
        <v>0</v>
      </c>
      <c r="N16">
        <v>0.29025546920388245</v>
      </c>
      <c r="O16">
        <v>0.77121250984705958</v>
      </c>
      <c r="AU16" t="s">
        <v>777</v>
      </c>
      <c r="AV16">
        <v>0</v>
      </c>
      <c r="AW16">
        <v>0.26270358350812312</v>
      </c>
      <c r="AX16">
        <v>2.0739732743578859E-2</v>
      </c>
      <c r="AY16">
        <v>3.6521158580639335E-4</v>
      </c>
      <c r="AZ16">
        <v>0.39051260969382984</v>
      </c>
      <c r="BA16">
        <v>6.0182544638417858E-2</v>
      </c>
      <c r="BB16">
        <v>1.048991088482148E-3</v>
      </c>
      <c r="BC16">
        <v>0.50697517073628784</v>
      </c>
      <c r="BD16">
        <v>9.2627176839483544E-2</v>
      </c>
      <c r="BE16">
        <v>0</v>
      </c>
      <c r="BF16">
        <v>0.35501395194330038</v>
      </c>
      <c r="BG16">
        <v>3.0525759579619352E-2</v>
      </c>
      <c r="BI16" t="s">
        <v>777</v>
      </c>
      <c r="BJ16" t="s">
        <v>99</v>
      </c>
      <c r="BK16" t="s">
        <v>100</v>
      </c>
      <c r="BL16">
        <v>0.46639408972849677</v>
      </c>
    </row>
    <row r="17" spans="2:64" x14ac:dyDescent="0.45">
      <c r="B17" t="s">
        <v>778</v>
      </c>
      <c r="C17" t="s">
        <v>95</v>
      </c>
      <c r="D17">
        <v>0</v>
      </c>
      <c r="E17">
        <v>0.35022377228208118</v>
      </c>
      <c r="F17">
        <v>0.80606179692235458</v>
      </c>
      <c r="G17">
        <v>0.95353003838536887</v>
      </c>
      <c r="H17">
        <v>0.25127193667133124</v>
      </c>
      <c r="I17">
        <v>0.64204994170353957</v>
      </c>
      <c r="J17">
        <v>0.90551185413185364</v>
      </c>
      <c r="K17">
        <v>0.19004449743347279</v>
      </c>
      <c r="L17">
        <v>0.58742726898052966</v>
      </c>
      <c r="M17">
        <v>0</v>
      </c>
      <c r="N17">
        <v>0.29634380703603347</v>
      </c>
      <c r="O17">
        <v>0.76828466427537012</v>
      </c>
      <c r="AU17" t="s">
        <v>778</v>
      </c>
      <c r="AV17">
        <v>0</v>
      </c>
      <c r="AW17">
        <v>0.24284894277388674</v>
      </c>
      <c r="AX17">
        <v>1.8763849352803855E-2</v>
      </c>
      <c r="AY17">
        <v>3.594709197746304E-4</v>
      </c>
      <c r="AZ17">
        <v>0.3716355131429373</v>
      </c>
      <c r="BA17">
        <v>5.7653355751415877E-2</v>
      </c>
      <c r="BB17">
        <v>1.0233059382757487E-3</v>
      </c>
      <c r="BC17">
        <v>0.46732200143202252</v>
      </c>
      <c r="BD17">
        <v>8.4586083819769453E-2</v>
      </c>
      <c r="BE17">
        <v>0</v>
      </c>
      <c r="BF17">
        <v>0.31522191312330217</v>
      </c>
      <c r="BG17">
        <v>2.6872553886704866E-2</v>
      </c>
      <c r="BI17" t="s">
        <v>778</v>
      </c>
      <c r="BJ17" t="s">
        <v>99</v>
      </c>
      <c r="BK17" t="s">
        <v>100</v>
      </c>
      <c r="BL17">
        <v>0.44192972269640268</v>
      </c>
    </row>
    <row r="18" spans="2:64" x14ac:dyDescent="0.45">
      <c r="B18" t="s">
        <v>779</v>
      </c>
      <c r="C18" t="s">
        <v>95</v>
      </c>
      <c r="D18">
        <v>0</v>
      </c>
      <c r="E18">
        <v>0.38347821764303758</v>
      </c>
      <c r="F18">
        <v>0.80348887328471674</v>
      </c>
      <c r="G18">
        <v>0.95931571674012317</v>
      </c>
      <c r="H18">
        <v>0.26670890313122192</v>
      </c>
      <c r="I18">
        <v>0.6343451153953068</v>
      </c>
      <c r="J18">
        <v>0.91466954464975803</v>
      </c>
      <c r="K18">
        <v>0.18989649581745638</v>
      </c>
      <c r="L18">
        <v>0.57549932812997584</v>
      </c>
      <c r="M18">
        <v>0</v>
      </c>
      <c r="N18">
        <v>0.30340014605520871</v>
      </c>
      <c r="O18">
        <v>0.76418950102715455</v>
      </c>
      <c r="AU18" t="s">
        <v>779</v>
      </c>
      <c r="AV18">
        <v>0</v>
      </c>
      <c r="AW18">
        <v>0.23938966676502124</v>
      </c>
      <c r="AX18">
        <v>2.1197464934280517E-2</v>
      </c>
      <c r="AY18">
        <v>2.3945237995074594E-4</v>
      </c>
      <c r="AZ18">
        <v>0.37906549978328063</v>
      </c>
      <c r="BA18">
        <v>6.6563946922061371E-2</v>
      </c>
      <c r="BB18">
        <v>6.9878306235614132E-4</v>
      </c>
      <c r="BC18">
        <v>0.48970068741296585</v>
      </c>
      <c r="BD18">
        <v>9.8687076828186185E-2</v>
      </c>
      <c r="BE18">
        <v>0</v>
      </c>
      <c r="BF18">
        <v>0.33738909071387141</v>
      </c>
      <c r="BG18">
        <v>3.296546446865499E-2</v>
      </c>
      <c r="BI18" t="s">
        <v>779</v>
      </c>
      <c r="BJ18" t="s">
        <v>99</v>
      </c>
      <c r="BK18" t="s">
        <v>100</v>
      </c>
      <c r="BL18">
        <v>0.46789688049462508</v>
      </c>
    </row>
    <row r="19" spans="2:64" x14ac:dyDescent="0.45">
      <c r="B19" t="s">
        <v>780</v>
      </c>
      <c r="C19" t="s">
        <v>95</v>
      </c>
      <c r="D19">
        <v>0</v>
      </c>
      <c r="E19">
        <v>0.37222430507250831</v>
      </c>
      <c r="F19">
        <v>0.7992961876161393</v>
      </c>
      <c r="G19">
        <v>0.95837526395533523</v>
      </c>
      <c r="H19">
        <v>0.26515667763001538</v>
      </c>
      <c r="I19">
        <v>0.64065101008905612</v>
      </c>
      <c r="J19">
        <v>0.91194842163863932</v>
      </c>
      <c r="K19">
        <v>0.17838459126992096</v>
      </c>
      <c r="L19">
        <v>0.58375801777979419</v>
      </c>
      <c r="M19">
        <v>0</v>
      </c>
      <c r="N19">
        <v>0.28893132751650508</v>
      </c>
      <c r="O19">
        <v>0.76487516763736674</v>
      </c>
      <c r="AU19" t="s">
        <v>780</v>
      </c>
      <c r="AV19">
        <v>0</v>
      </c>
      <c r="AW19">
        <v>0.26016281927122031</v>
      </c>
      <c r="AX19">
        <v>2.3190726976175351E-2</v>
      </c>
      <c r="AY19">
        <v>2.6227109588380779E-4</v>
      </c>
      <c r="AZ19">
        <v>0.3895970729333243</v>
      </c>
      <c r="BA19">
        <v>6.6685450499800111E-2</v>
      </c>
      <c r="BB19">
        <v>7.4327133930214562E-4</v>
      </c>
      <c r="BC19">
        <v>0.50891298213829361</v>
      </c>
      <c r="BD19">
        <v>0.10111476996771912</v>
      </c>
      <c r="BE19">
        <v>0</v>
      </c>
      <c r="BF19">
        <v>0.35816505142307808</v>
      </c>
      <c r="BG19">
        <v>3.3587452584319742E-2</v>
      </c>
      <c r="BI19" t="s">
        <v>780</v>
      </c>
      <c r="BJ19" t="s">
        <v>99</v>
      </c>
      <c r="BK19" t="s">
        <v>100</v>
      </c>
      <c r="BL19">
        <v>0.48592467272107698</v>
      </c>
    </row>
    <row r="20" spans="2:64" x14ac:dyDescent="0.45">
      <c r="B20" t="s">
        <v>781</v>
      </c>
      <c r="C20" t="s">
        <v>95</v>
      </c>
      <c r="D20">
        <v>0</v>
      </c>
      <c r="E20">
        <v>0.34520145719743683</v>
      </c>
      <c r="F20">
        <v>0.78731108696967822</v>
      </c>
      <c r="G20">
        <v>0.9589965896790178</v>
      </c>
      <c r="H20">
        <v>0.24181709868204695</v>
      </c>
      <c r="I20">
        <v>0.65206042611220949</v>
      </c>
      <c r="J20">
        <v>0.91800249582814752</v>
      </c>
      <c r="K20">
        <v>0.17180686805796916</v>
      </c>
      <c r="L20">
        <v>0.60528126892628764</v>
      </c>
      <c r="M20">
        <v>0</v>
      </c>
      <c r="N20">
        <v>0.24614243811894065</v>
      </c>
      <c r="O20">
        <v>0.75377386885614284</v>
      </c>
      <c r="AU20" t="s">
        <v>781</v>
      </c>
      <c r="AV20">
        <v>0</v>
      </c>
      <c r="AW20">
        <v>0.32304591720548742</v>
      </c>
      <c r="AX20">
        <v>2.8872627915980269E-2</v>
      </c>
      <c r="AY20">
        <v>2.1564285303677391E-4</v>
      </c>
      <c r="AZ20">
        <v>0.41407605495422639</v>
      </c>
      <c r="BA20">
        <v>6.4619981253529177E-2</v>
      </c>
      <c r="BB20">
        <v>5.920942401683232E-4</v>
      </c>
      <c r="BC20">
        <v>0.49955170689624545</v>
      </c>
      <c r="BD20">
        <v>9.402784828260019E-2</v>
      </c>
      <c r="BE20">
        <v>0</v>
      </c>
      <c r="BF20">
        <v>0.40310637849039749</v>
      </c>
      <c r="BG20">
        <v>3.4944341184709328E-2</v>
      </c>
      <c r="BI20" t="s">
        <v>781</v>
      </c>
      <c r="BJ20" t="s">
        <v>99</v>
      </c>
      <c r="BK20" t="s">
        <v>100</v>
      </c>
      <c r="BL20">
        <v>0.47837355383028973</v>
      </c>
    </row>
    <row r="21" spans="2:64" x14ac:dyDescent="0.45">
      <c r="B21" t="s">
        <v>782</v>
      </c>
      <c r="C21" t="s">
        <v>95</v>
      </c>
      <c r="D21">
        <v>0</v>
      </c>
      <c r="E21">
        <v>0.33889226341221013</v>
      </c>
      <c r="F21">
        <v>0.79616195716901539</v>
      </c>
      <c r="G21">
        <v>0.95344376834750744</v>
      </c>
      <c r="H21">
        <v>0.23503145265796424</v>
      </c>
      <c r="I21">
        <v>0.66027773159306247</v>
      </c>
      <c r="J21">
        <v>0.90853203248997572</v>
      </c>
      <c r="K21">
        <v>0.16502515953717617</v>
      </c>
      <c r="L21">
        <v>0.61432812911658619</v>
      </c>
      <c r="M21">
        <v>0</v>
      </c>
      <c r="N21">
        <v>0.23751236494431832</v>
      </c>
      <c r="O21">
        <v>0.76584669018013085</v>
      </c>
      <c r="AU21" t="s">
        <v>782</v>
      </c>
      <c r="AV21">
        <v>0</v>
      </c>
      <c r="AW21">
        <v>0.32349388492558345</v>
      </c>
      <c r="AX21">
        <v>2.3297770864106102E-2</v>
      </c>
      <c r="AY21">
        <v>3.3034881993114474E-4</v>
      </c>
      <c r="AZ21">
        <v>0.41158696339031109</v>
      </c>
      <c r="BA21">
        <v>5.9034706389808816E-2</v>
      </c>
      <c r="BB21">
        <v>8.7135161730330431E-4</v>
      </c>
      <c r="BC21">
        <v>0.50241658539027201</v>
      </c>
      <c r="BD21">
        <v>8.5889560311838531E-2</v>
      </c>
      <c r="BE21">
        <v>0</v>
      </c>
      <c r="BF21">
        <v>0.41057167988480009</v>
      </c>
      <c r="BG21">
        <v>3.1379831638205583E-2</v>
      </c>
      <c r="BI21" t="s">
        <v>782</v>
      </c>
      <c r="BJ21" t="s">
        <v>99</v>
      </c>
      <c r="BK21" t="s">
        <v>100</v>
      </c>
      <c r="BL21">
        <v>0.47897983428310592</v>
      </c>
    </row>
    <row r="22" spans="2:64" x14ac:dyDescent="0.45">
      <c r="B22" t="s">
        <v>783</v>
      </c>
      <c r="C22" t="s">
        <v>95</v>
      </c>
      <c r="D22">
        <v>0</v>
      </c>
      <c r="E22">
        <v>0.31448226987667632</v>
      </c>
      <c r="F22">
        <v>0.77304569673291601</v>
      </c>
      <c r="G22">
        <v>0.9636269732106022</v>
      </c>
      <c r="H22">
        <v>0.23100331424495479</v>
      </c>
      <c r="I22">
        <v>0.64451618218131135</v>
      </c>
      <c r="J22">
        <v>0.92517444494941969</v>
      </c>
      <c r="K22">
        <v>0.17487741618173583</v>
      </c>
      <c r="L22">
        <v>0.60114133883602727</v>
      </c>
      <c r="M22">
        <v>0</v>
      </c>
      <c r="N22">
        <v>0.24077305492423937</v>
      </c>
      <c r="O22">
        <v>0.74807404445623182</v>
      </c>
      <c r="AU22" t="s">
        <v>783</v>
      </c>
      <c r="AV22">
        <v>0</v>
      </c>
      <c r="AW22">
        <v>0.34156216200704081</v>
      </c>
      <c r="AX22">
        <v>3.3896954490457716E-2</v>
      </c>
      <c r="AY22">
        <v>1.3565150605488759E-4</v>
      </c>
      <c r="AZ22">
        <v>0.44118766711093299</v>
      </c>
      <c r="BA22">
        <v>7.2976808238598187E-2</v>
      </c>
      <c r="BB22">
        <v>3.9321754025893775E-4</v>
      </c>
      <c r="BC22">
        <v>0.5066376400389544</v>
      </c>
      <c r="BD22">
        <v>0.10034590951098318</v>
      </c>
      <c r="BE22">
        <v>0</v>
      </c>
      <c r="BF22">
        <v>0.40933443487313104</v>
      </c>
      <c r="BG22">
        <v>3.8171710532305322E-2</v>
      </c>
      <c r="BI22" t="s">
        <v>783</v>
      </c>
      <c r="BJ22" t="s">
        <v>99</v>
      </c>
      <c r="BK22" t="s">
        <v>100</v>
      </c>
      <c r="BL22">
        <v>0.48841416043704355</v>
      </c>
    </row>
    <row r="23" spans="2:64" x14ac:dyDescent="0.45">
      <c r="B23" t="s">
        <v>784</v>
      </c>
      <c r="C23" t="s">
        <v>95</v>
      </c>
      <c r="D23">
        <v>0</v>
      </c>
      <c r="E23">
        <v>0.33714620888140751</v>
      </c>
      <c r="F23">
        <v>0.77749935103471268</v>
      </c>
      <c r="G23">
        <v>0.96531816961011108</v>
      </c>
      <c r="H23">
        <v>0.24702680592623028</v>
      </c>
      <c r="I23">
        <v>0.64403317249284897</v>
      </c>
      <c r="J23">
        <v>0.92587425895493647</v>
      </c>
      <c r="K23">
        <v>0.17799595294456802</v>
      </c>
      <c r="L23">
        <v>0.59211416575891906</v>
      </c>
      <c r="M23">
        <v>0</v>
      </c>
      <c r="N23">
        <v>0.25801024472493062</v>
      </c>
      <c r="O23">
        <v>0.74795435870184668</v>
      </c>
      <c r="AU23" t="s">
        <v>784</v>
      </c>
      <c r="AV23">
        <v>0</v>
      </c>
      <c r="AW23">
        <v>0.32825441916899384</v>
      </c>
      <c r="AX23">
        <v>3.3822215191608336E-2</v>
      </c>
      <c r="AY23">
        <v>1.2769810951739598E-4</v>
      </c>
      <c r="AZ23">
        <v>0.41917614821924326</v>
      </c>
      <c r="BA23">
        <v>7.1478974525446617E-2</v>
      </c>
      <c r="BB23">
        <v>3.7156083275288672E-4</v>
      </c>
      <c r="BC23">
        <v>0.50019628382891612</v>
      </c>
      <c r="BD23">
        <v>0.10176572307132981</v>
      </c>
      <c r="BE23">
        <v>0</v>
      </c>
      <c r="BF23">
        <v>0.39525525215888402</v>
      </c>
      <c r="BG23">
        <v>3.7828994633762908E-2</v>
      </c>
      <c r="BI23" t="s">
        <v>784</v>
      </c>
      <c r="BJ23" t="s">
        <v>99</v>
      </c>
      <c r="BK23" t="s">
        <v>100</v>
      </c>
      <c r="BL23">
        <v>0.48149841612998018</v>
      </c>
    </row>
    <row r="24" spans="2:64" x14ac:dyDescent="0.45">
      <c r="B24" t="s">
        <v>785</v>
      </c>
      <c r="C24" t="s">
        <v>95</v>
      </c>
      <c r="D24">
        <v>0</v>
      </c>
      <c r="E24">
        <v>0.37682282719575899</v>
      </c>
      <c r="F24">
        <v>0.79786929847608579</v>
      </c>
      <c r="G24">
        <v>0.96059782608695643</v>
      </c>
      <c r="H24">
        <v>0.27729747866634968</v>
      </c>
      <c r="I24">
        <v>0.64683442974877281</v>
      </c>
      <c r="J24">
        <v>0.9172336258420597</v>
      </c>
      <c r="K24">
        <v>0.17821483088216603</v>
      </c>
      <c r="L24">
        <v>0.58425974298237515</v>
      </c>
      <c r="M24">
        <v>0</v>
      </c>
      <c r="N24">
        <v>0.28567164852060534</v>
      </c>
      <c r="O24">
        <v>0.76266888989389425</v>
      </c>
      <c r="AU24" t="s">
        <v>785</v>
      </c>
      <c r="AV24">
        <v>0</v>
      </c>
      <c r="AW24">
        <v>0.29090424041357033</v>
      </c>
      <c r="AX24">
        <v>2.6385819519732193E-2</v>
      </c>
      <c r="AY24">
        <v>2.0469024860181147E-4</v>
      </c>
      <c r="AZ24">
        <v>0.39476286078225398</v>
      </c>
      <c r="BA24">
        <v>6.7359171723103267E-2</v>
      </c>
      <c r="BB24">
        <v>5.6137206035219284E-4</v>
      </c>
      <c r="BC24">
        <v>0.50643769247890358</v>
      </c>
      <c r="BD24">
        <v>0.10144743576778063</v>
      </c>
      <c r="BE24">
        <v>0</v>
      </c>
      <c r="BF24">
        <v>0.37759859692741943</v>
      </c>
      <c r="BG24">
        <v>3.5817011547379131E-2</v>
      </c>
      <c r="BI24" t="s">
        <v>785</v>
      </c>
      <c r="BJ24" t="s">
        <v>99</v>
      </c>
      <c r="BK24" t="s">
        <v>100</v>
      </c>
      <c r="BL24">
        <v>0.4792924842989329</v>
      </c>
    </row>
    <row r="25" spans="2:64" x14ac:dyDescent="0.45">
      <c r="B25" t="s">
        <v>786</v>
      </c>
      <c r="C25" t="s">
        <v>95</v>
      </c>
      <c r="D25">
        <v>0</v>
      </c>
      <c r="E25">
        <v>0.3630481410150862</v>
      </c>
      <c r="F25">
        <v>0.7898071826430757</v>
      </c>
      <c r="G25">
        <v>0.96280500588021412</v>
      </c>
      <c r="H25">
        <v>0.25969254288430016</v>
      </c>
      <c r="I25">
        <v>0.64104396850444256</v>
      </c>
      <c r="J25">
        <v>0.92141399253496337</v>
      </c>
      <c r="K25">
        <v>0.18062889990964914</v>
      </c>
      <c r="L25">
        <v>0.58678182458546735</v>
      </c>
      <c r="M25">
        <v>0</v>
      </c>
      <c r="N25">
        <v>0.26972141245241427</v>
      </c>
      <c r="O25">
        <v>0.7530031163548484</v>
      </c>
      <c r="AU25" t="s">
        <v>786</v>
      </c>
      <c r="AV25">
        <v>0</v>
      </c>
      <c r="AW25">
        <v>0.30100532839934413</v>
      </c>
      <c r="AX25">
        <v>2.9575622335516936E-2</v>
      </c>
      <c r="AY25">
        <v>1.6134630110952025E-4</v>
      </c>
      <c r="AZ25">
        <v>0.41539197942992573</v>
      </c>
      <c r="BA25">
        <v>6.9356746276306572E-2</v>
      </c>
      <c r="BB25">
        <v>4.50807756727827E-4</v>
      </c>
      <c r="BC25">
        <v>0.50112914015527632</v>
      </c>
      <c r="BD25">
        <v>0.10274556240581592</v>
      </c>
      <c r="BE25">
        <v>0</v>
      </c>
      <c r="BF25">
        <v>0.38462063538152347</v>
      </c>
      <c r="BG25">
        <v>3.7677952878223564E-2</v>
      </c>
      <c r="BI25" t="s">
        <v>786</v>
      </c>
      <c r="BJ25" t="s">
        <v>99</v>
      </c>
      <c r="BK25" t="s">
        <v>100</v>
      </c>
      <c r="BL25">
        <v>0.48202417611450155</v>
      </c>
    </row>
    <row r="26" spans="2:64" x14ac:dyDescent="0.45">
      <c r="B26" t="s">
        <v>787</v>
      </c>
      <c r="C26" t="s">
        <v>95</v>
      </c>
      <c r="D26">
        <v>0</v>
      </c>
      <c r="E26">
        <v>0.32589600163918508</v>
      </c>
      <c r="F26">
        <v>0.81033928099747599</v>
      </c>
      <c r="G26">
        <v>0.94779616094503383</v>
      </c>
      <c r="H26">
        <v>0.23248786535358526</v>
      </c>
      <c r="I26">
        <v>0.65980221515655701</v>
      </c>
      <c r="J26">
        <v>0.90036032524912424</v>
      </c>
      <c r="K26">
        <v>0.16431817567329113</v>
      </c>
      <c r="L26">
        <v>0.61363681331067665</v>
      </c>
      <c r="M26">
        <v>0</v>
      </c>
      <c r="N26">
        <v>0.25575716489151978</v>
      </c>
      <c r="O26">
        <v>0.77137479565867217</v>
      </c>
      <c r="AU26" t="s">
        <v>787</v>
      </c>
      <c r="AV26">
        <v>0</v>
      </c>
      <c r="AW26">
        <v>0.3147029597787192</v>
      </c>
      <c r="AX26">
        <v>2.1301731266763504E-2</v>
      </c>
      <c r="AY26">
        <v>4.6414017654623606E-4</v>
      </c>
      <c r="AZ26">
        <v>0.41716631995769743</v>
      </c>
      <c r="BA26">
        <v>5.6980368066527634E-2</v>
      </c>
      <c r="BB26">
        <v>1.2118232732151347E-3</v>
      </c>
      <c r="BC26">
        <v>0.50164161103994143</v>
      </c>
      <c r="BD26">
        <v>8.2600610769871977E-2</v>
      </c>
      <c r="BE26">
        <v>0</v>
      </c>
      <c r="BF26">
        <v>0.39350376120967212</v>
      </c>
      <c r="BG26">
        <v>2.9297648205422241E-2</v>
      </c>
      <c r="BI26" t="s">
        <v>787</v>
      </c>
      <c r="BJ26" t="s">
        <v>99</v>
      </c>
      <c r="BK26" t="s">
        <v>100</v>
      </c>
      <c r="BL26">
        <v>0.47273267732629898</v>
      </c>
    </row>
    <row r="27" spans="2:64" x14ac:dyDescent="0.45">
      <c r="B27" t="s">
        <v>788</v>
      </c>
      <c r="C27" t="s">
        <v>95</v>
      </c>
      <c r="D27">
        <v>0</v>
      </c>
      <c r="E27">
        <v>0.33888050752085475</v>
      </c>
      <c r="F27">
        <v>0.7963617225180406</v>
      </c>
      <c r="G27">
        <v>0.9564500237630309</v>
      </c>
      <c r="H27">
        <v>0.2425069900383523</v>
      </c>
      <c r="I27">
        <v>0.65413440425763658</v>
      </c>
      <c r="J27">
        <v>0.90868348348301231</v>
      </c>
      <c r="K27">
        <v>0.16907949734232677</v>
      </c>
      <c r="L27">
        <v>0.60213151713372359</v>
      </c>
      <c r="M27">
        <v>0</v>
      </c>
      <c r="N27">
        <v>0.26270063742190525</v>
      </c>
      <c r="O27">
        <v>0.76212517997764695</v>
      </c>
      <c r="AU27" t="s">
        <v>788</v>
      </c>
      <c r="AV27">
        <v>0</v>
      </c>
      <c r="AW27">
        <v>0.31200003356846184</v>
      </c>
      <c r="AX27">
        <v>2.4945544796816797E-2</v>
      </c>
      <c r="AY27">
        <v>3.2205949501647359E-4</v>
      </c>
      <c r="AZ27">
        <v>0.41001105067767979</v>
      </c>
      <c r="BA27">
        <v>6.235125474813958E-2</v>
      </c>
      <c r="BB27">
        <v>8.4418209818813564E-4</v>
      </c>
      <c r="BC27">
        <v>0.50344261200090701</v>
      </c>
      <c r="BD27">
        <v>9.1931486675027013E-2</v>
      </c>
      <c r="BE27">
        <v>0</v>
      </c>
      <c r="BF27">
        <v>0.39044948345523695</v>
      </c>
      <c r="BG27">
        <v>3.3459611738852722E-2</v>
      </c>
      <c r="BI27" t="s">
        <v>788</v>
      </c>
      <c r="BJ27" t="s">
        <v>99</v>
      </c>
      <c r="BK27" t="s">
        <v>100</v>
      </c>
      <c r="BL27">
        <v>0.47245399106517261</v>
      </c>
    </row>
    <row r="28" spans="2:64" x14ac:dyDescent="0.45">
      <c r="B28" t="s">
        <v>789</v>
      </c>
      <c r="C28" t="s">
        <v>95</v>
      </c>
      <c r="D28">
        <v>0</v>
      </c>
      <c r="E28">
        <v>0.30316009428064855</v>
      </c>
      <c r="F28">
        <v>0.80476088882904506</v>
      </c>
      <c r="G28">
        <v>0.94665684887170254</v>
      </c>
      <c r="H28">
        <v>0.22134813362274103</v>
      </c>
      <c r="I28">
        <v>0.66195738113367297</v>
      </c>
      <c r="J28">
        <v>0.89916505343700504</v>
      </c>
      <c r="K28">
        <v>0.16417858670532284</v>
      </c>
      <c r="L28">
        <v>0.61997829406708671</v>
      </c>
      <c r="M28">
        <v>0</v>
      </c>
      <c r="N28">
        <v>0.23115891135998359</v>
      </c>
      <c r="O28">
        <v>0.77152260420231666</v>
      </c>
      <c r="AU28" t="s">
        <v>789</v>
      </c>
      <c r="AV28">
        <v>0</v>
      </c>
      <c r="AW28">
        <v>0.33989423298684551</v>
      </c>
      <c r="AX28">
        <v>2.2322795444334714E-2</v>
      </c>
      <c r="AY28">
        <v>5.2294994165162699E-4</v>
      </c>
      <c r="AZ28">
        <v>0.43246477869638672</v>
      </c>
      <c r="BA28">
        <v>5.493214507250694E-2</v>
      </c>
      <c r="BB28">
        <v>1.2873708101495314E-3</v>
      </c>
      <c r="BC28">
        <v>0.50155463438182135</v>
      </c>
      <c r="BD28">
        <v>7.5159262064373428E-2</v>
      </c>
      <c r="BE28">
        <v>0</v>
      </c>
      <c r="BF28">
        <v>0.40929821526303301</v>
      </c>
      <c r="BG28">
        <v>2.6851470249893979E-2</v>
      </c>
      <c r="BI28" t="s">
        <v>789</v>
      </c>
      <c r="BJ28" t="s">
        <v>99</v>
      </c>
      <c r="BK28" t="s">
        <v>100</v>
      </c>
      <c r="BL28">
        <v>0.47598288101196889</v>
      </c>
    </row>
    <row r="29" spans="2:64" x14ac:dyDescent="0.45">
      <c r="B29" t="s">
        <v>790</v>
      </c>
      <c r="C29" t="s">
        <v>95</v>
      </c>
      <c r="D29">
        <v>0</v>
      </c>
      <c r="E29">
        <v>0.28608366203647639</v>
      </c>
      <c r="F29">
        <v>0.78877414972016902</v>
      </c>
      <c r="G29">
        <v>0.95017536619095155</v>
      </c>
      <c r="H29">
        <v>0.21214744849509731</v>
      </c>
      <c r="I29">
        <v>0.65863610854887866</v>
      </c>
      <c r="J29">
        <v>0.90413613255780678</v>
      </c>
      <c r="K29">
        <v>0.16230724621819506</v>
      </c>
      <c r="L29">
        <v>0.62271340197607516</v>
      </c>
      <c r="M29">
        <v>0</v>
      </c>
      <c r="N29">
        <v>0.2206489101249505</v>
      </c>
      <c r="O29">
        <v>0.76165766582643846</v>
      </c>
      <c r="AU29" t="s">
        <v>790</v>
      </c>
      <c r="AV29">
        <v>0</v>
      </c>
      <c r="AW29">
        <v>0.36177262565731444</v>
      </c>
      <c r="AX29">
        <v>2.6304820698335014E-2</v>
      </c>
      <c r="AY29">
        <v>4.0538572817048557E-4</v>
      </c>
      <c r="AZ29">
        <v>0.45825043463435405</v>
      </c>
      <c r="BA29">
        <v>6.2193812069289346E-2</v>
      </c>
      <c r="BB29">
        <v>1.0152252699364144E-3</v>
      </c>
      <c r="BC29">
        <v>0.51400128914422594</v>
      </c>
      <c r="BD29">
        <v>8.0654164262677949E-2</v>
      </c>
      <c r="BE29">
        <v>0</v>
      </c>
      <c r="BF29">
        <v>0.41839999186425603</v>
      </c>
      <c r="BG29">
        <v>2.7995299280595281E-2</v>
      </c>
      <c r="BI29" t="s">
        <v>790</v>
      </c>
      <c r="BJ29" t="s">
        <v>99</v>
      </c>
      <c r="BK29" t="s">
        <v>100</v>
      </c>
      <c r="BL29">
        <v>0.47425676468047107</v>
      </c>
    </row>
    <row r="30" spans="2:64" x14ac:dyDescent="0.45">
      <c r="B30" t="s">
        <v>791</v>
      </c>
      <c r="C30" t="s">
        <v>95</v>
      </c>
      <c r="D30">
        <v>0</v>
      </c>
      <c r="E30">
        <v>0.28217695590798386</v>
      </c>
      <c r="F30">
        <v>0.80602184969672508</v>
      </c>
      <c r="G30">
        <v>0.9425761407021398</v>
      </c>
      <c r="H30">
        <v>0.20266078400521595</v>
      </c>
      <c r="I30">
        <v>0.66554892825877432</v>
      </c>
      <c r="J30">
        <v>0.89326792898461549</v>
      </c>
      <c r="K30">
        <v>0.16449321157805125</v>
      </c>
      <c r="L30">
        <v>0.62317127799545791</v>
      </c>
      <c r="M30">
        <v>0</v>
      </c>
      <c r="N30">
        <v>0.21604332300015999</v>
      </c>
      <c r="O30">
        <v>0.77347013114402297</v>
      </c>
      <c r="AU30" t="s">
        <v>791</v>
      </c>
      <c r="AV30">
        <v>0</v>
      </c>
      <c r="AW30">
        <v>0.36111683795891319</v>
      </c>
      <c r="AX30">
        <v>2.1669765463791488E-2</v>
      </c>
      <c r="AY30">
        <v>6.3595969711370559E-4</v>
      </c>
      <c r="AZ30">
        <v>0.45485606561073755</v>
      </c>
      <c r="BA30">
        <v>5.3877717822643188E-2</v>
      </c>
      <c r="BB30">
        <v>1.4840213678889858E-3</v>
      </c>
      <c r="BC30">
        <v>0.49751272674772573</v>
      </c>
      <c r="BD30">
        <v>7.0875896826581464E-2</v>
      </c>
      <c r="BE30">
        <v>0</v>
      </c>
      <c r="BF30">
        <v>0.40708270333710406</v>
      </c>
      <c r="BG30">
        <v>2.4164223422648679E-2</v>
      </c>
      <c r="BI30" t="s">
        <v>791</v>
      </c>
      <c r="BJ30" t="s">
        <v>99</v>
      </c>
      <c r="BK30" t="s">
        <v>100</v>
      </c>
      <c r="BL30">
        <v>0.47268293082968693</v>
      </c>
    </row>
    <row r="31" spans="2:64" x14ac:dyDescent="0.45">
      <c r="B31" t="s">
        <v>792</v>
      </c>
      <c r="C31" t="s">
        <v>95</v>
      </c>
      <c r="D31">
        <v>0</v>
      </c>
      <c r="E31">
        <v>0.29744454594332759</v>
      </c>
      <c r="F31">
        <v>0.82599406055321867</v>
      </c>
      <c r="G31">
        <v>0.94207160749138241</v>
      </c>
      <c r="H31">
        <v>0.21669908986122907</v>
      </c>
      <c r="I31">
        <v>0.66402506126118332</v>
      </c>
      <c r="J31">
        <v>0.88998034284661065</v>
      </c>
      <c r="K31">
        <v>0.16595670300624654</v>
      </c>
      <c r="L31">
        <v>0.61832765690186675</v>
      </c>
      <c r="M31">
        <v>0</v>
      </c>
      <c r="N31">
        <v>0.24325580683534082</v>
      </c>
      <c r="O31">
        <v>0.77941071291292463</v>
      </c>
      <c r="AU31" t="s">
        <v>792</v>
      </c>
      <c r="AV31">
        <v>0</v>
      </c>
      <c r="AW31">
        <v>0.33994981095639459</v>
      </c>
      <c r="AX31">
        <v>1.7392980079205957E-2</v>
      </c>
      <c r="AY31">
        <v>7.4885082393114978E-4</v>
      </c>
      <c r="AZ31">
        <v>0.44180454432289862</v>
      </c>
      <c r="BA31">
        <v>5.133805688886145E-2</v>
      </c>
      <c r="BB31">
        <v>1.6975298244222448E-3</v>
      </c>
      <c r="BC31">
        <v>0.48077108612775804</v>
      </c>
      <c r="BD31">
        <v>6.761972264074026E-2</v>
      </c>
      <c r="BE31">
        <v>0</v>
      </c>
      <c r="BF31">
        <v>0.39522719059300188</v>
      </c>
      <c r="BG31">
        <v>2.2688487679412617E-2</v>
      </c>
      <c r="BI31" t="s">
        <v>792</v>
      </c>
      <c r="BJ31" t="s">
        <v>99</v>
      </c>
      <c r="BK31" t="s">
        <v>100</v>
      </c>
      <c r="BL31">
        <v>0.45683283432376415</v>
      </c>
    </row>
    <row r="32" spans="2:64" x14ac:dyDescent="0.45">
      <c r="B32" t="s">
        <v>793</v>
      </c>
      <c r="C32" t="s">
        <v>95</v>
      </c>
      <c r="D32">
        <v>0</v>
      </c>
      <c r="E32">
        <v>0.30700765326787849</v>
      </c>
      <c r="F32">
        <v>0.83313327650699331</v>
      </c>
      <c r="G32">
        <v>0.94125106966340166</v>
      </c>
      <c r="H32">
        <v>0.21939691724687246</v>
      </c>
      <c r="I32">
        <v>0.66314091408182074</v>
      </c>
      <c r="J32">
        <v>0.88914746409009393</v>
      </c>
      <c r="K32">
        <v>0.16294103859869324</v>
      </c>
      <c r="L32">
        <v>0.61419853667226543</v>
      </c>
      <c r="M32">
        <v>0</v>
      </c>
      <c r="N32">
        <v>0.25257853122985574</v>
      </c>
      <c r="O32">
        <v>0.78268218480175955</v>
      </c>
      <c r="AU32" t="s">
        <v>793</v>
      </c>
      <c r="AV32">
        <v>0</v>
      </c>
      <c r="AW32">
        <v>0.3167660525504512</v>
      </c>
      <c r="AX32">
        <v>1.427990090087836E-2</v>
      </c>
      <c r="AY32">
        <v>7.4882658423763317E-4</v>
      </c>
      <c r="AZ32">
        <v>0.42653979679117943</v>
      </c>
      <c r="BA32">
        <v>5.225076987220386E-2</v>
      </c>
      <c r="BB32">
        <v>1.7102404523954855E-3</v>
      </c>
      <c r="BC32">
        <v>0.48891150683548706</v>
      </c>
      <c r="BD32">
        <v>7.1265367014507863E-2</v>
      </c>
      <c r="BE32">
        <v>0</v>
      </c>
      <c r="BF32">
        <v>0.38520563132822777</v>
      </c>
      <c r="BG32">
        <v>2.3602155498551266E-2</v>
      </c>
      <c r="BI32" t="s">
        <v>793</v>
      </c>
      <c r="BJ32" t="s">
        <v>99</v>
      </c>
      <c r="BK32" t="s">
        <v>100</v>
      </c>
      <c r="BL32">
        <v>0.44473833389077877</v>
      </c>
    </row>
    <row r="33" spans="2:64" x14ac:dyDescent="0.45">
      <c r="B33" t="s">
        <v>794</v>
      </c>
      <c r="C33" t="s">
        <v>95</v>
      </c>
      <c r="D33">
        <v>0</v>
      </c>
      <c r="E33">
        <v>0.28916239589662823</v>
      </c>
      <c r="F33">
        <v>0.89993238342311588</v>
      </c>
      <c r="G33">
        <v>0.92402043657125832</v>
      </c>
      <c r="H33">
        <v>0.21790370994763664</v>
      </c>
      <c r="I33">
        <v>0.6826830884226146</v>
      </c>
      <c r="J33">
        <v>0.84954098781174403</v>
      </c>
      <c r="K33">
        <v>0.15660684277963369</v>
      </c>
      <c r="L33">
        <v>0.62476733280545371</v>
      </c>
      <c r="M33">
        <v>0.99038461538461509</v>
      </c>
      <c r="N33">
        <v>0.24513771008040147</v>
      </c>
      <c r="O33">
        <v>0.83205610807098729</v>
      </c>
      <c r="AU33" t="s">
        <v>794</v>
      </c>
      <c r="AV33">
        <v>0</v>
      </c>
      <c r="AW33">
        <v>0.31744470890366566</v>
      </c>
      <c r="AX33">
        <v>8.4413781981836598E-3</v>
      </c>
      <c r="AY33">
        <v>1.200640936177458E-3</v>
      </c>
      <c r="AZ33">
        <v>0.41372521536603946</v>
      </c>
      <c r="BA33">
        <v>3.8529114898698855E-2</v>
      </c>
      <c r="BB33">
        <v>2.8190847675913684E-3</v>
      </c>
      <c r="BC33">
        <v>0.46615135406223912</v>
      </c>
      <c r="BD33">
        <v>5.6452399585092052E-2</v>
      </c>
      <c r="BE33">
        <v>1.6122999653705909E-5</v>
      </c>
      <c r="BF33">
        <v>0.35582512000609134</v>
      </c>
      <c r="BG33">
        <v>1.3203269319350477E-2</v>
      </c>
      <c r="BI33" t="s">
        <v>794</v>
      </c>
      <c r="BJ33" t="s">
        <v>99</v>
      </c>
      <c r="BK33" t="s">
        <v>100</v>
      </c>
      <c r="BL33">
        <v>0.42823571977252617</v>
      </c>
    </row>
    <row r="34" spans="2:64" x14ac:dyDescent="0.45">
      <c r="B34" t="s">
        <v>795</v>
      </c>
      <c r="C34" t="s">
        <v>95</v>
      </c>
      <c r="D34">
        <v>0</v>
      </c>
      <c r="E34">
        <v>0.31196662604635933</v>
      </c>
      <c r="F34">
        <v>0.86688001434838358</v>
      </c>
      <c r="G34">
        <v>0.93837010804619725</v>
      </c>
      <c r="H34">
        <v>0.23179900519883451</v>
      </c>
      <c r="I34">
        <v>0.66418286811313443</v>
      </c>
      <c r="J34">
        <v>0.88634613256254757</v>
      </c>
      <c r="K34">
        <v>0.16824405808898354</v>
      </c>
      <c r="L34">
        <v>0.61713381340451146</v>
      </c>
      <c r="M34">
        <v>0</v>
      </c>
      <c r="N34">
        <v>0.26230617587015748</v>
      </c>
      <c r="O34">
        <v>0.80679415902861074</v>
      </c>
      <c r="AU34" t="s">
        <v>795</v>
      </c>
      <c r="AV34">
        <v>0</v>
      </c>
      <c r="AW34">
        <v>0.30753984752006619</v>
      </c>
      <c r="AX34">
        <v>1.2018428263082272E-2</v>
      </c>
      <c r="AY34">
        <v>7.623159501558371E-4</v>
      </c>
      <c r="AZ34">
        <v>0.41336172470904181</v>
      </c>
      <c r="BA34">
        <v>5.0816846008017752E-2</v>
      </c>
      <c r="BB34">
        <v>1.7771985081863103E-3</v>
      </c>
      <c r="BC34">
        <v>0.48530179731952489</v>
      </c>
      <c r="BD34">
        <v>7.2141958995723329E-2</v>
      </c>
      <c r="BE34">
        <v>0</v>
      </c>
      <c r="BF34">
        <v>0.36431444922490075</v>
      </c>
      <c r="BG34">
        <v>2.0603938506348798E-2</v>
      </c>
      <c r="BI34" t="s">
        <v>795</v>
      </c>
      <c r="BJ34" t="s">
        <v>99</v>
      </c>
      <c r="BK34" t="s">
        <v>100</v>
      </c>
      <c r="BL34">
        <v>0.45327832833491838</v>
      </c>
    </row>
    <row r="35" spans="2:64" x14ac:dyDescent="0.45">
      <c r="B35" t="s">
        <v>796</v>
      </c>
      <c r="C35" t="s">
        <v>95</v>
      </c>
      <c r="D35">
        <v>0</v>
      </c>
      <c r="E35">
        <v>0.28909530476311318</v>
      </c>
      <c r="F35">
        <v>0.89475113742441448</v>
      </c>
      <c r="G35">
        <v>0.93066987192483908</v>
      </c>
      <c r="H35">
        <v>0.22155275627172791</v>
      </c>
      <c r="I35">
        <v>0.67313879286246303</v>
      </c>
      <c r="J35">
        <v>0.86552830864881214</v>
      </c>
      <c r="K35">
        <v>0.16439366826837506</v>
      </c>
      <c r="L35">
        <v>0.62014886046871764</v>
      </c>
      <c r="M35">
        <v>0.99587912087912089</v>
      </c>
      <c r="N35">
        <v>0.25311972306824115</v>
      </c>
      <c r="O35">
        <v>0.8259262162706712</v>
      </c>
      <c r="AU35" t="s">
        <v>796</v>
      </c>
      <c r="AV35">
        <v>0</v>
      </c>
      <c r="AW35">
        <v>0.34913748332559791</v>
      </c>
      <c r="AX35">
        <v>1.0233464293066838E-2</v>
      </c>
      <c r="AY35">
        <v>1.2752191356744439E-3</v>
      </c>
      <c r="AZ35">
        <v>0.44720067501669725</v>
      </c>
      <c r="BA35">
        <v>4.496823705993748E-2</v>
      </c>
      <c r="BB35">
        <v>2.6710674655281165E-3</v>
      </c>
      <c r="BC35">
        <v>0.47368680465424134</v>
      </c>
      <c r="BD35">
        <v>5.8151511057450353E-2</v>
      </c>
      <c r="BE35">
        <v>4.2275951588334012E-6</v>
      </c>
      <c r="BF35">
        <v>0.37777738115233356</v>
      </c>
      <c r="BG35">
        <v>1.6300029899610279E-2</v>
      </c>
      <c r="BI35" t="s">
        <v>796</v>
      </c>
      <c r="BJ35" t="s">
        <v>99</v>
      </c>
      <c r="BK35" t="s">
        <v>100</v>
      </c>
      <c r="BL35">
        <v>0.44733785963540357</v>
      </c>
    </row>
    <row r="36" spans="2:64" x14ac:dyDescent="0.45">
      <c r="B36" t="s">
        <v>797</v>
      </c>
      <c r="C36" t="s">
        <v>95</v>
      </c>
      <c r="D36">
        <v>0</v>
      </c>
      <c r="E36">
        <v>0.29085416785850016</v>
      </c>
      <c r="F36">
        <v>0.87551949568993237</v>
      </c>
      <c r="G36">
        <v>0.93560379152876738</v>
      </c>
      <c r="H36">
        <v>0.21040181870773744</v>
      </c>
      <c r="I36">
        <v>0.67127892074760565</v>
      </c>
      <c r="J36">
        <v>0.88130123224003898</v>
      </c>
      <c r="K36">
        <v>0.16179582316387253</v>
      </c>
      <c r="L36">
        <v>0.61921603369410427</v>
      </c>
      <c r="M36">
        <v>0.99862637362637341</v>
      </c>
      <c r="N36">
        <v>0.23919322071064475</v>
      </c>
      <c r="O36">
        <v>0.81032212294559813</v>
      </c>
      <c r="AU36" t="s">
        <v>797</v>
      </c>
      <c r="AV36">
        <v>0</v>
      </c>
      <c r="AW36">
        <v>0.34760630843255158</v>
      </c>
      <c r="AX36">
        <v>1.2938446302606392E-2</v>
      </c>
      <c r="AY36">
        <v>9.8741072714070939E-4</v>
      </c>
      <c r="AZ36">
        <v>0.45262743680786566</v>
      </c>
      <c r="BA36">
        <v>4.9344251194335408E-2</v>
      </c>
      <c r="BB36">
        <v>2.1298541936944828E-3</v>
      </c>
      <c r="BC36">
        <v>0.48626675086635168</v>
      </c>
      <c r="BD36">
        <v>6.4507615999214757E-2</v>
      </c>
      <c r="BE36">
        <v>8.9605954584433259E-8</v>
      </c>
      <c r="BF36">
        <v>0.39847502748304581</v>
      </c>
      <c r="BG36">
        <v>1.9953325100055125E-2</v>
      </c>
      <c r="BI36" t="s">
        <v>797</v>
      </c>
      <c r="BJ36" t="s">
        <v>99</v>
      </c>
      <c r="BK36" t="s">
        <v>100</v>
      </c>
      <c r="BL36">
        <v>0.45262743680786566</v>
      </c>
    </row>
    <row r="37" spans="2:64" x14ac:dyDescent="0.45">
      <c r="B37" t="s">
        <v>798</v>
      </c>
      <c r="C37" t="s">
        <v>95</v>
      </c>
      <c r="D37">
        <v>0.34999090048285569</v>
      </c>
      <c r="E37">
        <v>0.374511708769937</v>
      </c>
      <c r="F37">
        <v>0.36220890606312445</v>
      </c>
      <c r="G37">
        <v>0.34743226532428184</v>
      </c>
      <c r="H37">
        <v>0.37754032742062688</v>
      </c>
      <c r="I37">
        <v>0.33925611479260243</v>
      </c>
      <c r="J37">
        <v>0.38111544424104488</v>
      </c>
      <c r="K37">
        <v>0.33882028077539877</v>
      </c>
      <c r="L37">
        <v>0.32684375515268693</v>
      </c>
      <c r="M37">
        <v>0.43694432000838307</v>
      </c>
      <c r="N37">
        <v>0.44052891141720418</v>
      </c>
      <c r="O37">
        <v>0.41382407469953109</v>
      </c>
      <c r="AU37" t="s">
        <v>798</v>
      </c>
      <c r="AV37">
        <v>0.45693483708699589</v>
      </c>
      <c r="AW37">
        <v>0.43538721348240239</v>
      </c>
      <c r="AX37">
        <v>0.44430820240962765</v>
      </c>
      <c r="AY37">
        <v>0.36189944517942985</v>
      </c>
      <c r="AZ37">
        <v>0.37488215959988797</v>
      </c>
      <c r="BA37">
        <v>0.42242322751218597</v>
      </c>
      <c r="BB37">
        <v>0.13035499265611256</v>
      </c>
      <c r="BC37">
        <v>0.14888868955991821</v>
      </c>
      <c r="BD37">
        <v>0.16860804009552438</v>
      </c>
      <c r="BE37">
        <v>0.22457589366035727</v>
      </c>
      <c r="BF37">
        <v>0.22262184490178175</v>
      </c>
      <c r="BG37">
        <v>0.23824490612122901</v>
      </c>
      <c r="BI37" t="s">
        <v>799</v>
      </c>
      <c r="BJ37" t="s">
        <v>99</v>
      </c>
      <c r="BK37" t="s">
        <v>100</v>
      </c>
      <c r="BL37">
        <v>0.23514547638881328</v>
      </c>
    </row>
    <row r="38" spans="2:64" x14ac:dyDescent="0.45">
      <c r="B38" t="s">
        <v>800</v>
      </c>
      <c r="C38" t="s">
        <v>95</v>
      </c>
      <c r="D38">
        <v>0.33027038674396908</v>
      </c>
      <c r="E38">
        <v>0.34774736951207147</v>
      </c>
      <c r="F38">
        <v>0.30647712052712711</v>
      </c>
      <c r="G38">
        <v>0.37142592492532484</v>
      </c>
      <c r="H38">
        <v>0.33963656945188925</v>
      </c>
      <c r="I38">
        <v>0.33242587199200857</v>
      </c>
      <c r="J38">
        <v>0.35051178431838631</v>
      </c>
      <c r="K38">
        <v>0.34388533749309036</v>
      </c>
      <c r="L38">
        <v>0.38045962629970626</v>
      </c>
      <c r="M38">
        <v>0.41759914037189788</v>
      </c>
      <c r="N38">
        <v>0.40160718030040471</v>
      </c>
      <c r="O38">
        <v>0.41465651873235387</v>
      </c>
      <c r="AU38" t="s">
        <v>800</v>
      </c>
      <c r="AV38">
        <v>0.40643277546489864</v>
      </c>
      <c r="AW38">
        <v>0.38666894691456882</v>
      </c>
      <c r="AX38">
        <v>0.41687527315569572</v>
      </c>
      <c r="AY38">
        <v>0.31527402117795111</v>
      </c>
      <c r="AZ38">
        <v>0.38046524404844045</v>
      </c>
      <c r="BA38">
        <v>0.38814294574910319</v>
      </c>
      <c r="BB38">
        <v>0.15213174535015658</v>
      </c>
      <c r="BC38">
        <v>0.21573119393517151</v>
      </c>
      <c r="BD38">
        <v>0.18753633300198957</v>
      </c>
      <c r="BE38">
        <v>0.19144916860469904</v>
      </c>
      <c r="BF38">
        <v>0.20566602608234094</v>
      </c>
      <c r="BG38">
        <v>0.23038980640531254</v>
      </c>
      <c r="BI38" t="s">
        <v>801</v>
      </c>
      <c r="BJ38" t="s">
        <v>99</v>
      </c>
      <c r="BK38" t="s">
        <v>100</v>
      </c>
      <c r="BL38">
        <v>0.26537471003898194</v>
      </c>
    </row>
    <row r="39" spans="2:64" x14ac:dyDescent="0.45">
      <c r="B39" t="s">
        <v>802</v>
      </c>
      <c r="C39" t="s">
        <v>95</v>
      </c>
      <c r="D39">
        <v>0.39013222587266172</v>
      </c>
      <c r="E39">
        <v>0.40391927620718254</v>
      </c>
      <c r="F39">
        <v>0.3797189020088535</v>
      </c>
      <c r="G39">
        <v>0.36354989069345789</v>
      </c>
      <c r="H39">
        <v>0.36858049161323975</v>
      </c>
      <c r="I39">
        <v>0.33399916075694902</v>
      </c>
      <c r="J39">
        <v>0.44030141557614416</v>
      </c>
      <c r="K39">
        <v>0.34259167786370281</v>
      </c>
      <c r="L39">
        <v>0.33241494007634326</v>
      </c>
      <c r="M39">
        <v>0.46480126981254954</v>
      </c>
      <c r="N39">
        <v>0.41645120049189488</v>
      </c>
      <c r="O39">
        <v>0.41166615666357259</v>
      </c>
      <c r="AU39" t="s">
        <v>802</v>
      </c>
      <c r="AV39">
        <v>0.42562713310288292</v>
      </c>
      <c r="AW39">
        <v>0.39253125505734832</v>
      </c>
      <c r="AX39">
        <v>0.39255464065721357</v>
      </c>
      <c r="AY39">
        <v>0.35317284623797834</v>
      </c>
      <c r="AZ39">
        <v>0.34779591691783085</v>
      </c>
      <c r="BA39">
        <v>0.39489443556954007</v>
      </c>
      <c r="BB39">
        <v>9.2028415646210934E-2</v>
      </c>
      <c r="BC39">
        <v>0.11609967668573247</v>
      </c>
      <c r="BD39">
        <v>0.1265440664894113</v>
      </c>
      <c r="BE39">
        <v>0.22664280524934849</v>
      </c>
      <c r="BF39">
        <v>0.21024595039598146</v>
      </c>
      <c r="BG39">
        <v>0.24074818686536822</v>
      </c>
      <c r="BI39" t="s">
        <v>803</v>
      </c>
      <c r="BJ39" t="s">
        <v>99</v>
      </c>
      <c r="BK39" t="s">
        <v>100</v>
      </c>
      <c r="BL39">
        <v>0.23121049245484759</v>
      </c>
    </row>
    <row r="40" spans="2:64" x14ac:dyDescent="0.45">
      <c r="B40" t="s">
        <v>804</v>
      </c>
      <c r="C40" t="s">
        <v>95</v>
      </c>
      <c r="D40">
        <v>0.3740682140044187</v>
      </c>
      <c r="E40">
        <v>0.37679327971940707</v>
      </c>
      <c r="F40">
        <v>0.37031220411022309</v>
      </c>
      <c r="G40">
        <v>0.34153131610780435</v>
      </c>
      <c r="H40">
        <v>0.36157342553135602</v>
      </c>
      <c r="I40">
        <v>0.35176297456410799</v>
      </c>
      <c r="J40">
        <v>0.42971398742301276</v>
      </c>
      <c r="K40">
        <v>0.38250341766540108</v>
      </c>
      <c r="L40">
        <v>0.36502352874540089</v>
      </c>
      <c r="M40">
        <v>0.40821066024280295</v>
      </c>
      <c r="N40">
        <v>0.40995075073861525</v>
      </c>
      <c r="O40">
        <v>0.41855253241177598</v>
      </c>
      <c r="AU40" t="s">
        <v>804</v>
      </c>
      <c r="AV40">
        <v>0.45191380030125317</v>
      </c>
      <c r="AW40">
        <v>0.44208780718136365</v>
      </c>
      <c r="AX40">
        <v>0.42926519877586117</v>
      </c>
      <c r="AY40">
        <v>0.40040918319454016</v>
      </c>
      <c r="AZ40">
        <v>0.38063772061003615</v>
      </c>
      <c r="BA40">
        <v>0.41056845286560334</v>
      </c>
      <c r="BB40">
        <v>0.12556876733181446</v>
      </c>
      <c r="BC40">
        <v>0.12412236472924718</v>
      </c>
      <c r="BD40">
        <v>0.12705692797843424</v>
      </c>
      <c r="BE40">
        <v>0.27191933967249776</v>
      </c>
      <c r="BF40">
        <v>0.24798250124890053</v>
      </c>
      <c r="BG40">
        <v>0.25597489374982435</v>
      </c>
      <c r="BI40" t="s">
        <v>805</v>
      </c>
      <c r="BJ40" t="s">
        <v>99</v>
      </c>
      <c r="BK40" t="s">
        <v>100</v>
      </c>
      <c r="BL40">
        <v>0.1736184070468261</v>
      </c>
    </row>
    <row r="41" spans="2:64" x14ac:dyDescent="0.45">
      <c r="B41" t="s">
        <v>806</v>
      </c>
      <c r="C41" t="s">
        <v>95</v>
      </c>
      <c r="D41">
        <v>0.27608254075772792</v>
      </c>
      <c r="E41">
        <v>0.30556538255932825</v>
      </c>
      <c r="F41">
        <v>0.27914672363100823</v>
      </c>
      <c r="G41">
        <v>0.29893751464773782</v>
      </c>
      <c r="H41">
        <v>0.30832672120005533</v>
      </c>
      <c r="I41">
        <v>0.26777756046103174</v>
      </c>
      <c r="J41">
        <v>0.38389346777023048</v>
      </c>
      <c r="K41">
        <v>0.3795329252913559</v>
      </c>
      <c r="L41">
        <v>0.32791446074106212</v>
      </c>
      <c r="M41">
        <v>0.26537334025080012</v>
      </c>
      <c r="N41">
        <v>0.29510110317337956</v>
      </c>
      <c r="O41">
        <v>0.25071384122542723</v>
      </c>
      <c r="AU41" t="s">
        <v>806</v>
      </c>
      <c r="AV41">
        <v>0.54691135873020058</v>
      </c>
      <c r="AW41">
        <v>0.5247954423381973</v>
      </c>
      <c r="AX41">
        <v>0.56513283720976859</v>
      </c>
      <c r="AY41">
        <v>0.50034706347705094</v>
      </c>
      <c r="AZ41">
        <v>0.48062915792294653</v>
      </c>
      <c r="BA41">
        <v>0.51198908369131912</v>
      </c>
      <c r="BB41">
        <v>0.38719159319896762</v>
      </c>
      <c r="BC41">
        <v>0.36350845742979837</v>
      </c>
      <c r="BD41">
        <v>0.41048359558421454</v>
      </c>
      <c r="BE41">
        <v>0.57195658626518842</v>
      </c>
      <c r="BF41">
        <v>0.51996284587078645</v>
      </c>
      <c r="BG41">
        <v>0.56756870187963893</v>
      </c>
      <c r="BI41" t="s">
        <v>807</v>
      </c>
      <c r="BJ41" t="s">
        <v>99</v>
      </c>
      <c r="BK41" t="s">
        <v>100</v>
      </c>
      <c r="BL41">
        <v>0.26794022858407052</v>
      </c>
    </row>
    <row r="42" spans="2:64" x14ac:dyDescent="0.45">
      <c r="B42" t="s">
        <v>808</v>
      </c>
      <c r="C42" t="s">
        <v>95</v>
      </c>
      <c r="D42">
        <v>0.44846944640015812</v>
      </c>
      <c r="E42">
        <v>0.47537799998228192</v>
      </c>
      <c r="F42">
        <v>0.45114119143424275</v>
      </c>
      <c r="G42">
        <v>0.47380712043896972</v>
      </c>
      <c r="H42">
        <v>0.41009635766308722</v>
      </c>
      <c r="I42">
        <v>0.43137200220438027</v>
      </c>
      <c r="J42">
        <v>0.5491111348284522</v>
      </c>
      <c r="K42">
        <v>0.38535549372602712</v>
      </c>
      <c r="L42">
        <v>0.48647164389017983</v>
      </c>
      <c r="M42">
        <v>0.50469431095126971</v>
      </c>
      <c r="N42">
        <v>0.46557210189115766</v>
      </c>
      <c r="O42">
        <v>0.49333980800855215</v>
      </c>
      <c r="AU42" t="s">
        <v>808</v>
      </c>
      <c r="AV42">
        <v>0.28274489609112885</v>
      </c>
      <c r="AW42">
        <v>0.28430360592999088</v>
      </c>
      <c r="AX42">
        <v>0.3030827053500198</v>
      </c>
      <c r="AY42">
        <v>0.23611130889927523</v>
      </c>
      <c r="AZ42">
        <v>0.30513028189918295</v>
      </c>
      <c r="BA42">
        <v>0.26869704718004578</v>
      </c>
      <c r="BB42">
        <v>5.8970506030963675E-2</v>
      </c>
      <c r="BC42">
        <v>0.10706381403372559</v>
      </c>
      <c r="BD42">
        <v>8.157539909854275E-2</v>
      </c>
      <c r="BE42">
        <v>0.19403964077644859</v>
      </c>
      <c r="BF42">
        <v>0.18822717243217377</v>
      </c>
      <c r="BG42">
        <v>0.21879953888524964</v>
      </c>
      <c r="BI42" t="s">
        <v>809</v>
      </c>
      <c r="BJ42" t="s">
        <v>99</v>
      </c>
      <c r="BK42" t="s">
        <v>100</v>
      </c>
      <c r="BL42">
        <v>0.15447663714168794</v>
      </c>
    </row>
    <row r="43" spans="2:64" x14ac:dyDescent="0.45">
      <c r="B43" t="s">
        <v>810</v>
      </c>
      <c r="C43" t="s">
        <v>95</v>
      </c>
      <c r="D43">
        <v>0.41227254727569795</v>
      </c>
      <c r="E43">
        <v>0.44105632581636578</v>
      </c>
      <c r="F43">
        <v>0.3969742539202365</v>
      </c>
      <c r="G43">
        <v>0.40680048337791447</v>
      </c>
      <c r="H43">
        <v>0.36906339198130222</v>
      </c>
      <c r="I43">
        <v>0.36570688080091601</v>
      </c>
      <c r="J43">
        <v>0.53799983473472524</v>
      </c>
      <c r="K43">
        <v>0.36058459267907073</v>
      </c>
      <c r="L43">
        <v>0.40386715323155792</v>
      </c>
      <c r="M43">
        <v>0.48005852888307204</v>
      </c>
      <c r="N43">
        <v>0.43485035041219683</v>
      </c>
      <c r="O43">
        <v>0.47693836032850645</v>
      </c>
      <c r="AU43" t="s">
        <v>810</v>
      </c>
      <c r="AV43">
        <v>0.37963074826304505</v>
      </c>
      <c r="AW43">
        <v>0.37269222713257355</v>
      </c>
      <c r="AX43">
        <v>0.36856899186126596</v>
      </c>
      <c r="AY43">
        <v>0.33169445396442682</v>
      </c>
      <c r="AZ43">
        <v>0.32895110576683906</v>
      </c>
      <c r="BA43">
        <v>0.35035820665123957</v>
      </c>
      <c r="BB43">
        <v>0.10367949775205526</v>
      </c>
      <c r="BC43">
        <v>0.10331821439613328</v>
      </c>
      <c r="BD43">
        <v>0.11170533787908053</v>
      </c>
      <c r="BE43">
        <v>0.265888556992807</v>
      </c>
      <c r="BF43">
        <v>0.24316679273963393</v>
      </c>
      <c r="BG43">
        <v>0.2583338730821888</v>
      </c>
      <c r="BI43" t="s">
        <v>811</v>
      </c>
      <c r="BJ43" t="s">
        <v>99</v>
      </c>
      <c r="BK43" t="s">
        <v>100</v>
      </c>
      <c r="BL43">
        <v>0.22296217803076188</v>
      </c>
    </row>
    <row r="44" spans="2:64" x14ac:dyDescent="0.45">
      <c r="B44" t="s">
        <v>812</v>
      </c>
      <c r="C44" t="s">
        <v>95</v>
      </c>
      <c r="D44">
        <v>0.46809476217452717</v>
      </c>
      <c r="E44">
        <v>0.46603571998681553</v>
      </c>
      <c r="F44">
        <v>0.42553774397708705</v>
      </c>
      <c r="G44">
        <v>0.45028856818777363</v>
      </c>
      <c r="H44">
        <v>0.42211637629734394</v>
      </c>
      <c r="I44">
        <v>0.42651646102736462</v>
      </c>
      <c r="J44">
        <v>0.45186593625080212</v>
      </c>
      <c r="K44">
        <v>0.37324027989952741</v>
      </c>
      <c r="L44">
        <v>0.40589179887689503</v>
      </c>
      <c r="M44">
        <v>0.46096316861324077</v>
      </c>
      <c r="N44">
        <v>0.42436504259465108</v>
      </c>
      <c r="O44">
        <v>0.44935177443498969</v>
      </c>
      <c r="AU44" t="s">
        <v>812</v>
      </c>
      <c r="AV44">
        <v>0.25447768981665136</v>
      </c>
      <c r="AW44">
        <v>0.23308556456123453</v>
      </c>
      <c r="AX44">
        <v>0.25131849656687966</v>
      </c>
      <c r="AY44">
        <v>0.2298906039504286</v>
      </c>
      <c r="AZ44">
        <v>0.2876994288366187</v>
      </c>
      <c r="BA44">
        <v>0.31498885062930804</v>
      </c>
      <c r="BB44">
        <v>8.2384047457556744E-2</v>
      </c>
      <c r="BC44">
        <v>0.10497645898210417</v>
      </c>
      <c r="BD44">
        <v>9.8403767372974793E-2</v>
      </c>
      <c r="BE44">
        <v>0.22760749293949673</v>
      </c>
      <c r="BF44">
        <v>0.22162073579736583</v>
      </c>
      <c r="BG44">
        <v>0.26104756929863282</v>
      </c>
      <c r="BI44" t="s">
        <v>813</v>
      </c>
      <c r="BJ44" t="s">
        <v>99</v>
      </c>
      <c r="BK44" t="s">
        <v>100</v>
      </c>
      <c r="BL44">
        <v>0.40327416508946823</v>
      </c>
    </row>
    <row r="45" spans="2:64" x14ac:dyDescent="0.45">
      <c r="B45" t="s">
        <v>814</v>
      </c>
      <c r="C45" t="s">
        <v>95</v>
      </c>
      <c r="D45">
        <v>0.33587392057652155</v>
      </c>
      <c r="E45">
        <v>0.36028473912812797</v>
      </c>
      <c r="F45">
        <v>0.34091790922236292</v>
      </c>
      <c r="G45">
        <v>0.34717635914453338</v>
      </c>
      <c r="H45">
        <v>0.35846424850121089</v>
      </c>
      <c r="I45">
        <v>0.3585069665581076</v>
      </c>
      <c r="J45">
        <v>0.45795959237288736</v>
      </c>
      <c r="K45">
        <v>0.46863993441390317</v>
      </c>
      <c r="L45">
        <v>0.44827129959201567</v>
      </c>
      <c r="M45">
        <v>0.38688494799022999</v>
      </c>
      <c r="N45">
        <v>0.39750803899490261</v>
      </c>
      <c r="O45">
        <v>0.38504141806745001</v>
      </c>
      <c r="AU45" t="s">
        <v>814</v>
      </c>
      <c r="AV45">
        <v>0.46943603126272582</v>
      </c>
      <c r="AW45">
        <v>0.45834649683184542</v>
      </c>
      <c r="AX45">
        <v>0.47024530776478024</v>
      </c>
      <c r="AY45">
        <v>0.42436956830415107</v>
      </c>
      <c r="AZ45">
        <v>0.39967553819064977</v>
      </c>
      <c r="BA45">
        <v>0.39371247632449102</v>
      </c>
      <c r="BB45">
        <v>0.19836171812392198</v>
      </c>
      <c r="BC45">
        <v>0.19217736911896027</v>
      </c>
      <c r="BD45">
        <v>0.15142809267275195</v>
      </c>
      <c r="BE45">
        <v>0.39567830675758092</v>
      </c>
      <c r="BF45">
        <v>0.39443483693673442</v>
      </c>
      <c r="BG45">
        <v>0.3765216825226908</v>
      </c>
      <c r="BI45" t="s">
        <v>815</v>
      </c>
      <c r="BJ45" t="s">
        <v>99</v>
      </c>
      <c r="BK45" t="s">
        <v>100</v>
      </c>
      <c r="BL45">
        <v>0.16206220968578636</v>
      </c>
    </row>
    <row r="46" spans="2:64" x14ac:dyDescent="0.45">
      <c r="B46" t="s">
        <v>816</v>
      </c>
      <c r="C46" t="s">
        <v>95</v>
      </c>
      <c r="D46">
        <v>0.41608687801803784</v>
      </c>
      <c r="E46">
        <v>0.41483098135909374</v>
      </c>
      <c r="F46">
        <v>0.40555335239458168</v>
      </c>
      <c r="G46">
        <v>0.39921288515677089</v>
      </c>
      <c r="H46">
        <v>0.38476929019723571</v>
      </c>
      <c r="I46">
        <v>0.3826253171037301</v>
      </c>
      <c r="J46">
        <v>0.47614532012070565</v>
      </c>
      <c r="K46">
        <v>0.41963648517010826</v>
      </c>
      <c r="L46">
        <v>0.41084378185126846</v>
      </c>
      <c r="M46">
        <v>0.43501232298956932</v>
      </c>
      <c r="N46">
        <v>0.42968302203940556</v>
      </c>
      <c r="O46">
        <v>0.41422401241137069</v>
      </c>
      <c r="AU46" t="s">
        <v>816</v>
      </c>
      <c r="AV46">
        <v>0.37980454854502149</v>
      </c>
      <c r="AW46">
        <v>0.38400043492609659</v>
      </c>
      <c r="AX46">
        <v>0.37432164368043741</v>
      </c>
      <c r="AY46">
        <v>0.34517877642639283</v>
      </c>
      <c r="AZ46">
        <v>0.33210661960856769</v>
      </c>
      <c r="BA46">
        <v>0.34914098514365122</v>
      </c>
      <c r="BB46">
        <v>0.11994002298619376</v>
      </c>
      <c r="BC46">
        <v>0.14240414492262954</v>
      </c>
      <c r="BD46">
        <v>0.11312104391232053</v>
      </c>
      <c r="BE46">
        <v>0.30808122743710781</v>
      </c>
      <c r="BF46">
        <v>0.31828477563478391</v>
      </c>
      <c r="BG46">
        <v>0.31100241564235354</v>
      </c>
      <c r="BI46" t="s">
        <v>817</v>
      </c>
      <c r="BJ46" t="s">
        <v>99</v>
      </c>
      <c r="BK46" t="s">
        <v>100</v>
      </c>
      <c r="BL46">
        <v>0.2422749101788923</v>
      </c>
    </row>
    <row r="47" spans="2:64" x14ac:dyDescent="0.45">
      <c r="B47" t="s">
        <v>818</v>
      </c>
      <c r="C47" t="s">
        <v>95</v>
      </c>
      <c r="D47">
        <v>0.32355556915380573</v>
      </c>
      <c r="E47">
        <v>0.33215067079584193</v>
      </c>
      <c r="F47">
        <v>0.30968485589081174</v>
      </c>
      <c r="G47">
        <v>0.36104580903176936</v>
      </c>
      <c r="H47">
        <v>0.33783515022548766</v>
      </c>
      <c r="I47">
        <v>0.34054095300827641</v>
      </c>
      <c r="J47">
        <v>0.41201600449496595</v>
      </c>
      <c r="K47">
        <v>0.40089860421138762</v>
      </c>
      <c r="L47">
        <v>0.41764916175135747</v>
      </c>
      <c r="M47">
        <v>0.42484474227369079</v>
      </c>
      <c r="N47">
        <v>0.40124125887475665</v>
      </c>
      <c r="O47">
        <v>0.40561095722836432</v>
      </c>
      <c r="AU47" t="s">
        <v>818</v>
      </c>
      <c r="AV47">
        <v>0.43639893132910301</v>
      </c>
      <c r="AW47">
        <v>0.44331554520664468</v>
      </c>
      <c r="AX47">
        <v>0.45870340802828186</v>
      </c>
      <c r="AY47">
        <v>0.43475185350323187</v>
      </c>
      <c r="AZ47">
        <v>0.45024682348650058</v>
      </c>
      <c r="BA47">
        <v>0.47629661340321655</v>
      </c>
      <c r="BB47">
        <v>0.27601345714887865</v>
      </c>
      <c r="BC47">
        <v>0.32644918189134647</v>
      </c>
      <c r="BD47">
        <v>0.31193936654216897</v>
      </c>
      <c r="BE47">
        <v>0.26582291098352751</v>
      </c>
      <c r="BF47">
        <v>0.28344661830465917</v>
      </c>
      <c r="BG47">
        <v>0.29514949425991993</v>
      </c>
      <c r="BI47" t="s">
        <v>819</v>
      </c>
      <c r="BJ47" t="s">
        <v>99</v>
      </c>
      <c r="BK47" t="s">
        <v>100</v>
      </c>
      <c r="BL47">
        <v>0.27348556214446534</v>
      </c>
    </row>
    <row r="48" spans="2:64" x14ac:dyDescent="0.45">
      <c r="B48" t="s">
        <v>820</v>
      </c>
      <c r="C48" t="s">
        <v>95</v>
      </c>
      <c r="D48">
        <v>0.31032460224166875</v>
      </c>
      <c r="E48">
        <v>0.31833238146341314</v>
      </c>
      <c r="F48">
        <v>0.29544714069406491</v>
      </c>
      <c r="G48">
        <v>0.34424855690001988</v>
      </c>
      <c r="H48">
        <v>0.32663743138187273</v>
      </c>
      <c r="I48">
        <v>0.32342083448211739</v>
      </c>
      <c r="J48">
        <v>0.38835516923871533</v>
      </c>
      <c r="K48">
        <v>0.40262479254611533</v>
      </c>
      <c r="L48">
        <v>0.42323702543528074</v>
      </c>
      <c r="M48">
        <v>0.40224281680392809</v>
      </c>
      <c r="N48">
        <v>0.40638438721572567</v>
      </c>
      <c r="O48">
        <v>0.39204728957753349</v>
      </c>
      <c r="AU48" t="s">
        <v>820</v>
      </c>
      <c r="AV48">
        <v>0.45769654071186738</v>
      </c>
      <c r="AW48">
        <v>0.45798107114995446</v>
      </c>
      <c r="AX48">
        <v>0.48562596679054532</v>
      </c>
      <c r="AY48">
        <v>0.40196636155840609</v>
      </c>
      <c r="AZ48">
        <v>0.42679375810869519</v>
      </c>
      <c r="BA48">
        <v>0.45583420518747175</v>
      </c>
      <c r="BB48">
        <v>0.25524183249052756</v>
      </c>
      <c r="BC48">
        <v>0.27764128920187331</v>
      </c>
      <c r="BD48">
        <v>0.26114162699726851</v>
      </c>
      <c r="BE48">
        <v>0.26703283679241357</v>
      </c>
      <c r="BF48">
        <v>0.28074615310979689</v>
      </c>
      <c r="BG48">
        <v>0.29731062782197915</v>
      </c>
      <c r="BI48" t="s">
        <v>821</v>
      </c>
      <c r="BJ48" t="s">
        <v>99</v>
      </c>
      <c r="BK48" t="s">
        <v>100</v>
      </c>
      <c r="BL48">
        <v>0.17468616429963008</v>
      </c>
    </row>
    <row r="49" spans="2:64" x14ac:dyDescent="0.45">
      <c r="B49" t="s">
        <v>822</v>
      </c>
      <c r="C49" t="s">
        <v>95</v>
      </c>
      <c r="D49">
        <v>0.36389846281877991</v>
      </c>
      <c r="E49">
        <v>0.44224943799094873</v>
      </c>
      <c r="F49">
        <v>0.40178307541110519</v>
      </c>
      <c r="G49">
        <v>0.34185671512918542</v>
      </c>
      <c r="H49">
        <v>0.41808919969600222</v>
      </c>
      <c r="I49">
        <v>0.3180612494658544</v>
      </c>
      <c r="J49">
        <v>0.43585235658358118</v>
      </c>
      <c r="K49">
        <v>0.4161236651684907</v>
      </c>
      <c r="L49">
        <v>0.30139063779992803</v>
      </c>
      <c r="M49">
        <v>0.41456203453297619</v>
      </c>
      <c r="N49">
        <v>0.42779338532693134</v>
      </c>
      <c r="O49">
        <v>0.33456324346658783</v>
      </c>
      <c r="AU49" t="s">
        <v>822</v>
      </c>
      <c r="AV49">
        <v>0.33038148016771401</v>
      </c>
      <c r="AW49">
        <v>0.27101737484449212</v>
      </c>
      <c r="AX49">
        <v>0.31505636274823745</v>
      </c>
      <c r="AY49">
        <v>0.34768534859715927</v>
      </c>
      <c r="AZ49">
        <v>0.32085036641121178</v>
      </c>
      <c r="BA49">
        <v>0.40347386222932408</v>
      </c>
      <c r="BB49">
        <v>0.20615236492186415</v>
      </c>
      <c r="BC49">
        <v>0.14212024578221211</v>
      </c>
      <c r="BD49">
        <v>0.28280777066213753</v>
      </c>
      <c r="BE49">
        <v>0.21712212874119605</v>
      </c>
      <c r="BF49">
        <v>0.18431693374558283</v>
      </c>
      <c r="BG49">
        <v>0.23467115169171154</v>
      </c>
      <c r="BI49" t="s">
        <v>823</v>
      </c>
      <c r="BJ49" t="s">
        <v>99</v>
      </c>
      <c r="BK49" t="s">
        <v>100</v>
      </c>
      <c r="BL49">
        <v>0.23052257447752178</v>
      </c>
    </row>
    <row r="50" spans="2:64" x14ac:dyDescent="0.45">
      <c r="B50" t="s">
        <v>824</v>
      </c>
      <c r="C50" t="s">
        <v>95</v>
      </c>
      <c r="D50">
        <v>0.32713476687740223</v>
      </c>
      <c r="E50">
        <v>0.37416348716248116</v>
      </c>
      <c r="F50">
        <v>0.34082915804281122</v>
      </c>
      <c r="G50">
        <v>0.29612629477399099</v>
      </c>
      <c r="H50">
        <v>0.3446560821472659</v>
      </c>
      <c r="I50">
        <v>0.2853456691991933</v>
      </c>
      <c r="J50">
        <v>0.34468656549612353</v>
      </c>
      <c r="K50">
        <v>0.38501707598192397</v>
      </c>
      <c r="L50">
        <v>0.27187196646432066</v>
      </c>
      <c r="M50">
        <v>0.35257842139103079</v>
      </c>
      <c r="N50">
        <v>0.35887036145528617</v>
      </c>
      <c r="O50">
        <v>0.32263318917866962</v>
      </c>
      <c r="AU50" t="s">
        <v>824</v>
      </c>
      <c r="AV50">
        <v>0.43682604936066272</v>
      </c>
      <c r="AW50">
        <v>0.39843759062199735</v>
      </c>
      <c r="AX50">
        <v>0.44582952984441659</v>
      </c>
      <c r="AY50">
        <v>0.42456233968330925</v>
      </c>
      <c r="AZ50">
        <v>0.40005541823482543</v>
      </c>
      <c r="BA50">
        <v>0.45580913682927116</v>
      </c>
      <c r="BB50">
        <v>0.39291253383358227</v>
      </c>
      <c r="BC50">
        <v>0.33822424349560165</v>
      </c>
      <c r="BD50">
        <v>0.4314038482150776</v>
      </c>
      <c r="BE50">
        <v>0.34318430203301187</v>
      </c>
      <c r="BF50">
        <v>0.31199357481402473</v>
      </c>
      <c r="BG50">
        <v>0.35708255105524983</v>
      </c>
      <c r="BI50" t="s">
        <v>825</v>
      </c>
      <c r="BJ50" t="s">
        <v>99</v>
      </c>
      <c r="BK50" t="s">
        <v>100</v>
      </c>
      <c r="BL50">
        <v>0.28913669432012562</v>
      </c>
    </row>
    <row r="51" spans="2:64" x14ac:dyDescent="0.45">
      <c r="B51" t="s">
        <v>826</v>
      </c>
      <c r="C51" t="s">
        <v>95</v>
      </c>
      <c r="D51">
        <v>0.31323794670046362</v>
      </c>
      <c r="E51">
        <v>0.34092003844121588</v>
      </c>
      <c r="F51">
        <v>0.2819124746587448</v>
      </c>
      <c r="G51">
        <v>0.27292188451829863</v>
      </c>
      <c r="H51">
        <v>0.26629036333897871</v>
      </c>
      <c r="I51">
        <v>0.25106559451256621</v>
      </c>
      <c r="J51">
        <v>0.39601567184697517</v>
      </c>
      <c r="K51">
        <v>0.37719053739109454</v>
      </c>
      <c r="L51">
        <v>0.36807530635771396</v>
      </c>
      <c r="M51">
        <v>0.28868119908706824</v>
      </c>
      <c r="N51">
        <v>0.29653641449639084</v>
      </c>
      <c r="O51">
        <v>0.24673787466095376</v>
      </c>
      <c r="AU51" t="s">
        <v>826</v>
      </c>
      <c r="AV51">
        <v>0.48691811720479167</v>
      </c>
      <c r="AW51">
        <v>0.48764151124252864</v>
      </c>
      <c r="AX51">
        <v>0.52209104417040408</v>
      </c>
      <c r="AY51">
        <v>0.53037829933870262</v>
      </c>
      <c r="AZ51">
        <v>0.54226955713221181</v>
      </c>
      <c r="BA51">
        <v>0.59071453041197697</v>
      </c>
      <c r="BB51">
        <v>0.35693357351860439</v>
      </c>
      <c r="BC51">
        <v>0.35317508531521408</v>
      </c>
      <c r="BD51">
        <v>0.44657994508905541</v>
      </c>
      <c r="BE51">
        <v>0.489944933928534</v>
      </c>
      <c r="BF51">
        <v>0.49351731233969365</v>
      </c>
      <c r="BG51">
        <v>0.55866857885439702</v>
      </c>
      <c r="BI51" t="s">
        <v>827</v>
      </c>
      <c r="BJ51" t="s">
        <v>99</v>
      </c>
      <c r="BK51" t="s">
        <v>100</v>
      </c>
      <c r="BL51">
        <v>0.23857400550066338</v>
      </c>
    </row>
    <row r="52" spans="2:64" x14ac:dyDescent="0.45">
      <c r="B52" t="s">
        <v>828</v>
      </c>
      <c r="C52" t="s">
        <v>95</v>
      </c>
      <c r="D52">
        <v>0.30130940907186426</v>
      </c>
      <c r="E52">
        <v>0.33054974338668602</v>
      </c>
      <c r="F52">
        <v>0.31547301122546945</v>
      </c>
      <c r="G52">
        <v>0.32661092459485364</v>
      </c>
      <c r="H52">
        <v>0.31245353946694088</v>
      </c>
      <c r="I52">
        <v>0.32630846167174637</v>
      </c>
      <c r="J52">
        <v>0.33589041828467908</v>
      </c>
      <c r="K52">
        <v>0.32837762913647578</v>
      </c>
      <c r="L52">
        <v>0.33036633291606826</v>
      </c>
      <c r="M52">
        <v>0.34408779010745622</v>
      </c>
      <c r="N52">
        <v>0.3253728025430872</v>
      </c>
      <c r="O52">
        <v>0.34625795308110024</v>
      </c>
      <c r="AU52" t="s">
        <v>828</v>
      </c>
      <c r="AV52">
        <v>0.47988471050443954</v>
      </c>
      <c r="AW52">
        <v>0.46128385507600056</v>
      </c>
      <c r="AX52">
        <v>0.47294754725852162</v>
      </c>
      <c r="AY52">
        <v>0.37598066900878535</v>
      </c>
      <c r="AZ52">
        <v>0.37539780948676399</v>
      </c>
      <c r="BA52">
        <v>0.36079526955257701</v>
      </c>
      <c r="BB52">
        <v>0.26266711216270694</v>
      </c>
      <c r="BC52">
        <v>0.29817701585077722</v>
      </c>
      <c r="BD52">
        <v>0.31082820013192497</v>
      </c>
      <c r="BE52">
        <v>0.3724431488119096</v>
      </c>
      <c r="BF52">
        <v>0.39355174237957941</v>
      </c>
      <c r="BG52">
        <v>0.3773648693647606</v>
      </c>
      <c r="BI52" t="s">
        <v>829</v>
      </c>
      <c r="BJ52" t="s">
        <v>99</v>
      </c>
      <c r="BK52" t="s">
        <v>100</v>
      </c>
      <c r="BL52">
        <v>0.13323082077840809</v>
      </c>
    </row>
    <row r="53" spans="2:64" x14ac:dyDescent="0.45">
      <c r="B53" t="s">
        <v>830</v>
      </c>
      <c r="C53" t="s">
        <v>95</v>
      </c>
      <c r="D53">
        <v>0.25275228211372641</v>
      </c>
      <c r="E53">
        <v>0.26658398579375792</v>
      </c>
      <c r="F53">
        <v>0.22710532208096329</v>
      </c>
      <c r="G53">
        <v>0.24090453173880813</v>
      </c>
      <c r="H53">
        <v>0.22937867693880157</v>
      </c>
      <c r="I53">
        <v>0.22249532162434843</v>
      </c>
      <c r="J53">
        <v>0.30023773448337043</v>
      </c>
      <c r="K53">
        <v>0.26587891687236131</v>
      </c>
      <c r="L53">
        <v>0.28272694250198704</v>
      </c>
      <c r="M53">
        <v>0.25000387653597317</v>
      </c>
      <c r="N53">
        <v>0.24589467564822998</v>
      </c>
      <c r="O53">
        <v>0.25102458872073574</v>
      </c>
      <c r="AU53" t="s">
        <v>830</v>
      </c>
      <c r="AV53">
        <v>0.57732263701573505</v>
      </c>
      <c r="AW53">
        <v>0.569906478624708</v>
      </c>
      <c r="AX53">
        <v>0.60819751597169647</v>
      </c>
      <c r="AY53">
        <v>0.54464657036757724</v>
      </c>
      <c r="AZ53">
        <v>0.54142900471264477</v>
      </c>
      <c r="BA53">
        <v>0.57535553496932634</v>
      </c>
      <c r="BB53">
        <v>0.48742920268187329</v>
      </c>
      <c r="BC53">
        <v>0.52875651483012931</v>
      </c>
      <c r="BD53">
        <v>0.53811823382698254</v>
      </c>
      <c r="BE53">
        <v>0.56768944315086489</v>
      </c>
      <c r="BF53">
        <v>0.57120733296903381</v>
      </c>
      <c r="BG53">
        <v>0.56813337801008967</v>
      </c>
      <c r="BI53" t="s">
        <v>831</v>
      </c>
      <c r="BJ53" t="s">
        <v>99</v>
      </c>
      <c r="BK53" t="s">
        <v>100</v>
      </c>
      <c r="BL53">
        <v>0.17739911988055035</v>
      </c>
    </row>
    <row r="54" spans="2:64" x14ac:dyDescent="0.45">
      <c r="B54" t="s">
        <v>832</v>
      </c>
      <c r="C54" t="s">
        <v>95</v>
      </c>
      <c r="D54">
        <v>0.3407388327286856</v>
      </c>
      <c r="E54">
        <v>0.3500000392613245</v>
      </c>
      <c r="F54">
        <v>0.34435190261350351</v>
      </c>
      <c r="G54">
        <v>0.31907448882875095</v>
      </c>
      <c r="H54">
        <v>0.30696150402901573</v>
      </c>
      <c r="I54">
        <v>0.34028683269647075</v>
      </c>
      <c r="J54">
        <v>0.39944614773349268</v>
      </c>
      <c r="K54">
        <v>0.3912945334540277</v>
      </c>
      <c r="L54">
        <v>0.3757113399907141</v>
      </c>
      <c r="M54">
        <v>0.37326133079261042</v>
      </c>
      <c r="N54">
        <v>0.35184156047875037</v>
      </c>
      <c r="O54">
        <v>0.37504038673333046</v>
      </c>
      <c r="AU54" t="s">
        <v>832</v>
      </c>
      <c r="AV54">
        <v>0.42132500567794595</v>
      </c>
      <c r="AW54">
        <v>0.39131008590551686</v>
      </c>
      <c r="AX54">
        <v>0.41301756720747923</v>
      </c>
      <c r="AY54">
        <v>0.3097328333904546</v>
      </c>
      <c r="AZ54">
        <v>0.31700213306208508</v>
      </c>
      <c r="BA54">
        <v>0.30765317589861396</v>
      </c>
      <c r="BB54">
        <v>0.17610583726586942</v>
      </c>
      <c r="BC54">
        <v>0.20986133267799295</v>
      </c>
      <c r="BD54">
        <v>0.20182939986900983</v>
      </c>
      <c r="BE54">
        <v>0.27990114498258839</v>
      </c>
      <c r="BF54">
        <v>0.30173880787593438</v>
      </c>
      <c r="BG54">
        <v>0.29222073554905437</v>
      </c>
      <c r="BI54" t="s">
        <v>833</v>
      </c>
      <c r="BJ54" t="s">
        <v>99</v>
      </c>
      <c r="BK54" t="s">
        <v>100</v>
      </c>
      <c r="BL54">
        <v>0.29293243094779758</v>
      </c>
    </row>
    <row r="55" spans="2:64" x14ac:dyDescent="0.45">
      <c r="B55" t="s">
        <v>834</v>
      </c>
      <c r="C55" t="s">
        <v>95</v>
      </c>
      <c r="D55">
        <v>0.32089069470255832</v>
      </c>
      <c r="E55">
        <v>0.34761254563985872</v>
      </c>
      <c r="F55">
        <v>0.30380738617906344</v>
      </c>
      <c r="G55">
        <v>0.3241822393347516</v>
      </c>
      <c r="H55">
        <v>0.33414555172253435</v>
      </c>
      <c r="I55">
        <v>0.32696996289576202</v>
      </c>
      <c r="J55">
        <v>0.3442581948157763</v>
      </c>
      <c r="K55">
        <v>0.35707416911132994</v>
      </c>
      <c r="L55">
        <v>0.28385480953191516</v>
      </c>
      <c r="M55">
        <v>0.33569611908172953</v>
      </c>
      <c r="N55">
        <v>0.35456196629112796</v>
      </c>
      <c r="O55">
        <v>0.34857156336340167</v>
      </c>
      <c r="AU55" t="s">
        <v>834</v>
      </c>
      <c r="AV55">
        <v>0.44768536110699997</v>
      </c>
      <c r="AW55">
        <v>0.4049345545598439</v>
      </c>
      <c r="AX55">
        <v>0.43071734317999394</v>
      </c>
      <c r="AY55">
        <v>0.35851254866053256</v>
      </c>
      <c r="AZ55">
        <v>0.36235839594528318</v>
      </c>
      <c r="BA55">
        <v>0.34810269279327494</v>
      </c>
      <c r="BB55">
        <v>0.15684612169292689</v>
      </c>
      <c r="BC55">
        <v>0.18111303786320168</v>
      </c>
      <c r="BD55">
        <v>0.20500192994715752</v>
      </c>
      <c r="BE55">
        <v>0.34360079864262233</v>
      </c>
      <c r="BF55">
        <v>0.33199945660195851</v>
      </c>
      <c r="BG55">
        <v>0.36111234836546247</v>
      </c>
      <c r="BI55" t="s">
        <v>835</v>
      </c>
      <c r="BJ55" t="s">
        <v>99</v>
      </c>
      <c r="BK55" t="s">
        <v>100</v>
      </c>
      <c r="BL55">
        <v>0.17884166904494359</v>
      </c>
    </row>
    <row r="56" spans="2:64" x14ac:dyDescent="0.45">
      <c r="B56" t="s">
        <v>799</v>
      </c>
      <c r="C56" t="s">
        <v>95</v>
      </c>
      <c r="D56">
        <v>0.36814193253813776</v>
      </c>
      <c r="E56">
        <v>0.37389354553762533</v>
      </c>
      <c r="F56">
        <v>0.32614552626826954</v>
      </c>
      <c r="G56">
        <v>0.34634503886297652</v>
      </c>
      <c r="H56">
        <v>0.34140616304041277</v>
      </c>
      <c r="I56">
        <v>0.31964545932106059</v>
      </c>
      <c r="J56">
        <v>0.3683418051640136</v>
      </c>
      <c r="K56">
        <v>0.3721214589387139</v>
      </c>
      <c r="L56">
        <v>0.38960786356390781</v>
      </c>
      <c r="M56">
        <v>0.35861257042081901</v>
      </c>
      <c r="N56">
        <v>0.36593655539069103</v>
      </c>
      <c r="O56">
        <v>0.35940236578476098</v>
      </c>
      <c r="AU56" t="s">
        <v>799</v>
      </c>
      <c r="AV56">
        <v>0.23189279130527932</v>
      </c>
      <c r="AW56">
        <v>0.23838161990548329</v>
      </c>
      <c r="AX56">
        <v>0.23297850029811354</v>
      </c>
      <c r="AY56">
        <v>0.17628010188499924</v>
      </c>
      <c r="AZ56">
        <v>0.218667981491623</v>
      </c>
      <c r="BA56">
        <v>0.22493612615593883</v>
      </c>
      <c r="BB56">
        <v>9.8361899673258812E-2</v>
      </c>
      <c r="BC56">
        <v>0.12712159148042454</v>
      </c>
      <c r="BD56">
        <v>0.11816561316948582</v>
      </c>
      <c r="BE56">
        <v>0.10492617557666213</v>
      </c>
      <c r="BF56">
        <v>0.12160903585529341</v>
      </c>
      <c r="BG56">
        <v>0.12855513212585598</v>
      </c>
      <c r="BI56" t="s">
        <v>836</v>
      </c>
      <c r="BJ56" t="s">
        <v>99</v>
      </c>
      <c r="BK56" t="s">
        <v>100</v>
      </c>
      <c r="BL56">
        <v>0.37688925107495014</v>
      </c>
    </row>
    <row r="57" spans="2:64" x14ac:dyDescent="0.45">
      <c r="B57" t="s">
        <v>801</v>
      </c>
      <c r="C57" t="s">
        <v>95</v>
      </c>
      <c r="D57">
        <v>0.36647844030974963</v>
      </c>
      <c r="E57">
        <v>0.40781766650849122</v>
      </c>
      <c r="F57">
        <v>0.37412889754674628</v>
      </c>
      <c r="G57">
        <v>0.34599656685252395</v>
      </c>
      <c r="H57">
        <v>0.4376111875769807</v>
      </c>
      <c r="I57">
        <v>0.30816764830288418</v>
      </c>
      <c r="J57">
        <v>0.26236730608517023</v>
      </c>
      <c r="K57">
        <v>0.36613504669992242</v>
      </c>
      <c r="L57">
        <v>0.17607806120818456</v>
      </c>
      <c r="M57">
        <v>0.35095567108717768</v>
      </c>
      <c r="N57">
        <v>0.41522482571710823</v>
      </c>
      <c r="O57">
        <v>0.26671235677485738</v>
      </c>
      <c r="AU57" t="s">
        <v>801</v>
      </c>
      <c r="AV57">
        <v>0.25909143435005844</v>
      </c>
      <c r="AW57">
        <v>0.20981075223022802</v>
      </c>
      <c r="AX57">
        <v>0.22927337487416935</v>
      </c>
      <c r="AY57">
        <v>0.2080023538862221</v>
      </c>
      <c r="AZ57">
        <v>0.21438158615354105</v>
      </c>
      <c r="BA57">
        <v>0.27467791405827435</v>
      </c>
      <c r="BB57">
        <v>0.11707162005538986</v>
      </c>
      <c r="BC57">
        <v>8.3292438245563274E-2</v>
      </c>
      <c r="BD57">
        <v>0.19202555490550605</v>
      </c>
      <c r="BE57">
        <v>0.16225333872841288</v>
      </c>
      <c r="BF57">
        <v>0.1383275551348066</v>
      </c>
      <c r="BG57">
        <v>0.18543996892411341</v>
      </c>
      <c r="BI57" t="s">
        <v>837</v>
      </c>
      <c r="BJ57" t="s">
        <v>99</v>
      </c>
      <c r="BK57" t="s">
        <v>100</v>
      </c>
      <c r="BL57">
        <v>0.30893320787923773</v>
      </c>
    </row>
    <row r="58" spans="2:64" x14ac:dyDescent="0.45">
      <c r="B58" t="s">
        <v>803</v>
      </c>
      <c r="C58" t="s">
        <v>95</v>
      </c>
      <c r="D58">
        <v>0.39263044241388734</v>
      </c>
      <c r="E58">
        <v>0.45623527051104951</v>
      </c>
      <c r="F58">
        <v>0.41364913251376867</v>
      </c>
      <c r="G58">
        <v>0.35164378860520196</v>
      </c>
      <c r="H58">
        <v>0.42876374578450871</v>
      </c>
      <c r="I58">
        <v>0.34309207603857966</v>
      </c>
      <c r="J58">
        <v>0.25232324226493652</v>
      </c>
      <c r="K58">
        <v>0.38510871064895708</v>
      </c>
      <c r="L58">
        <v>0.2529774272261891</v>
      </c>
      <c r="M58">
        <v>0.35031905313287287</v>
      </c>
      <c r="N58">
        <v>0.45775432163423885</v>
      </c>
      <c r="O58">
        <v>0.2997734201124137</v>
      </c>
      <c r="AU58" t="s">
        <v>803</v>
      </c>
      <c r="AV58">
        <v>0.23325614157775457</v>
      </c>
      <c r="AW58">
        <v>0.19634636629820199</v>
      </c>
      <c r="AX58">
        <v>0.23058605888533568</v>
      </c>
      <c r="AY58">
        <v>0.19514954217402145</v>
      </c>
      <c r="AZ58">
        <v>0.1948416257235849</v>
      </c>
      <c r="BA58">
        <v>0.23454417475170095</v>
      </c>
      <c r="BB58">
        <v>0.10422732847566271</v>
      </c>
      <c r="BC58">
        <v>4.8520235928535133E-2</v>
      </c>
      <c r="BD58">
        <v>0.14081468007550263</v>
      </c>
      <c r="BE58">
        <v>0.1388819484549576</v>
      </c>
      <c r="BF58">
        <v>0.11522961932007034</v>
      </c>
      <c r="BG58">
        <v>0.15566853066628458</v>
      </c>
      <c r="BI58" t="s">
        <v>838</v>
      </c>
      <c r="BJ58" t="s">
        <v>99</v>
      </c>
      <c r="BK58" t="s">
        <v>100</v>
      </c>
      <c r="BL58">
        <v>0.26170935099758769</v>
      </c>
    </row>
    <row r="59" spans="2:64" x14ac:dyDescent="0.45">
      <c r="B59" t="s">
        <v>805</v>
      </c>
      <c r="C59" t="s">
        <v>95</v>
      </c>
      <c r="D59">
        <v>0.48209900773879633</v>
      </c>
      <c r="E59">
        <v>0.49172311834635224</v>
      </c>
      <c r="F59">
        <v>0.45626665930943849</v>
      </c>
      <c r="G59">
        <v>0.39782738111990673</v>
      </c>
      <c r="H59">
        <v>0.44831027149692798</v>
      </c>
      <c r="I59">
        <v>0.35774224644019265</v>
      </c>
      <c r="J59">
        <v>0.26341521461680201</v>
      </c>
      <c r="K59">
        <v>0.3798436357064317</v>
      </c>
      <c r="L59">
        <v>0.22141844961766757</v>
      </c>
      <c r="M59">
        <v>0.3504349359001292</v>
      </c>
      <c r="N59">
        <v>0.4468372222304452</v>
      </c>
      <c r="O59">
        <v>0.32500882794104508</v>
      </c>
      <c r="AU59" t="s">
        <v>805</v>
      </c>
      <c r="AV59">
        <v>0.16322779229119488</v>
      </c>
      <c r="AW59">
        <v>0.14743159852308124</v>
      </c>
      <c r="AX59">
        <v>0.15548458098845555</v>
      </c>
      <c r="AY59">
        <v>0.12632519011880025</v>
      </c>
      <c r="AZ59">
        <v>0.14134486240750355</v>
      </c>
      <c r="BA59">
        <v>0.18262064778186612</v>
      </c>
      <c r="BB59">
        <v>6.5037238417128065E-2</v>
      </c>
      <c r="BC59">
        <v>4.5407430162982279E-2</v>
      </c>
      <c r="BD59">
        <v>0.1170434877669696</v>
      </c>
      <c r="BE59">
        <v>7.280421365536878E-2</v>
      </c>
      <c r="BF59">
        <v>6.6830949740869283E-2</v>
      </c>
      <c r="BG59">
        <v>0.10436647990369269</v>
      </c>
      <c r="BI59" t="s">
        <v>839</v>
      </c>
      <c r="BJ59" t="s">
        <v>99</v>
      </c>
      <c r="BK59" t="s">
        <v>100</v>
      </c>
      <c r="BL59">
        <v>0.22090363509345179</v>
      </c>
    </row>
    <row r="60" spans="2:64" x14ac:dyDescent="0.45">
      <c r="B60" t="s">
        <v>807</v>
      </c>
      <c r="C60" t="s">
        <v>95</v>
      </c>
      <c r="D60">
        <v>0.41300843416710009</v>
      </c>
      <c r="E60">
        <v>0.46911108927598016</v>
      </c>
      <c r="F60">
        <v>0.41673010940699645</v>
      </c>
      <c r="G60">
        <v>0.32561496300972853</v>
      </c>
      <c r="H60">
        <v>0.42043941499860271</v>
      </c>
      <c r="I60">
        <v>0.34287417583512403</v>
      </c>
      <c r="J60">
        <v>0.29957266910544605</v>
      </c>
      <c r="K60">
        <v>0.42416147715742364</v>
      </c>
      <c r="L60">
        <v>0.32814449458095807</v>
      </c>
      <c r="M60">
        <v>0.32275918045195662</v>
      </c>
      <c r="N60">
        <v>0.45821704364846461</v>
      </c>
      <c r="O60">
        <v>0.38155378270261264</v>
      </c>
      <c r="AU60" t="s">
        <v>807</v>
      </c>
      <c r="AV60">
        <v>0.26378316189474021</v>
      </c>
      <c r="AW60">
        <v>0.23499624879282918</v>
      </c>
      <c r="AX60">
        <v>0.26850244307531446</v>
      </c>
      <c r="AY60">
        <v>0.23697759535404056</v>
      </c>
      <c r="AZ60">
        <v>0.23107593098966472</v>
      </c>
      <c r="BA60">
        <v>0.27062249608166616</v>
      </c>
      <c r="BB60">
        <v>0.16632046833890773</v>
      </c>
      <c r="BC60">
        <v>6.39709821214417E-2</v>
      </c>
      <c r="BD60">
        <v>0.13515865325285176</v>
      </c>
      <c r="BE60">
        <v>0.15679054590807756</v>
      </c>
      <c r="BF60">
        <v>0.11459066689297037</v>
      </c>
      <c r="BG60">
        <v>0.16230259437503083</v>
      </c>
      <c r="BI60" t="s">
        <v>840</v>
      </c>
      <c r="BJ60" t="s">
        <v>99</v>
      </c>
      <c r="BK60" t="s">
        <v>100</v>
      </c>
      <c r="BL60">
        <v>0.22834369633110146</v>
      </c>
    </row>
    <row r="61" spans="2:64" x14ac:dyDescent="0.45">
      <c r="B61" t="s">
        <v>809</v>
      </c>
      <c r="C61" t="s">
        <v>95</v>
      </c>
      <c r="D61">
        <v>0.47584246064090696</v>
      </c>
      <c r="E61">
        <v>0.51147866087221738</v>
      </c>
      <c r="F61">
        <v>0.4793206777285397</v>
      </c>
      <c r="G61">
        <v>0.40734702055563099</v>
      </c>
      <c r="H61">
        <v>0.45487134294092296</v>
      </c>
      <c r="I61">
        <v>0.41956694170936476</v>
      </c>
      <c r="J61">
        <v>0.42097497425952413</v>
      </c>
      <c r="K61">
        <v>0.44070800814312799</v>
      </c>
      <c r="L61">
        <v>0.36635198943879665</v>
      </c>
      <c r="M61">
        <v>0.39848040941982266</v>
      </c>
      <c r="N61">
        <v>0.45527328945442297</v>
      </c>
      <c r="O61">
        <v>0.4147227809312477</v>
      </c>
      <c r="AU61" t="s">
        <v>809</v>
      </c>
      <c r="AV61">
        <v>0.14065777035035501</v>
      </c>
      <c r="AW61">
        <v>0.1321478248696219</v>
      </c>
      <c r="AX61">
        <v>0.15439591909042866</v>
      </c>
      <c r="AY61">
        <v>0.12229677336678856</v>
      </c>
      <c r="AZ61">
        <v>0.14278088588880608</v>
      </c>
      <c r="BA61">
        <v>0.15656065446427625</v>
      </c>
      <c r="BB61">
        <v>9.2732401255306227E-2</v>
      </c>
      <c r="BC61">
        <v>5.6777401340002163E-2</v>
      </c>
      <c r="BD61">
        <v>7.8000418078674999E-2</v>
      </c>
      <c r="BE61">
        <v>7.0133627944273913E-2</v>
      </c>
      <c r="BF61">
        <v>6.0285764955614149E-2</v>
      </c>
      <c r="BG61">
        <v>7.3217496659008161E-2</v>
      </c>
      <c r="BI61" t="s">
        <v>841</v>
      </c>
      <c r="BJ61" t="s">
        <v>99</v>
      </c>
      <c r="BK61" t="s">
        <v>100</v>
      </c>
      <c r="BL61">
        <v>0.26715230516623578</v>
      </c>
    </row>
    <row r="62" spans="2:64" x14ac:dyDescent="0.45">
      <c r="B62" t="s">
        <v>811</v>
      </c>
      <c r="C62" t="s">
        <v>95</v>
      </c>
      <c r="D62">
        <v>0.44766986510725948</v>
      </c>
      <c r="E62">
        <v>0.48493688840177224</v>
      </c>
      <c r="F62">
        <v>0.44628349876353662</v>
      </c>
      <c r="G62">
        <v>0.37740415149178591</v>
      </c>
      <c r="H62">
        <v>0.42491706210028724</v>
      </c>
      <c r="I62">
        <v>0.37600896616662349</v>
      </c>
      <c r="J62">
        <v>0.28205305724683805</v>
      </c>
      <c r="K62">
        <v>0.39743070179193185</v>
      </c>
      <c r="L62">
        <v>0.2722819565526674</v>
      </c>
      <c r="M62">
        <v>0.36470019250386798</v>
      </c>
      <c r="N62">
        <v>0.47080363222334021</v>
      </c>
      <c r="O62">
        <v>0.33100576419150324</v>
      </c>
      <c r="AU62" t="s">
        <v>811</v>
      </c>
      <c r="AV62">
        <v>0.22555453874293543</v>
      </c>
      <c r="AW62">
        <v>0.1985380121514492</v>
      </c>
      <c r="AX62">
        <v>0.22394019365413098</v>
      </c>
      <c r="AY62">
        <v>0.1859291848031549</v>
      </c>
      <c r="AZ62">
        <v>0.19691669812942714</v>
      </c>
      <c r="BA62">
        <v>0.22583418654204024</v>
      </c>
      <c r="BB62">
        <v>9.3751968050367548E-2</v>
      </c>
      <c r="BC62">
        <v>5.4635565442586902E-2</v>
      </c>
      <c r="BD62">
        <v>0.10442115871455927</v>
      </c>
      <c r="BE62">
        <v>0.12061293887812032</v>
      </c>
      <c r="BF62">
        <v>0.10402630271038901</v>
      </c>
      <c r="BG62">
        <v>0.13630841987821121</v>
      </c>
      <c r="BI62" t="s">
        <v>798</v>
      </c>
      <c r="BJ62" t="s">
        <v>99</v>
      </c>
      <c r="BK62" t="s">
        <v>100</v>
      </c>
      <c r="BL62">
        <v>0.45464518690822164</v>
      </c>
    </row>
    <row r="63" spans="2:64" x14ac:dyDescent="0.45">
      <c r="B63" t="s">
        <v>813</v>
      </c>
      <c r="C63" t="s">
        <v>95</v>
      </c>
      <c r="D63">
        <v>0.34440332976204846</v>
      </c>
      <c r="E63">
        <v>0.35616473721574299</v>
      </c>
      <c r="F63">
        <v>0.31988247979867029</v>
      </c>
      <c r="G63">
        <v>0.30435311300415158</v>
      </c>
      <c r="H63">
        <v>0.29910736986931707</v>
      </c>
      <c r="I63">
        <v>0.27697081606086627</v>
      </c>
      <c r="J63">
        <v>0.39795576484836254</v>
      </c>
      <c r="K63">
        <v>0.37091163045098929</v>
      </c>
      <c r="L63">
        <v>0.32746568789027664</v>
      </c>
      <c r="M63">
        <v>0.32425608590511973</v>
      </c>
      <c r="N63">
        <v>0.31990081836774292</v>
      </c>
      <c r="O63">
        <v>0.28522475872949082</v>
      </c>
      <c r="AU63" t="s">
        <v>813</v>
      </c>
      <c r="AV63">
        <v>0.34814729981637904</v>
      </c>
      <c r="AW63">
        <v>0.36400485493690832</v>
      </c>
      <c r="AX63">
        <v>0.37251425472813093</v>
      </c>
      <c r="AY63">
        <v>0.34652335957942321</v>
      </c>
      <c r="AZ63">
        <v>0.37264905786318425</v>
      </c>
      <c r="BA63">
        <v>0.41246747287936558</v>
      </c>
      <c r="BB63">
        <v>0.24109979385883964</v>
      </c>
      <c r="BC63">
        <v>0.23996195513985286</v>
      </c>
      <c r="BD63">
        <v>0.31253353128361006</v>
      </c>
      <c r="BE63">
        <v>0.34958530988444581</v>
      </c>
      <c r="BF63">
        <v>0.36367944360446897</v>
      </c>
      <c r="BG63">
        <v>0.38573657544205492</v>
      </c>
      <c r="BI63" t="s">
        <v>800</v>
      </c>
      <c r="BJ63" t="s">
        <v>99</v>
      </c>
      <c r="BK63" t="s">
        <v>100</v>
      </c>
      <c r="BL63">
        <v>0.41186944240017476</v>
      </c>
    </row>
    <row r="64" spans="2:64" x14ac:dyDescent="0.45">
      <c r="B64" t="s">
        <v>815</v>
      </c>
      <c r="C64" t="s">
        <v>95</v>
      </c>
      <c r="D64">
        <v>0.41429755364518561</v>
      </c>
      <c r="E64">
        <v>0.42652425544908257</v>
      </c>
      <c r="F64">
        <v>0.43852000036629052</v>
      </c>
      <c r="G64">
        <v>0.38993142442186007</v>
      </c>
      <c r="H64">
        <v>0.39992260895314391</v>
      </c>
      <c r="I64">
        <v>0.34889679363872694</v>
      </c>
      <c r="J64">
        <v>0.29883543819937725</v>
      </c>
      <c r="K64">
        <v>0.31692338294606032</v>
      </c>
      <c r="L64">
        <v>0.22136218760196572</v>
      </c>
      <c r="M64">
        <v>0.43349852583366966</v>
      </c>
      <c r="N64">
        <v>0.41559625825545821</v>
      </c>
      <c r="O64">
        <v>0.35473998445983851</v>
      </c>
      <c r="AU64" t="s">
        <v>815</v>
      </c>
      <c r="AV64">
        <v>0.16189161068558389</v>
      </c>
      <c r="AW64">
        <v>0.16210805719912338</v>
      </c>
      <c r="AX64">
        <v>0.16552261875214325</v>
      </c>
      <c r="AY64">
        <v>0.10661302846045696</v>
      </c>
      <c r="AZ64">
        <v>0.14712700894563269</v>
      </c>
      <c r="BA64">
        <v>0.12841239444795408</v>
      </c>
      <c r="BB64">
        <v>3.3254100076263213E-2</v>
      </c>
      <c r="BC64">
        <v>5.085011973063383E-2</v>
      </c>
      <c r="BD64">
        <v>6.2104698987190753E-2</v>
      </c>
      <c r="BE64">
        <v>9.8462124383862482E-2</v>
      </c>
      <c r="BF64">
        <v>0.12661581932055407</v>
      </c>
      <c r="BG64">
        <v>0.11201651595938492</v>
      </c>
      <c r="BI64" t="s">
        <v>802</v>
      </c>
      <c r="BJ64" t="s">
        <v>99</v>
      </c>
      <c r="BK64" t="s">
        <v>100</v>
      </c>
      <c r="BL64">
        <v>0.42236881325943443</v>
      </c>
    </row>
    <row r="65" spans="2:64" x14ac:dyDescent="0.45">
      <c r="B65" t="s">
        <v>817</v>
      </c>
      <c r="C65" t="s">
        <v>95</v>
      </c>
      <c r="D65">
        <v>0.34848621414887315</v>
      </c>
      <c r="E65">
        <v>0.38309171485322635</v>
      </c>
      <c r="F65">
        <v>0.37017122797963459</v>
      </c>
      <c r="G65">
        <v>0.40531978213581488</v>
      </c>
      <c r="H65">
        <v>0.38854275629329021</v>
      </c>
      <c r="I65">
        <v>0.37615818618153041</v>
      </c>
      <c r="J65">
        <v>0.3100453530456323</v>
      </c>
      <c r="K65">
        <v>0.3810504862084152</v>
      </c>
      <c r="L65">
        <v>0.26492319839974166</v>
      </c>
      <c r="M65">
        <v>0.41125017139776987</v>
      </c>
      <c r="N65">
        <v>0.39007732269250078</v>
      </c>
      <c r="O65">
        <v>0.37799381634156054</v>
      </c>
      <c r="AU65" t="s">
        <v>817</v>
      </c>
      <c r="AV65">
        <v>0.2398373349367692</v>
      </c>
      <c r="AW65">
        <v>0.24603169791697244</v>
      </c>
      <c r="AX65">
        <v>0.23042272149057577</v>
      </c>
      <c r="AY65">
        <v>0.15969886103214054</v>
      </c>
      <c r="AZ65">
        <v>0.22313206847300315</v>
      </c>
      <c r="BA65">
        <v>0.1771942974751459</v>
      </c>
      <c r="BB65">
        <v>4.0392670485163998E-2</v>
      </c>
      <c r="BC65">
        <v>6.240364730274077E-2</v>
      </c>
      <c r="BD65">
        <v>7.4073656662887441E-2</v>
      </c>
      <c r="BE65">
        <v>0.15175345975851626</v>
      </c>
      <c r="BF65">
        <v>0.18041595952325717</v>
      </c>
      <c r="BG65">
        <v>0.15252761684618946</v>
      </c>
      <c r="BI65" t="s">
        <v>804</v>
      </c>
      <c r="BJ65" t="s">
        <v>99</v>
      </c>
      <c r="BK65" t="s">
        <v>100</v>
      </c>
      <c r="BL65">
        <v>0.45038236498586909</v>
      </c>
    </row>
    <row r="66" spans="2:64" x14ac:dyDescent="0.45">
      <c r="B66" t="s">
        <v>819</v>
      </c>
      <c r="C66" t="s">
        <v>95</v>
      </c>
      <c r="D66">
        <v>0.34656985034912463</v>
      </c>
      <c r="E66">
        <v>0.37498168286598249</v>
      </c>
      <c r="F66">
        <v>0.36707606369913037</v>
      </c>
      <c r="G66">
        <v>0.37843073734492944</v>
      </c>
      <c r="H66">
        <v>0.36771015704048332</v>
      </c>
      <c r="I66">
        <v>0.37071900515834433</v>
      </c>
      <c r="J66">
        <v>0.39145178359582927</v>
      </c>
      <c r="K66">
        <v>0.36237770887725085</v>
      </c>
      <c r="L66">
        <v>0.31672507075910888</v>
      </c>
      <c r="M66">
        <v>0.38759962224837757</v>
      </c>
      <c r="N66">
        <v>0.36287604311213217</v>
      </c>
      <c r="O66">
        <v>0.38708017571449732</v>
      </c>
      <c r="AU66" t="s">
        <v>819</v>
      </c>
      <c r="AV66">
        <v>0.28029655735334069</v>
      </c>
      <c r="AW66">
        <v>0.27558910766058969</v>
      </c>
      <c r="AX66">
        <v>0.25739642291963072</v>
      </c>
      <c r="AY66">
        <v>0.20049318287877133</v>
      </c>
      <c r="AZ66">
        <v>0.25211177420149783</v>
      </c>
      <c r="BA66">
        <v>0.20726617703449968</v>
      </c>
      <c r="BB66">
        <v>5.7599518270655056E-2</v>
      </c>
      <c r="BC66">
        <v>9.4421441834046285E-2</v>
      </c>
      <c r="BD66">
        <v>8.0775167413540142E-2</v>
      </c>
      <c r="BE66">
        <v>0.19972493181059139</v>
      </c>
      <c r="BF66">
        <v>0.21169427298907023</v>
      </c>
      <c r="BG66">
        <v>0.20218143531089353</v>
      </c>
      <c r="BI66" t="s">
        <v>806</v>
      </c>
      <c r="BJ66" t="s">
        <v>99</v>
      </c>
      <c r="BK66" t="s">
        <v>100</v>
      </c>
      <c r="BL66">
        <v>0.56522587793742907</v>
      </c>
    </row>
    <row r="67" spans="2:64" x14ac:dyDescent="0.45">
      <c r="B67" t="s">
        <v>821</v>
      </c>
      <c r="C67" t="s">
        <v>95</v>
      </c>
      <c r="D67">
        <v>0.43307832216435943</v>
      </c>
      <c r="E67">
        <v>0.47311852399548582</v>
      </c>
      <c r="F67">
        <v>0.4460403723575479</v>
      </c>
      <c r="G67">
        <v>0.34966808655552023</v>
      </c>
      <c r="H67">
        <v>0.42124248628141953</v>
      </c>
      <c r="I67">
        <v>0.36304059011758205</v>
      </c>
      <c r="J67">
        <v>0.36861645013326538</v>
      </c>
      <c r="K67">
        <v>0.39095573301847403</v>
      </c>
      <c r="L67">
        <v>0.30165380263448482</v>
      </c>
      <c r="M67">
        <v>0.3681756336963859</v>
      </c>
      <c r="N67">
        <v>0.44140178335062974</v>
      </c>
      <c r="O67">
        <v>0.39025308065373576</v>
      </c>
      <c r="AU67" t="s">
        <v>821</v>
      </c>
      <c r="AV67">
        <v>0.16163532218633839</v>
      </c>
      <c r="AW67">
        <v>0.14716657613470027</v>
      </c>
      <c r="AX67">
        <v>0.16872060985438461</v>
      </c>
      <c r="AY67">
        <v>0.14898061065214407</v>
      </c>
      <c r="AZ67">
        <v>0.1683535251812992</v>
      </c>
      <c r="BA67">
        <v>0.17676535581361055</v>
      </c>
      <c r="BB67">
        <v>0.10697054388468832</v>
      </c>
      <c r="BC67">
        <v>4.9471602643695309E-2</v>
      </c>
      <c r="BD67">
        <v>0.10119357109798277</v>
      </c>
      <c r="BE67">
        <v>0.13253064021517258</v>
      </c>
      <c r="BF67">
        <v>0.1102006001658995</v>
      </c>
      <c r="BG67">
        <v>0.13787798127218132</v>
      </c>
      <c r="BI67" t="s">
        <v>808</v>
      </c>
      <c r="BJ67" t="s">
        <v>99</v>
      </c>
      <c r="BK67" t="s">
        <v>100</v>
      </c>
      <c r="BL67">
        <v>0.30341496320824513</v>
      </c>
    </row>
    <row r="68" spans="2:64" x14ac:dyDescent="0.45">
      <c r="B68" t="s">
        <v>823</v>
      </c>
      <c r="C68" t="s">
        <v>95</v>
      </c>
      <c r="D68">
        <v>0.41788957981431624</v>
      </c>
      <c r="E68">
        <v>0.44772292428247729</v>
      </c>
      <c r="F68">
        <v>0.42157959960482888</v>
      </c>
      <c r="G68">
        <v>0.31675103089944384</v>
      </c>
      <c r="H68">
        <v>0.41742078804069266</v>
      </c>
      <c r="I68">
        <v>0.32508566752513973</v>
      </c>
      <c r="J68">
        <v>0.27226617879104531</v>
      </c>
      <c r="K68">
        <v>0.40555877540160146</v>
      </c>
      <c r="L68">
        <v>0.29227374930048422</v>
      </c>
      <c r="M68">
        <v>0.32080535311281877</v>
      </c>
      <c r="N68">
        <v>0.44969890694132231</v>
      </c>
      <c r="O68">
        <v>0.33003008107014603</v>
      </c>
      <c r="AU68" t="s">
        <v>823</v>
      </c>
      <c r="AV68">
        <v>0.23224198631917459</v>
      </c>
      <c r="AW68">
        <v>0.21262199061878498</v>
      </c>
      <c r="AX68">
        <v>0.23143504417777164</v>
      </c>
      <c r="AY68">
        <v>0.18034189476040563</v>
      </c>
      <c r="AZ68">
        <v>0.20358047008335733</v>
      </c>
      <c r="BA68">
        <v>0.22114674339459714</v>
      </c>
      <c r="BB68">
        <v>0.10476507640255373</v>
      </c>
      <c r="BC68">
        <v>5.7157129130188736E-2</v>
      </c>
      <c r="BD68">
        <v>0.15054330513432729</v>
      </c>
      <c r="BE68">
        <v>0.13659406239545654</v>
      </c>
      <c r="BF68">
        <v>0.14121530637459509</v>
      </c>
      <c r="BG68">
        <v>0.166172888635257</v>
      </c>
      <c r="BI68" t="s">
        <v>810</v>
      </c>
      <c r="BJ68" t="s">
        <v>99</v>
      </c>
      <c r="BK68" t="s">
        <v>100</v>
      </c>
      <c r="BL68">
        <v>0.37794540207938737</v>
      </c>
    </row>
    <row r="69" spans="2:64" x14ac:dyDescent="0.45">
      <c r="B69" t="s">
        <v>825</v>
      </c>
      <c r="C69" t="s">
        <v>95</v>
      </c>
      <c r="D69">
        <v>0.37213195179936653</v>
      </c>
      <c r="E69">
        <v>0.42851544366871669</v>
      </c>
      <c r="F69">
        <v>0.39478500134547057</v>
      </c>
      <c r="G69">
        <v>0.28683037467885109</v>
      </c>
      <c r="H69">
        <v>0.41994376409747275</v>
      </c>
      <c r="I69">
        <v>0.29884499743237547</v>
      </c>
      <c r="J69">
        <v>0.26578404841705444</v>
      </c>
      <c r="K69">
        <v>0.39565478298733098</v>
      </c>
      <c r="L69">
        <v>0.27483337500410188</v>
      </c>
      <c r="M69">
        <v>0.29746905513576716</v>
      </c>
      <c r="N69">
        <v>0.42665017946228817</v>
      </c>
      <c r="O69">
        <v>0.29721449208981543</v>
      </c>
      <c r="AU69" t="s">
        <v>825</v>
      </c>
      <c r="AV69">
        <v>0.29002643038179915</v>
      </c>
      <c r="AW69">
        <v>0.26898760946061068</v>
      </c>
      <c r="AX69">
        <v>0.28860102505765672</v>
      </c>
      <c r="AY69">
        <v>0.26129873291622802</v>
      </c>
      <c r="AZ69">
        <v>0.26250184567251444</v>
      </c>
      <c r="BA69">
        <v>0.29402767621572284</v>
      </c>
      <c r="BB69">
        <v>0.19192562302745958</v>
      </c>
      <c r="BC69">
        <v>9.6976109388506787E-2</v>
      </c>
      <c r="BD69">
        <v>0.24330406831146731</v>
      </c>
      <c r="BE69">
        <v>0.22272667677927674</v>
      </c>
      <c r="BF69">
        <v>0.20801130745782767</v>
      </c>
      <c r="BG69">
        <v>0.24331429496798038</v>
      </c>
      <c r="BI69" t="s">
        <v>812</v>
      </c>
      <c r="BJ69" t="s">
        <v>99</v>
      </c>
      <c r="BK69" t="s">
        <v>100</v>
      </c>
      <c r="BL69">
        <v>0.31279774237039559</v>
      </c>
    </row>
    <row r="70" spans="2:64" x14ac:dyDescent="0.45">
      <c r="B70" t="s">
        <v>827</v>
      </c>
      <c r="C70" t="s">
        <v>95</v>
      </c>
      <c r="D70">
        <v>0.48825134111934443</v>
      </c>
      <c r="E70">
        <v>0.46457512364214965</v>
      </c>
      <c r="F70">
        <v>0.4409440189089312</v>
      </c>
      <c r="G70">
        <v>0.46537841605865221</v>
      </c>
      <c r="H70">
        <v>0.4109055345920129</v>
      </c>
      <c r="I70">
        <v>0.38884508850755189</v>
      </c>
      <c r="J70">
        <v>0.43095982531002291</v>
      </c>
      <c r="K70">
        <v>0.38447980607410631</v>
      </c>
      <c r="L70">
        <v>0.36860111947598756</v>
      </c>
      <c r="M70">
        <v>0.44757018078123051</v>
      </c>
      <c r="N70">
        <v>0.40837844575672022</v>
      </c>
      <c r="O70">
        <v>0.42341781367149911</v>
      </c>
      <c r="AU70" t="s">
        <v>827</v>
      </c>
      <c r="AV70">
        <v>0.20493626116875557</v>
      </c>
      <c r="AW70">
        <v>0.2039850640490011</v>
      </c>
      <c r="AX70">
        <v>0.21967374946839846</v>
      </c>
      <c r="AY70">
        <v>0.17547420589290011</v>
      </c>
      <c r="AZ70">
        <v>0.22551145592948615</v>
      </c>
      <c r="BA70">
        <v>0.24527913701960483</v>
      </c>
      <c r="BB70">
        <v>8.465158162998436E-2</v>
      </c>
      <c r="BC70">
        <v>0.1210318907293374</v>
      </c>
      <c r="BD70">
        <v>0.1212003013900653</v>
      </c>
      <c r="BE70">
        <v>0.20959943177798401</v>
      </c>
      <c r="BF70">
        <v>0.21447481271592173</v>
      </c>
      <c r="BG70">
        <v>0.23401528408300631</v>
      </c>
      <c r="BI70" t="s">
        <v>814</v>
      </c>
      <c r="BJ70" t="s">
        <v>99</v>
      </c>
      <c r="BK70" t="s">
        <v>100</v>
      </c>
      <c r="BL70">
        <v>0.46605872280932037</v>
      </c>
    </row>
    <row r="71" spans="2:64" x14ac:dyDescent="0.45">
      <c r="B71" t="s">
        <v>829</v>
      </c>
      <c r="C71" t="s">
        <v>95</v>
      </c>
      <c r="D71">
        <v>0.54286402886569207</v>
      </c>
      <c r="E71">
        <v>0.54357353557715093</v>
      </c>
      <c r="F71">
        <v>0.51247897124446362</v>
      </c>
      <c r="G71">
        <v>0.54744627851847583</v>
      </c>
      <c r="H71">
        <v>0.45922220630996724</v>
      </c>
      <c r="I71">
        <v>0.47260369957848813</v>
      </c>
      <c r="J71">
        <v>0.36992818778567821</v>
      </c>
      <c r="K71">
        <v>0.38996670247882925</v>
      </c>
      <c r="L71">
        <v>0.36883256594499786</v>
      </c>
      <c r="M71">
        <v>0.50632139689452815</v>
      </c>
      <c r="N71">
        <v>0.45049380127708655</v>
      </c>
      <c r="O71">
        <v>0.47266493356564376</v>
      </c>
      <c r="AU71" t="s">
        <v>829</v>
      </c>
      <c r="AV71">
        <v>8.6659053654228851E-2</v>
      </c>
      <c r="AW71">
        <v>8.5390959167076896E-2</v>
      </c>
      <c r="AX71">
        <v>8.8466094750738536E-2</v>
      </c>
      <c r="AY71">
        <v>7.9298595184967707E-2</v>
      </c>
      <c r="AZ71">
        <v>0.13499000716547016</v>
      </c>
      <c r="BA71">
        <v>0.12992380266001893</v>
      </c>
      <c r="BB71">
        <v>2.11947726467928E-2</v>
      </c>
      <c r="BC71">
        <v>5.7439336462614489E-2</v>
      </c>
      <c r="BD71">
        <v>4.2448866462834398E-2</v>
      </c>
      <c r="BE71">
        <v>7.2352128275279926E-2</v>
      </c>
      <c r="BF71">
        <v>8.488342849125799E-2</v>
      </c>
      <c r="BG71">
        <v>8.5941659640128495E-2</v>
      </c>
      <c r="BI71" t="s">
        <v>816</v>
      </c>
      <c r="BJ71" t="s">
        <v>99</v>
      </c>
      <c r="BK71" t="s">
        <v>100</v>
      </c>
      <c r="BL71">
        <v>0.38173958326349477</v>
      </c>
    </row>
    <row r="72" spans="2:64" x14ac:dyDescent="0.45">
      <c r="B72" t="s">
        <v>831</v>
      </c>
      <c r="C72" t="s">
        <v>95</v>
      </c>
      <c r="D72">
        <v>0.46883162303852205</v>
      </c>
      <c r="E72">
        <v>0.49904967797674499</v>
      </c>
      <c r="F72">
        <v>0.44977524858384765</v>
      </c>
      <c r="G72">
        <v>0.34974046981142065</v>
      </c>
      <c r="H72">
        <v>0.42212908770455632</v>
      </c>
      <c r="I72">
        <v>0.35943373938056455</v>
      </c>
      <c r="J72">
        <v>0.33595385175337639</v>
      </c>
      <c r="K72">
        <v>0.45986296503376917</v>
      </c>
      <c r="L72">
        <v>0.36329986201226405</v>
      </c>
      <c r="M72">
        <v>0.35756840876059615</v>
      </c>
      <c r="N72">
        <v>0.46075759205747774</v>
      </c>
      <c r="O72">
        <v>0.40310700369372493</v>
      </c>
      <c r="AU72" t="s">
        <v>831</v>
      </c>
      <c r="AV72">
        <v>0.16920604606258927</v>
      </c>
      <c r="AW72">
        <v>0.17215736786061497</v>
      </c>
      <c r="AX72">
        <v>0.17901691921150922</v>
      </c>
      <c r="AY72">
        <v>0.13594061958677123</v>
      </c>
      <c r="AZ72">
        <v>0.17366893728737023</v>
      </c>
      <c r="BA72">
        <v>0.17837891081030047</v>
      </c>
      <c r="BB72">
        <v>0.10325801796729524</v>
      </c>
      <c r="BC72">
        <v>6.1711842996803955E-2</v>
      </c>
      <c r="BD72">
        <v>0.106621616735353</v>
      </c>
      <c r="BE72">
        <v>0.11447788383498116</v>
      </c>
      <c r="BF72">
        <v>0.1029162432864381</v>
      </c>
      <c r="BG72">
        <v>0.13099801928944613</v>
      </c>
      <c r="BI72" t="s">
        <v>818</v>
      </c>
      <c r="BJ72" t="s">
        <v>99</v>
      </c>
      <c r="BK72" t="s">
        <v>100</v>
      </c>
      <c r="BL72">
        <v>0.47216712189725835</v>
      </c>
    </row>
    <row r="73" spans="2:64" x14ac:dyDescent="0.45">
      <c r="B73" t="s">
        <v>833</v>
      </c>
      <c r="C73" t="s">
        <v>95</v>
      </c>
      <c r="D73">
        <v>0.38153951626190596</v>
      </c>
      <c r="E73">
        <v>0.39717640626870032</v>
      </c>
      <c r="F73">
        <v>0.38531041217700124</v>
      </c>
      <c r="G73">
        <v>0.36567829456910894</v>
      </c>
      <c r="H73">
        <v>0.38522966462896679</v>
      </c>
      <c r="I73">
        <v>0.33054697290730967</v>
      </c>
      <c r="J73">
        <v>0.2634899946339086</v>
      </c>
      <c r="K73">
        <v>0.42668740516214826</v>
      </c>
      <c r="L73">
        <v>0.23796756680458075</v>
      </c>
      <c r="M73">
        <v>0.39038938280971697</v>
      </c>
      <c r="N73">
        <v>0.40842683780288486</v>
      </c>
      <c r="O73">
        <v>0.3137783482242742</v>
      </c>
      <c r="AU73" t="s">
        <v>833</v>
      </c>
      <c r="AV73">
        <v>0.28835896515653381</v>
      </c>
      <c r="AW73">
        <v>0.29466130784469707</v>
      </c>
      <c r="AX73">
        <v>0.27963773540868908</v>
      </c>
      <c r="AY73">
        <v>0.19851390118203135</v>
      </c>
      <c r="AZ73">
        <v>0.26428742550414475</v>
      </c>
      <c r="BA73">
        <v>0.24536708773613047</v>
      </c>
      <c r="BB73">
        <v>7.9921718170222797E-2</v>
      </c>
      <c r="BC73">
        <v>7.575166479708785E-2</v>
      </c>
      <c r="BD73">
        <v>0.14549075989377472</v>
      </c>
      <c r="BE73">
        <v>0.18319272396456632</v>
      </c>
      <c r="BF73">
        <v>0.21443587984216261</v>
      </c>
      <c r="BG73">
        <v>0.20958891510420816</v>
      </c>
      <c r="BI73" t="s">
        <v>820</v>
      </c>
      <c r="BJ73" t="s">
        <v>99</v>
      </c>
      <c r="BK73" t="s">
        <v>100</v>
      </c>
      <c r="BL73">
        <v>0.4830275899287868</v>
      </c>
    </row>
    <row r="74" spans="2:64" x14ac:dyDescent="0.45">
      <c r="B74" t="s">
        <v>835</v>
      </c>
      <c r="C74" t="s">
        <v>95</v>
      </c>
      <c r="D74">
        <v>0.49347055781705357</v>
      </c>
      <c r="E74">
        <v>0.46583066675933199</v>
      </c>
      <c r="F74">
        <v>0.45905399707995836</v>
      </c>
      <c r="G74">
        <v>0.46138849004122984</v>
      </c>
      <c r="H74">
        <v>0.44045309885906092</v>
      </c>
      <c r="I74">
        <v>0.40468210678500027</v>
      </c>
      <c r="J74">
        <v>0.26542633177662034</v>
      </c>
      <c r="K74">
        <v>0.3962348241186609</v>
      </c>
      <c r="L74">
        <v>0.31829142288176371</v>
      </c>
      <c r="M74">
        <v>0.41771978898083451</v>
      </c>
      <c r="N74">
        <v>0.48481633954326792</v>
      </c>
      <c r="O74">
        <v>0.37720572827309673</v>
      </c>
      <c r="AU74" t="s">
        <v>835</v>
      </c>
      <c r="AV74">
        <v>0.18093810028870164</v>
      </c>
      <c r="AW74">
        <v>0.18031108087603612</v>
      </c>
      <c r="AX74">
        <v>0.18108098639704659</v>
      </c>
      <c r="AY74">
        <v>0.14012487428414594</v>
      </c>
      <c r="AZ74">
        <v>0.1725907641386985</v>
      </c>
      <c r="BA74">
        <v>0.16493135731941141</v>
      </c>
      <c r="BB74">
        <v>3.4021965165407744E-2</v>
      </c>
      <c r="BC74">
        <v>4.8741942804771739E-2</v>
      </c>
      <c r="BD74">
        <v>6.4320266029830195E-2</v>
      </c>
      <c r="BE74">
        <v>5.2585950373038898E-2</v>
      </c>
      <c r="BF74">
        <v>6.6237583796700153E-2</v>
      </c>
      <c r="BG74">
        <v>6.953418488886301E-2</v>
      </c>
      <c r="BI74" t="s">
        <v>822</v>
      </c>
      <c r="BJ74" t="s">
        <v>99</v>
      </c>
      <c r="BK74" t="s">
        <v>100</v>
      </c>
      <c r="BL74">
        <v>0.40188293031455896</v>
      </c>
    </row>
    <row r="75" spans="2:64" x14ac:dyDescent="0.45">
      <c r="B75" t="s">
        <v>836</v>
      </c>
      <c r="C75" t="s">
        <v>95</v>
      </c>
      <c r="D75">
        <v>0.3578575453018652</v>
      </c>
      <c r="E75">
        <v>0.40966454312284772</v>
      </c>
      <c r="F75">
        <v>0.40965688582341608</v>
      </c>
      <c r="G75">
        <v>0.46284381148555226</v>
      </c>
      <c r="H75">
        <v>0.43815977866507327</v>
      </c>
      <c r="I75">
        <v>0.44785390212906817</v>
      </c>
      <c r="J75">
        <v>0.55222619319883404</v>
      </c>
      <c r="K75">
        <v>0.39799863391581347</v>
      </c>
      <c r="L75">
        <v>0.32247646873800334</v>
      </c>
      <c r="M75">
        <v>0.51951330540955776</v>
      </c>
      <c r="N75">
        <v>0.50739779803067331</v>
      </c>
      <c r="O75">
        <v>0.4543664331244604</v>
      </c>
      <c r="AU75" t="s">
        <v>836</v>
      </c>
      <c r="AV75">
        <v>0.38125147603641207</v>
      </c>
      <c r="AW75">
        <v>0.3506254438541182</v>
      </c>
      <c r="AX75">
        <v>0.31998393272459219</v>
      </c>
      <c r="AY75">
        <v>0.23533771015482854</v>
      </c>
      <c r="AZ75">
        <v>0.27344113830859307</v>
      </c>
      <c r="BA75">
        <v>0.24307901646954402</v>
      </c>
      <c r="BB75">
        <v>3.7960226494941823E-2</v>
      </c>
      <c r="BC75">
        <v>7.7123885312323393E-2</v>
      </c>
      <c r="BD75">
        <v>8.3563255949276369E-2</v>
      </c>
      <c r="BE75">
        <v>0.14876795611459118</v>
      </c>
      <c r="BF75">
        <v>0.13653230770113844</v>
      </c>
      <c r="BG75">
        <v>0.15144517424741211</v>
      </c>
      <c r="BI75" t="s">
        <v>824</v>
      </c>
      <c r="BJ75" t="s">
        <v>99</v>
      </c>
      <c r="BK75" t="s">
        <v>100</v>
      </c>
      <c r="BL75">
        <v>0.44698843093631546</v>
      </c>
    </row>
    <row r="76" spans="2:64" x14ac:dyDescent="0.45">
      <c r="B76" t="s">
        <v>837</v>
      </c>
      <c r="C76" t="s">
        <v>95</v>
      </c>
      <c r="D76">
        <v>0.37309201461172453</v>
      </c>
      <c r="E76">
        <v>0.40236730913588675</v>
      </c>
      <c r="F76">
        <v>0.33870507894170215</v>
      </c>
      <c r="G76">
        <v>0.40041456066642039</v>
      </c>
      <c r="H76">
        <v>0.36194702979588778</v>
      </c>
      <c r="I76">
        <v>0.33070351239703355</v>
      </c>
      <c r="J76">
        <v>0.40543650028016448</v>
      </c>
      <c r="K76">
        <v>0.30204496908556633</v>
      </c>
      <c r="L76">
        <v>0.30404103264313342</v>
      </c>
      <c r="M76">
        <v>0.49586012658102657</v>
      </c>
      <c r="N76">
        <v>0.44654495819391593</v>
      </c>
      <c r="O76">
        <v>0.40247075590819459</v>
      </c>
      <c r="AU76" t="s">
        <v>837</v>
      </c>
      <c r="AV76">
        <v>0.31277701514035916</v>
      </c>
      <c r="AW76">
        <v>0.31014872411527222</v>
      </c>
      <c r="AX76">
        <v>0.29125049795404168</v>
      </c>
      <c r="AY76">
        <v>0.18010156895556181</v>
      </c>
      <c r="AZ76">
        <v>0.24277305101733904</v>
      </c>
      <c r="BA76">
        <v>0.23287694947908807</v>
      </c>
      <c r="BB76">
        <v>5.0797398530219764E-2</v>
      </c>
      <c r="BC76">
        <v>0.11129643400417943</v>
      </c>
      <c r="BD76">
        <v>0.10262276401993117</v>
      </c>
      <c r="BE76">
        <v>0.12922010847489787</v>
      </c>
      <c r="BF76">
        <v>0.13407280890618967</v>
      </c>
      <c r="BG76">
        <v>0.15049446450759996</v>
      </c>
      <c r="BI76" t="s">
        <v>826</v>
      </c>
      <c r="BJ76" t="s">
        <v>99</v>
      </c>
      <c r="BK76" t="s">
        <v>100</v>
      </c>
      <c r="BL76">
        <v>0.58519607935307849</v>
      </c>
    </row>
    <row r="77" spans="2:64" x14ac:dyDescent="0.45">
      <c r="B77" t="s">
        <v>838</v>
      </c>
      <c r="C77" t="s">
        <v>95</v>
      </c>
      <c r="D77">
        <v>0.44946796001127742</v>
      </c>
      <c r="E77">
        <v>0.46849976782917746</v>
      </c>
      <c r="F77">
        <v>0.43830242399958752</v>
      </c>
      <c r="G77">
        <v>0.42729799988295136</v>
      </c>
      <c r="H77">
        <v>0.41215429271131232</v>
      </c>
      <c r="I77">
        <v>0.38636399451129572</v>
      </c>
      <c r="J77">
        <v>0.41617892723773559</v>
      </c>
      <c r="K77">
        <v>0.47146916250859389</v>
      </c>
      <c r="L77">
        <v>0.38472049524472973</v>
      </c>
      <c r="M77">
        <v>0.40995571686454269</v>
      </c>
      <c r="N77">
        <v>0.45203956842816739</v>
      </c>
      <c r="O77">
        <v>0.37116608995685013</v>
      </c>
      <c r="AU77" t="s">
        <v>838</v>
      </c>
      <c r="AV77">
        <v>0.24631822785906168</v>
      </c>
      <c r="AW77">
        <v>0.26318030342345755</v>
      </c>
      <c r="AX77">
        <v>0.24549473085953061</v>
      </c>
      <c r="AY77">
        <v>0.18623754870509865</v>
      </c>
      <c r="AZ77">
        <v>0.23092780688257664</v>
      </c>
      <c r="BA77">
        <v>0.23670581072649027</v>
      </c>
      <c r="BB77">
        <v>0.13222536882817823</v>
      </c>
      <c r="BC77">
        <v>0.10553279329712494</v>
      </c>
      <c r="BD77">
        <v>0.18078338497435115</v>
      </c>
      <c r="BE77">
        <v>0.2134294293526009</v>
      </c>
      <c r="BF77">
        <v>0.20629102931259508</v>
      </c>
      <c r="BG77">
        <v>0.26456609811853982</v>
      </c>
      <c r="BI77" t="s">
        <v>828</v>
      </c>
      <c r="BJ77" t="s">
        <v>99</v>
      </c>
      <c r="BK77" t="s">
        <v>100</v>
      </c>
      <c r="BL77">
        <v>0.47698878656325383</v>
      </c>
    </row>
    <row r="78" spans="2:64" x14ac:dyDescent="0.45">
      <c r="B78" t="s">
        <v>839</v>
      </c>
      <c r="C78" t="s">
        <v>95</v>
      </c>
      <c r="D78">
        <v>0.39124924801808958</v>
      </c>
      <c r="E78">
        <v>0.40079103654189313</v>
      </c>
      <c r="F78">
        <v>0.38720039141394719</v>
      </c>
      <c r="G78">
        <v>0.35818072329362588</v>
      </c>
      <c r="H78">
        <v>0.38793946700423226</v>
      </c>
      <c r="I78">
        <v>0.38348393281924287</v>
      </c>
      <c r="J78">
        <v>0.36673556117960876</v>
      </c>
      <c r="K78">
        <v>0.42820452190101843</v>
      </c>
      <c r="L78">
        <v>0.31551260132994635</v>
      </c>
      <c r="M78">
        <v>0.36843710747830755</v>
      </c>
      <c r="N78">
        <v>0.38095159270526713</v>
      </c>
      <c r="O78">
        <v>0.36011770891244932</v>
      </c>
      <c r="AU78" t="s">
        <v>839</v>
      </c>
      <c r="AV78">
        <v>0.21031160364913132</v>
      </c>
      <c r="AW78">
        <v>0.22472462845139596</v>
      </c>
      <c r="AX78">
        <v>0.20484138093162044</v>
      </c>
      <c r="AY78">
        <v>0.15306364815526363</v>
      </c>
      <c r="AZ78">
        <v>0.22069574169646242</v>
      </c>
      <c r="BA78">
        <v>0.19257427475158329</v>
      </c>
      <c r="BB78">
        <v>9.4668089022626342E-2</v>
      </c>
      <c r="BC78">
        <v>0.1106052973674206</v>
      </c>
      <c r="BD78">
        <v>0.1498628533130959</v>
      </c>
      <c r="BE78">
        <v>0.19636259986219801</v>
      </c>
      <c r="BF78">
        <v>0.21452115589462697</v>
      </c>
      <c r="BG78">
        <v>0.21810696592155787</v>
      </c>
      <c r="BI78" t="s">
        <v>830</v>
      </c>
      <c r="BJ78" t="s">
        <v>99</v>
      </c>
      <c r="BK78" t="s">
        <v>100</v>
      </c>
      <c r="BL78">
        <v>0.59838900399899053</v>
      </c>
    </row>
    <row r="79" spans="2:64" x14ac:dyDescent="0.45">
      <c r="B79" t="s">
        <v>840</v>
      </c>
      <c r="C79" t="s">
        <v>95</v>
      </c>
      <c r="D79">
        <v>0.44335003946968238</v>
      </c>
      <c r="E79">
        <v>0.47511290094049435</v>
      </c>
      <c r="F79">
        <v>0.4534127488017145</v>
      </c>
      <c r="G79">
        <v>0.47382388105868972</v>
      </c>
      <c r="H79">
        <v>0.41480846233574747</v>
      </c>
      <c r="I79">
        <v>0.37885748738430391</v>
      </c>
      <c r="J79">
        <v>0.45372382358057406</v>
      </c>
      <c r="K79">
        <v>0.3730171353852873</v>
      </c>
      <c r="L79">
        <v>0.34384336979446889</v>
      </c>
      <c r="M79">
        <v>0.5000060555553193</v>
      </c>
      <c r="N79">
        <v>0.44801869241138581</v>
      </c>
      <c r="O79">
        <v>0.4368444598295913</v>
      </c>
      <c r="AU79" t="s">
        <v>840</v>
      </c>
      <c r="AV79">
        <v>0.20097643886503067</v>
      </c>
      <c r="AW79">
        <v>0.21107143744160667</v>
      </c>
      <c r="AX79">
        <v>0.22417387108084033</v>
      </c>
      <c r="AY79">
        <v>0.16331381399793957</v>
      </c>
      <c r="AZ79">
        <v>0.2323661338046874</v>
      </c>
      <c r="BA79">
        <v>0.21018755333892805</v>
      </c>
      <c r="BB79">
        <v>4.181647493340953E-2</v>
      </c>
      <c r="BC79">
        <v>8.6704576301446595E-2</v>
      </c>
      <c r="BD79">
        <v>8.6559983111595892E-2</v>
      </c>
      <c r="BE79">
        <v>0.1369465605045351</v>
      </c>
      <c r="BF79">
        <v>0.14802192019755742</v>
      </c>
      <c r="BG79">
        <v>0.1670461427729488</v>
      </c>
      <c r="BI79" t="s">
        <v>832</v>
      </c>
      <c r="BJ79" t="s">
        <v>99</v>
      </c>
      <c r="BK79" t="s">
        <v>100</v>
      </c>
      <c r="BL79">
        <v>0.41773091964574893</v>
      </c>
    </row>
    <row r="80" spans="2:64" x14ac:dyDescent="0.45">
      <c r="B80" t="s">
        <v>841</v>
      </c>
      <c r="C80" t="s">
        <v>95</v>
      </c>
      <c r="D80">
        <v>0.45511599036171352</v>
      </c>
      <c r="E80">
        <v>0.47335272560504216</v>
      </c>
      <c r="F80">
        <v>0.47095791284390198</v>
      </c>
      <c r="G80">
        <v>0.47697589867821943</v>
      </c>
      <c r="H80">
        <v>0.40278697795854196</v>
      </c>
      <c r="I80">
        <v>0.46956707383784546</v>
      </c>
      <c r="J80">
        <v>0.54361615975048128</v>
      </c>
      <c r="K80">
        <v>0.32242610293058438</v>
      </c>
      <c r="L80">
        <v>0.35853869303506475</v>
      </c>
      <c r="M80">
        <v>0.5288870644745749</v>
      </c>
      <c r="N80">
        <v>0.4566915634709971</v>
      </c>
      <c r="O80">
        <v>0.56468421337265451</v>
      </c>
      <c r="AU80" t="s">
        <v>841</v>
      </c>
      <c r="AV80">
        <v>0.26967558044149459</v>
      </c>
      <c r="AW80">
        <v>0.26402905104656577</v>
      </c>
      <c r="AX80">
        <v>0.22842674699901117</v>
      </c>
      <c r="AY80">
        <v>0.18593515205883204</v>
      </c>
      <c r="AZ80">
        <v>0.2047202206661459</v>
      </c>
      <c r="BA80">
        <v>0.19195045429008764</v>
      </c>
      <c r="BB80">
        <v>4.2875345022963918E-2</v>
      </c>
      <c r="BC80">
        <v>8.012126578019492E-2</v>
      </c>
      <c r="BD80">
        <v>4.700796711053979E-2</v>
      </c>
      <c r="BE80">
        <v>0.15363227841454294</v>
      </c>
      <c r="BF80">
        <v>0.14808098627370425</v>
      </c>
      <c r="BG80">
        <v>0.15509968712037786</v>
      </c>
      <c r="BI80" t="s">
        <v>834</v>
      </c>
      <c r="BJ80" t="s">
        <v>99</v>
      </c>
      <c r="BK80" t="s">
        <v>100</v>
      </c>
      <c r="BL80">
        <v>0.44482502693392323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D817A-3088-4CF9-A69C-E2E10AD141A5}">
  <dimension ref="A9:S34"/>
  <sheetViews>
    <sheetView workbookViewId="0"/>
  </sheetViews>
  <sheetFormatPr defaultRowHeight="14.25" x14ac:dyDescent="0.45"/>
  <sheetData>
    <row r="9" spans="1:19" x14ac:dyDescent="0.45">
      <c r="C9" t="str">
        <f>IF(A11="x","DeActivated","~TFM_DINS-AT: region=ESP")</f>
        <v>~TFM_DINS-AT: region=ESP</v>
      </c>
      <c r="H9" t="str">
        <f>IF(A11="x","DeActivated","~TFM_DINS-AT: region=ESP")</f>
        <v>~TFM_DINS-AT: region=ESP</v>
      </c>
      <c r="L9" t="str">
        <f>IF(A11="x","DeActivated","~TFM_DINS-AT: region=ESP")</f>
        <v>~TFM_DINS-AT: region=ESP</v>
      </c>
      <c r="P9" t="str">
        <f>IF(A11="x","DeActivated","~TFM_INS-AT: region=ESP")</f>
        <v>~TFM_INS-AT: region=ESP</v>
      </c>
    </row>
    <row r="10" spans="1:19" x14ac:dyDescent="0.45">
      <c r="A10" t="s">
        <v>177</v>
      </c>
      <c r="C10" t="s">
        <v>178</v>
      </c>
      <c r="D10" t="s">
        <v>2</v>
      </c>
      <c r="E10" t="s">
        <v>1</v>
      </c>
      <c r="F10" t="s">
        <v>0</v>
      </c>
      <c r="H10" t="s">
        <v>0</v>
      </c>
      <c r="I10" t="s">
        <v>1</v>
      </c>
      <c r="J10" t="s">
        <v>2</v>
      </c>
      <c r="L10" t="s">
        <v>0</v>
      </c>
      <c r="M10" t="s">
        <v>1</v>
      </c>
      <c r="N10" t="s">
        <v>179</v>
      </c>
      <c r="P10" t="s">
        <v>180</v>
      </c>
      <c r="Q10" t="s">
        <v>1</v>
      </c>
      <c r="R10" t="s">
        <v>181</v>
      </c>
      <c r="S10" t="s">
        <v>182</v>
      </c>
    </row>
    <row r="11" spans="1:19" x14ac:dyDescent="0.45">
      <c r="C11">
        <v>8.2191780821917804E-2</v>
      </c>
      <c r="D11">
        <v>4.555602515973449E-2</v>
      </c>
      <c r="E11" t="s">
        <v>5</v>
      </c>
      <c r="F11" t="s">
        <v>183</v>
      </c>
      <c r="H11" t="s">
        <v>184</v>
      </c>
      <c r="I11" t="s">
        <v>5</v>
      </c>
      <c r="L11" t="s">
        <v>185</v>
      </c>
      <c r="M11" t="s">
        <v>5</v>
      </c>
      <c r="N11">
        <v>0.18588074296618884</v>
      </c>
      <c r="P11">
        <v>2020</v>
      </c>
      <c r="Q11" t="s">
        <v>186</v>
      </c>
      <c r="R11">
        <v>0.29123333333333329</v>
      </c>
      <c r="S11" t="s">
        <v>187</v>
      </c>
    </row>
    <row r="12" spans="1:19" x14ac:dyDescent="0.45">
      <c r="C12">
        <v>0.10273972602739725</v>
      </c>
      <c r="D12">
        <v>0.14672202471222937</v>
      </c>
      <c r="E12" t="s">
        <v>9</v>
      </c>
      <c r="F12" t="s">
        <v>183</v>
      </c>
      <c r="H12" t="s">
        <v>184</v>
      </c>
      <c r="I12" t="s">
        <v>9</v>
      </c>
      <c r="L12" t="s">
        <v>185</v>
      </c>
      <c r="M12" t="s">
        <v>9</v>
      </c>
      <c r="N12">
        <v>0.11145101220772791</v>
      </c>
      <c r="P12">
        <v>2020</v>
      </c>
      <c r="Q12" t="s">
        <v>188</v>
      </c>
      <c r="R12">
        <v>0.26276666666666665</v>
      </c>
      <c r="S12" t="s">
        <v>187</v>
      </c>
    </row>
    <row r="13" spans="1:19" x14ac:dyDescent="0.45">
      <c r="C13">
        <v>6.1643835616438353E-2</v>
      </c>
      <c r="D13">
        <v>5.4297292593789633E-2</v>
      </c>
      <c r="E13" t="s">
        <v>10</v>
      </c>
      <c r="F13" t="s">
        <v>183</v>
      </c>
      <c r="H13" t="s">
        <v>184</v>
      </c>
      <c r="I13" t="s">
        <v>10</v>
      </c>
      <c r="L13" t="s">
        <v>185</v>
      </c>
      <c r="M13" t="s">
        <v>10</v>
      </c>
      <c r="N13">
        <v>0.12299412851945957</v>
      </c>
      <c r="P13">
        <v>2020</v>
      </c>
      <c r="Q13" t="s">
        <v>189</v>
      </c>
      <c r="R13">
        <v>0.17423333333333332</v>
      </c>
      <c r="S13" t="s">
        <v>187</v>
      </c>
    </row>
    <row r="14" spans="1:19" x14ac:dyDescent="0.45">
      <c r="C14">
        <v>8.4018264840182655E-2</v>
      </c>
      <c r="D14">
        <v>4.6568381274395249E-2</v>
      </c>
      <c r="E14" t="s">
        <v>11</v>
      </c>
      <c r="F14" t="s">
        <v>183</v>
      </c>
      <c r="H14" t="s">
        <v>184</v>
      </c>
      <c r="I14" t="s">
        <v>11</v>
      </c>
      <c r="L14" t="s">
        <v>185</v>
      </c>
      <c r="M14" t="s">
        <v>11</v>
      </c>
      <c r="N14">
        <v>0.17654289949211854</v>
      </c>
      <c r="P14">
        <v>2020</v>
      </c>
      <c r="Q14" t="s">
        <v>190</v>
      </c>
      <c r="R14">
        <v>0.18556666666666666</v>
      </c>
      <c r="S14" t="s">
        <v>187</v>
      </c>
    </row>
    <row r="15" spans="1:19" x14ac:dyDescent="0.45">
      <c r="C15">
        <v>0.1050228310502283</v>
      </c>
      <c r="D15">
        <v>0.14998251415027888</v>
      </c>
      <c r="E15" t="s">
        <v>12</v>
      </c>
      <c r="F15" t="s">
        <v>183</v>
      </c>
      <c r="H15" t="s">
        <v>184</v>
      </c>
      <c r="I15" t="s">
        <v>12</v>
      </c>
      <c r="L15" t="s">
        <v>185</v>
      </c>
      <c r="M15" t="s">
        <v>12</v>
      </c>
      <c r="N15">
        <v>0.12058395073459227</v>
      </c>
      <c r="P15">
        <v>2021</v>
      </c>
      <c r="Q15" t="s">
        <v>186</v>
      </c>
      <c r="R15">
        <v>0.34033333333333332</v>
      </c>
      <c r="S15" t="s">
        <v>187</v>
      </c>
    </row>
    <row r="16" spans="1:19" x14ac:dyDescent="0.45">
      <c r="C16">
        <v>6.3013698630136991E-2</v>
      </c>
      <c r="D16">
        <v>5.5503899095873853E-2</v>
      </c>
      <c r="E16" t="s">
        <v>13</v>
      </c>
      <c r="F16" t="s">
        <v>183</v>
      </c>
      <c r="H16" t="s">
        <v>184</v>
      </c>
      <c r="I16" t="s">
        <v>13</v>
      </c>
      <c r="L16" t="s">
        <v>185</v>
      </c>
      <c r="M16" t="s">
        <v>13</v>
      </c>
      <c r="N16">
        <v>0.1486287967681772</v>
      </c>
      <c r="P16">
        <v>2021</v>
      </c>
      <c r="Q16" t="s">
        <v>188</v>
      </c>
      <c r="R16">
        <v>0.2532666666666667</v>
      </c>
      <c r="S16" t="s">
        <v>187</v>
      </c>
    </row>
    <row r="17" spans="3:19" x14ac:dyDescent="0.45">
      <c r="C17">
        <v>8.4018264840182655E-2</v>
      </c>
      <c r="D17">
        <v>4.6568381274395249E-2</v>
      </c>
      <c r="E17" t="s">
        <v>14</v>
      </c>
      <c r="F17" t="s">
        <v>183</v>
      </c>
      <c r="H17" t="s">
        <v>184</v>
      </c>
      <c r="I17" t="s">
        <v>14</v>
      </c>
      <c r="L17" t="s">
        <v>185</v>
      </c>
      <c r="M17" t="s">
        <v>14</v>
      </c>
      <c r="N17">
        <v>0.1385405352121889</v>
      </c>
      <c r="P17">
        <v>2021</v>
      </c>
      <c r="Q17" t="s">
        <v>189</v>
      </c>
      <c r="R17">
        <v>0.18123333333333336</v>
      </c>
      <c r="S17" t="s">
        <v>187</v>
      </c>
    </row>
    <row r="18" spans="3:19" x14ac:dyDescent="0.45">
      <c r="C18">
        <v>0.1050228310502283</v>
      </c>
      <c r="D18">
        <v>0.14998251415027888</v>
      </c>
      <c r="E18" t="s">
        <v>15</v>
      </c>
      <c r="F18" t="s">
        <v>183</v>
      </c>
      <c r="H18" t="s">
        <v>184</v>
      </c>
      <c r="I18" t="s">
        <v>15</v>
      </c>
      <c r="L18" t="s">
        <v>185</v>
      </c>
      <c r="M18" t="s">
        <v>15</v>
      </c>
      <c r="N18">
        <v>0.1649745679878607</v>
      </c>
      <c r="P18">
        <v>2021</v>
      </c>
      <c r="Q18" t="s">
        <v>190</v>
      </c>
      <c r="R18">
        <v>0.11786666666666668</v>
      </c>
      <c r="S18" t="s">
        <v>187</v>
      </c>
    </row>
    <row r="19" spans="3:19" x14ac:dyDescent="0.45">
      <c r="C19">
        <v>6.3013698630136991E-2</v>
      </c>
      <c r="D19">
        <v>5.5503899095873853E-2</v>
      </c>
      <c r="E19" t="s">
        <v>16</v>
      </c>
      <c r="F19" t="s">
        <v>183</v>
      </c>
      <c r="H19" t="s">
        <v>184</v>
      </c>
      <c r="I19" t="s">
        <v>16</v>
      </c>
      <c r="L19" t="s">
        <v>185</v>
      </c>
      <c r="M19" t="s">
        <v>16</v>
      </c>
      <c r="N19">
        <v>0.17071330662184048</v>
      </c>
      <c r="P19">
        <v>2022</v>
      </c>
      <c r="Q19" t="s">
        <v>186</v>
      </c>
      <c r="R19">
        <v>0.18453333333333333</v>
      </c>
      <c r="S19" t="s">
        <v>187</v>
      </c>
    </row>
    <row r="20" spans="3:19" x14ac:dyDescent="0.45">
      <c r="C20">
        <v>8.3105022831050229E-2</v>
      </c>
      <c r="D20">
        <v>4.6062203217064869E-2</v>
      </c>
      <c r="E20" t="s">
        <v>17</v>
      </c>
      <c r="F20" t="s">
        <v>183</v>
      </c>
      <c r="H20" t="s">
        <v>184</v>
      </c>
      <c r="I20" t="s">
        <v>17</v>
      </c>
      <c r="L20" t="s">
        <v>185</v>
      </c>
      <c r="M20" t="s">
        <v>17</v>
      </c>
      <c r="N20">
        <v>0.17267389025019697</v>
      </c>
      <c r="P20">
        <v>2022</v>
      </c>
      <c r="Q20" t="s">
        <v>188</v>
      </c>
      <c r="R20">
        <v>0.17300000000000001</v>
      </c>
      <c r="S20" t="s">
        <v>187</v>
      </c>
    </row>
    <row r="21" spans="3:19" x14ac:dyDescent="0.45">
      <c r="C21">
        <v>0.10388127853881278</v>
      </c>
      <c r="D21">
        <v>0.14835226943125412</v>
      </c>
      <c r="E21" t="s">
        <v>18</v>
      </c>
      <c r="F21" t="s">
        <v>183</v>
      </c>
      <c r="H21" t="s">
        <v>184</v>
      </c>
      <c r="I21" t="s">
        <v>18</v>
      </c>
      <c r="L21" t="s">
        <v>185</v>
      </c>
      <c r="M21" t="s">
        <v>18</v>
      </c>
      <c r="N21">
        <v>0.12618564286440592</v>
      </c>
      <c r="P21">
        <v>2022</v>
      </c>
      <c r="Q21" t="s">
        <v>189</v>
      </c>
      <c r="R21">
        <v>0.11270000000000001</v>
      </c>
      <c r="S21" t="s">
        <v>187</v>
      </c>
    </row>
    <row r="22" spans="3:19" x14ac:dyDescent="0.45">
      <c r="C22">
        <v>6.2328767123287672E-2</v>
      </c>
      <c r="D22">
        <v>5.4900595844831736E-2</v>
      </c>
      <c r="E22" t="s">
        <v>19</v>
      </c>
      <c r="F22" t="s">
        <v>183</v>
      </c>
      <c r="H22" t="s">
        <v>184</v>
      </c>
      <c r="I22" t="s">
        <v>19</v>
      </c>
      <c r="L22" t="s">
        <v>185</v>
      </c>
      <c r="M22" t="s">
        <v>19</v>
      </c>
      <c r="N22">
        <v>0.14842932622202354</v>
      </c>
      <c r="P22">
        <v>2022</v>
      </c>
      <c r="Q22" t="s">
        <v>190</v>
      </c>
      <c r="R22">
        <v>0.12203333333333333</v>
      </c>
      <c r="S22" t="s">
        <v>187</v>
      </c>
    </row>
    <row r="23" spans="3:19" x14ac:dyDescent="0.45">
      <c r="H23" t="s">
        <v>191</v>
      </c>
      <c r="I23" t="s">
        <v>5</v>
      </c>
    </row>
    <row r="24" spans="3:19" x14ac:dyDescent="0.45">
      <c r="H24" t="s">
        <v>191</v>
      </c>
      <c r="I24" t="s">
        <v>9</v>
      </c>
    </row>
    <row r="25" spans="3:19" x14ac:dyDescent="0.45">
      <c r="H25" t="s">
        <v>191</v>
      </c>
      <c r="I25" t="s">
        <v>10</v>
      </c>
    </row>
    <row r="26" spans="3:19" x14ac:dyDescent="0.45">
      <c r="H26" t="s">
        <v>191</v>
      </c>
      <c r="I26" t="s">
        <v>11</v>
      </c>
    </row>
    <row r="27" spans="3:19" x14ac:dyDescent="0.45">
      <c r="H27" t="s">
        <v>191</v>
      </c>
      <c r="I27" t="s">
        <v>12</v>
      </c>
    </row>
    <row r="28" spans="3:19" x14ac:dyDescent="0.45">
      <c r="H28" t="s">
        <v>191</v>
      </c>
      <c r="I28" t="s">
        <v>13</v>
      </c>
    </row>
    <row r="29" spans="3:19" x14ac:dyDescent="0.45">
      <c r="H29" t="s">
        <v>191</v>
      </c>
      <c r="I29" t="s">
        <v>14</v>
      </c>
    </row>
    <row r="30" spans="3:19" x14ac:dyDescent="0.45">
      <c r="H30" t="s">
        <v>191</v>
      </c>
      <c r="I30" t="s">
        <v>15</v>
      </c>
    </row>
    <row r="31" spans="3:19" x14ac:dyDescent="0.45">
      <c r="H31" t="s">
        <v>191</v>
      </c>
      <c r="I31" t="s">
        <v>16</v>
      </c>
    </row>
    <row r="32" spans="3:19" x14ac:dyDescent="0.45">
      <c r="H32" t="s">
        <v>191</v>
      </c>
      <c r="I32" t="s">
        <v>17</v>
      </c>
    </row>
    <row r="33" spans="8:9" x14ac:dyDescent="0.45">
      <c r="H33" t="s">
        <v>191</v>
      </c>
      <c r="I33" t="s">
        <v>18</v>
      </c>
    </row>
    <row r="34" spans="8:9" x14ac:dyDescent="0.45">
      <c r="H34" t="s">
        <v>191</v>
      </c>
      <c r="I34" t="s">
        <v>19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79643-ACB6-449B-B292-77409A310838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">
        <v>177</v>
      </c>
      <c r="B10" s="1"/>
      <c r="C10" s="1" t="s">
        <v>842</v>
      </c>
      <c r="D10" t="s">
        <v>177</v>
      </c>
    </row>
    <row r="11" spans="1:4" x14ac:dyDescent="0.45">
      <c r="B11" s="1"/>
      <c r="C11" s="1" t="s">
        <v>843</v>
      </c>
      <c r="D11" t="s">
        <v>844</v>
      </c>
    </row>
    <row r="12" spans="1:4" x14ac:dyDescent="0.45">
      <c r="B12" s="1"/>
      <c r="C12" s="1" t="s">
        <v>845</v>
      </c>
      <c r="D12" t="s">
        <v>846</v>
      </c>
    </row>
    <row r="17" spans="3:14" x14ac:dyDescent="0.45">
      <c r="I17" s="2">
        <v>0.75</v>
      </c>
      <c r="K17" s="3" t="s">
        <v>847</v>
      </c>
    </row>
    <row r="18" spans="3:14" ht="17.25" thickBot="1" x14ac:dyDescent="0.55000000000000004">
      <c r="C18" s="4" t="s">
        <v>848</v>
      </c>
    </row>
    <row r="19" spans="3:14" ht="14.65" thickTop="1" x14ac:dyDescent="0.45"/>
    <row r="21" spans="3:14" ht="17.25" thickBot="1" x14ac:dyDescent="0.55000000000000004">
      <c r="H21" s="4" t="str">
        <f>IF(H23=H24,"Not Required!","~UC_T: LO")</f>
        <v>~UC_T: LO</v>
      </c>
    </row>
    <row r="22" spans="3:14" ht="15" thickTop="1" thickBot="1" x14ac:dyDescent="0.5">
      <c r="C22" s="5" t="s">
        <v>849</v>
      </c>
      <c r="D22" s="5" t="s">
        <v>850</v>
      </c>
      <c r="E22" s="5" t="s">
        <v>851</v>
      </c>
      <c r="F22" s="5" t="s">
        <v>852</v>
      </c>
      <c r="G22" s="5" t="s">
        <v>853</v>
      </c>
      <c r="H22" s="5" t="s">
        <v>854</v>
      </c>
      <c r="I22" s="5" t="s">
        <v>855</v>
      </c>
      <c r="J22" s="5" t="s">
        <v>856</v>
      </c>
      <c r="K22" s="5" t="s">
        <v>857</v>
      </c>
    </row>
    <row r="23" spans="3:14" x14ac:dyDescent="0.45">
      <c r="C23" t="s">
        <v>858</v>
      </c>
      <c r="D23" t="s">
        <v>185</v>
      </c>
      <c r="E23" t="str">
        <f>G23</f>
        <v>AuxStoIN</v>
      </c>
      <c r="F23" t="s">
        <v>859</v>
      </c>
      <c r="G23" t="s">
        <v>860</v>
      </c>
      <c r="H23" t="str">
        <f>HLOOKUP($A$10,$D$10:$CU$12,3,FALSE)</f>
        <v>S1aH1,S4aH3,S1aH3,S2aH3,S3aH3,S4aH1,S2aH1,S3aH1</v>
      </c>
      <c r="I23">
        <f>1+I24</f>
        <v>0.25</v>
      </c>
      <c r="J23">
        <v>0</v>
      </c>
      <c r="K23">
        <v>3</v>
      </c>
      <c r="M23" t="s">
        <v>861</v>
      </c>
    </row>
    <row r="24" spans="3:14" x14ac:dyDescent="0.45">
      <c r="D24" t="s">
        <v>185</v>
      </c>
      <c r="E24" t="str">
        <f>G24</f>
        <v>AuxStoIN</v>
      </c>
      <c r="F24" t="s">
        <v>859</v>
      </c>
      <c r="G24" t="s">
        <v>860</v>
      </c>
      <c r="H24" t="str">
        <f>HLOOKUP($A$10,$D$10:$CU$12,2,FALSE)</f>
        <v>S3aH2,S1aH2,S2aH2,S4aH2</v>
      </c>
      <c r="I24">
        <f>-$I$17</f>
        <v>-0.75</v>
      </c>
      <c r="M24" t="s">
        <v>862</v>
      </c>
    </row>
    <row r="29" spans="3:14" ht="17.25" thickBot="1" x14ac:dyDescent="0.55000000000000004">
      <c r="I29" s="4" t="s">
        <v>863</v>
      </c>
    </row>
    <row r="30" spans="3:14" ht="15" thickTop="1" thickBot="1" x14ac:dyDescent="0.5">
      <c r="C30" s="5" t="s">
        <v>849</v>
      </c>
      <c r="D30" s="5" t="s">
        <v>864</v>
      </c>
      <c r="E30" s="5" t="s">
        <v>865</v>
      </c>
      <c r="F30" s="5" t="s">
        <v>850</v>
      </c>
      <c r="G30" s="5" t="s">
        <v>866</v>
      </c>
      <c r="H30" s="5" t="s">
        <v>853</v>
      </c>
      <c r="I30" s="5" t="s">
        <v>854</v>
      </c>
      <c r="J30" s="5" t="s">
        <v>867</v>
      </c>
      <c r="K30" s="5" t="s">
        <v>868</v>
      </c>
      <c r="L30" s="5" t="s">
        <v>869</v>
      </c>
      <c r="M30" s="5" t="s">
        <v>870</v>
      </c>
      <c r="N30" s="5" t="s">
        <v>871</v>
      </c>
    </row>
    <row r="31" spans="3:14" x14ac:dyDescent="0.45">
      <c r="C31" t="s">
        <v>872</v>
      </c>
      <c r="D31" t="s">
        <v>873</v>
      </c>
      <c r="F31" t="s">
        <v>874</v>
      </c>
      <c r="I31" t="s">
        <v>875</v>
      </c>
      <c r="J31">
        <v>1</v>
      </c>
      <c r="L31">
        <v>0</v>
      </c>
      <c r="M31">
        <v>5</v>
      </c>
      <c r="N31" t="s">
        <v>876</v>
      </c>
    </row>
    <row r="32" spans="3:14" x14ac:dyDescent="0.45">
      <c r="H32" t="s">
        <v>95</v>
      </c>
      <c r="I32" t="s">
        <v>875</v>
      </c>
      <c r="K32">
        <v>-1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D21D0-9C33-4FA5-BE29-08EA44051BCD}">
  <dimension ref="A9:G14"/>
  <sheetViews>
    <sheetView tabSelected="1"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177</v>
      </c>
      <c r="C10" t="s">
        <v>877</v>
      </c>
      <c r="D10" t="s">
        <v>878</v>
      </c>
      <c r="E10" t="s">
        <v>879</v>
      </c>
      <c r="F10" t="s">
        <v>880</v>
      </c>
      <c r="G10" t="s">
        <v>881</v>
      </c>
    </row>
    <row r="11" spans="1:7" x14ac:dyDescent="0.45">
      <c r="C11" t="s">
        <v>186</v>
      </c>
      <c r="D11" t="s">
        <v>882</v>
      </c>
      <c r="E11" t="s">
        <v>883</v>
      </c>
      <c r="F11" t="s">
        <v>884</v>
      </c>
      <c r="G11" t="s">
        <v>882</v>
      </c>
    </row>
    <row r="12" spans="1:7" x14ac:dyDescent="0.45">
      <c r="C12" t="s">
        <v>188</v>
      </c>
      <c r="E12" t="s">
        <v>885</v>
      </c>
      <c r="G12" t="s">
        <v>882</v>
      </c>
    </row>
    <row r="13" spans="1:7" x14ac:dyDescent="0.45">
      <c r="C13" t="s">
        <v>189</v>
      </c>
      <c r="E13" t="s">
        <v>886</v>
      </c>
      <c r="G13" t="s">
        <v>882</v>
      </c>
    </row>
    <row r="14" spans="1:7" x14ac:dyDescent="0.45">
      <c r="C14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resource_profiles_FRA</vt:lpstr>
      <vt:lpstr>firmness_FRA</vt:lpstr>
      <vt:lpstr>load_demand_peak_hydro_FRA</vt:lpstr>
      <vt:lpstr>resource_profiles_BEL</vt:lpstr>
      <vt:lpstr>firmness_BEL</vt:lpstr>
      <vt:lpstr>load_demand_peak_hydro_BEL</vt:lpstr>
      <vt:lpstr>resource_profiles_GBR</vt:lpstr>
      <vt:lpstr>firmness_GBR</vt:lpstr>
      <vt:lpstr>load_demand_peak_hydro_GBR</vt:lpstr>
      <vt:lpstr>resource_profiles_NLD</vt:lpstr>
      <vt:lpstr>firmness_NLD</vt:lpstr>
      <vt:lpstr>load_demand_peak_hydro_NLD</vt:lpstr>
      <vt:lpstr>resource_profiles_DEU</vt:lpstr>
      <vt:lpstr>firmness_DEU</vt:lpstr>
      <vt:lpstr>load_demand_peak_hydro_DEU</vt:lpstr>
      <vt:lpstr>resource_profiles_CHE</vt:lpstr>
      <vt:lpstr>firmness_CHE</vt:lpstr>
      <vt:lpstr>load_demand_peak_hydro_CHE</vt:lpstr>
      <vt:lpstr>resource_profiles_ITA</vt:lpstr>
      <vt:lpstr>firmness_ITA</vt:lpstr>
      <vt:lpstr>load_demand_peak_hydro_ITA</vt:lpstr>
      <vt:lpstr>resource_profiles_ESP</vt:lpstr>
      <vt:lpstr>firmness_ESP</vt:lpstr>
      <vt:lpstr>load_demand_peak_hydro_ESP</vt:lpstr>
      <vt:lpstr>ev_charging_uc</vt:lpstr>
      <vt:lpstr>timeslice_def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2026-08-29T08:42:49Z</dcterms:created>
  <dcterms:modified xsi:type="dcterms:W3CDTF">2026-08-29T08:43:02Z</dcterms:modified>
</cp:coreProperties>
</file>